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he Office\Work Area\REGIONAL OPERATION\REGION 3\2025\Customer Engineer\Leveling &amp; Grading\"/>
    </mc:Choice>
  </mc:AlternateContent>
  <xr:revisionPtr revIDLastSave="0" documentId="13_ncr:1_{4C33BC32-BE7C-4835-B72A-3292F999412E}" xr6:coauthVersionLast="47" xr6:coauthVersionMax="47" xr10:uidLastSave="{00000000-0000-0000-0000-000000000000}"/>
  <bookViews>
    <workbookView xWindow="-110" yWindow="-110" windowWidth="19420" windowHeight="10300" activeTab="3" xr2:uid="{DFEC9429-DA76-46C9-A89B-B187DA3A3773}"/>
  </bookViews>
  <sheets>
    <sheet name="Result" sheetId="1" r:id="rId1"/>
    <sheet name="Sheet2" sheetId="5" r:id="rId2"/>
    <sheet name="Sheet1" sheetId="6" r:id="rId3"/>
    <sheet name="Assesment" sheetId="3" r:id="rId4"/>
  </sheets>
  <externalReferences>
    <externalReference r:id="rId5"/>
    <externalReference r:id="rId6"/>
  </externalReferences>
  <definedNames>
    <definedName name="_xlnm._FilterDatabase" localSheetId="3" hidden="1">Assesment!$A$4:$BM$365</definedName>
    <definedName name="_xlnm._FilterDatabase" localSheetId="0" hidden="1">Result!$A$3:$O$73</definedName>
    <definedName name="Numero">[1]Penilaian!$B$2:$B$101</definedName>
  </definedNames>
  <calcPr calcId="191029"/>
  <pivotCaches>
    <pivotCache cacheId="123" r:id="rId7"/>
    <pivotCache cacheId="124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6" i="3" l="1"/>
  <c r="BC7" i="3"/>
  <c r="BC8" i="3"/>
  <c r="BC9" i="3"/>
  <c r="BC10" i="3"/>
  <c r="BC11" i="3"/>
  <c r="BC12" i="3"/>
  <c r="BC13" i="3"/>
  <c r="BC14" i="3"/>
  <c r="BC15" i="3"/>
  <c r="BC16" i="3"/>
  <c r="BC17" i="3"/>
  <c r="BC18" i="3"/>
  <c r="BC19" i="3"/>
  <c r="BC20" i="3"/>
  <c r="BC21" i="3"/>
  <c r="BC22" i="3"/>
  <c r="BC23" i="3"/>
  <c r="BC24" i="3"/>
  <c r="BC25" i="3"/>
  <c r="BC26" i="3"/>
  <c r="BC27" i="3"/>
  <c r="BC28" i="3"/>
  <c r="BC29" i="3"/>
  <c r="BC30" i="3"/>
  <c r="BC31" i="3"/>
  <c r="BC32" i="3"/>
  <c r="BC33" i="3"/>
  <c r="BC34" i="3"/>
  <c r="BC35" i="3"/>
  <c r="BC36" i="3"/>
  <c r="BC37" i="3"/>
  <c r="BC38" i="3"/>
  <c r="BC39" i="3"/>
  <c r="BC40" i="3"/>
  <c r="BC41" i="3"/>
  <c r="BC42" i="3"/>
  <c r="BC43" i="3"/>
  <c r="BC44" i="3"/>
  <c r="BC45" i="3"/>
  <c r="BC46" i="3"/>
  <c r="BC47" i="3"/>
  <c r="BC48" i="3"/>
  <c r="BC49" i="3"/>
  <c r="BC50" i="3"/>
  <c r="BC51" i="3"/>
  <c r="BC52" i="3"/>
  <c r="BC53" i="3"/>
  <c r="BC54" i="3"/>
  <c r="BC55" i="3"/>
  <c r="BC56" i="3"/>
  <c r="BC57" i="3"/>
  <c r="BC58" i="3"/>
  <c r="BC59" i="3"/>
  <c r="BC60" i="3"/>
  <c r="BC61" i="3"/>
  <c r="BC62" i="3"/>
  <c r="BC63" i="3"/>
  <c r="BC64" i="3"/>
  <c r="BC65" i="3"/>
  <c r="BC66" i="3"/>
  <c r="BC67" i="3"/>
  <c r="BC68" i="3"/>
  <c r="BC69" i="3"/>
  <c r="BC70" i="3"/>
  <c r="BC71" i="3"/>
  <c r="BC72" i="3"/>
  <c r="BC73" i="3"/>
  <c r="BC74" i="3"/>
  <c r="BC75" i="3"/>
  <c r="BC76" i="3"/>
  <c r="BC77" i="3"/>
  <c r="BC78" i="3"/>
  <c r="BC79" i="3"/>
  <c r="BC80" i="3"/>
  <c r="BC81" i="3"/>
  <c r="BC82" i="3"/>
  <c r="BC83" i="3"/>
  <c r="BC84" i="3"/>
  <c r="BC85" i="3"/>
  <c r="BC86" i="3"/>
  <c r="BC87" i="3"/>
  <c r="BC88" i="3"/>
  <c r="BC89" i="3"/>
  <c r="BC90" i="3"/>
  <c r="BC91" i="3"/>
  <c r="BC92" i="3"/>
  <c r="BC93" i="3"/>
  <c r="BC94" i="3"/>
  <c r="BC95" i="3"/>
  <c r="BC96" i="3"/>
  <c r="BC97" i="3"/>
  <c r="BC98" i="3"/>
  <c r="BC99" i="3"/>
  <c r="BC100" i="3"/>
  <c r="BC101" i="3"/>
  <c r="BC102" i="3"/>
  <c r="BC103" i="3"/>
  <c r="BC104" i="3"/>
  <c r="BC105" i="3"/>
  <c r="BC106" i="3"/>
  <c r="BC107" i="3"/>
  <c r="BC108" i="3"/>
  <c r="BC109" i="3"/>
  <c r="BC110" i="3"/>
  <c r="BC111" i="3"/>
  <c r="BC112" i="3"/>
  <c r="BC113" i="3"/>
  <c r="BC114" i="3"/>
  <c r="BC115" i="3"/>
  <c r="BC116" i="3"/>
  <c r="BC117" i="3"/>
  <c r="BC118" i="3"/>
  <c r="BC119" i="3"/>
  <c r="BC120" i="3"/>
  <c r="BC121" i="3"/>
  <c r="BC122" i="3"/>
  <c r="BC123" i="3"/>
  <c r="BC124" i="3"/>
  <c r="BC125" i="3"/>
  <c r="BC126" i="3"/>
  <c r="BC127" i="3"/>
  <c r="BC128" i="3"/>
  <c r="BC129" i="3"/>
  <c r="BC130" i="3"/>
  <c r="BC131" i="3"/>
  <c r="BC132" i="3"/>
  <c r="BC133" i="3"/>
  <c r="BC134" i="3"/>
  <c r="BC135" i="3"/>
  <c r="BC136" i="3"/>
  <c r="BC137" i="3"/>
  <c r="BC138" i="3"/>
  <c r="BC139" i="3"/>
  <c r="BC140" i="3"/>
  <c r="BC141" i="3"/>
  <c r="BC142" i="3"/>
  <c r="BC143" i="3"/>
  <c r="BC144" i="3"/>
  <c r="BC145" i="3"/>
  <c r="BC146" i="3"/>
  <c r="BC147" i="3"/>
  <c r="BC148" i="3"/>
  <c r="BC149" i="3"/>
  <c r="BC150" i="3"/>
  <c r="BC151" i="3"/>
  <c r="BC152" i="3"/>
  <c r="BC153" i="3"/>
  <c r="BC154" i="3"/>
  <c r="BC155" i="3"/>
  <c r="BC156" i="3"/>
  <c r="BC157" i="3"/>
  <c r="BC158" i="3"/>
  <c r="BC159" i="3"/>
  <c r="BC160" i="3"/>
  <c r="BC161" i="3"/>
  <c r="BC162" i="3"/>
  <c r="BC163" i="3"/>
  <c r="BC164" i="3"/>
  <c r="BC165" i="3"/>
  <c r="BC166" i="3"/>
  <c r="BC167" i="3"/>
  <c r="BC168" i="3"/>
  <c r="BC169" i="3"/>
  <c r="BC170" i="3"/>
  <c r="BC171" i="3"/>
  <c r="BC172" i="3"/>
  <c r="BC173" i="3"/>
  <c r="BC174" i="3"/>
  <c r="BC175" i="3"/>
  <c r="BC176" i="3"/>
  <c r="BC177" i="3"/>
  <c r="BC178" i="3"/>
  <c r="BC179" i="3"/>
  <c r="BC180" i="3"/>
  <c r="BC181" i="3"/>
  <c r="BC182" i="3"/>
  <c r="BC183" i="3"/>
  <c r="BC184" i="3"/>
  <c r="BC185" i="3"/>
  <c r="BC186" i="3"/>
  <c r="BC187" i="3"/>
  <c r="BC188" i="3"/>
  <c r="BC189" i="3"/>
  <c r="BC190" i="3"/>
  <c r="BC191" i="3"/>
  <c r="BC192" i="3"/>
  <c r="BC193" i="3"/>
  <c r="BC194" i="3"/>
  <c r="BC195" i="3"/>
  <c r="BC196" i="3"/>
  <c r="BC197" i="3"/>
  <c r="BC198" i="3"/>
  <c r="BC199" i="3"/>
  <c r="BC200" i="3"/>
  <c r="BC201" i="3"/>
  <c r="BC202" i="3"/>
  <c r="BC203" i="3"/>
  <c r="BC204" i="3"/>
  <c r="BC205" i="3"/>
  <c r="BC206" i="3"/>
  <c r="BC207" i="3"/>
  <c r="BC208" i="3"/>
  <c r="BC209" i="3"/>
  <c r="BC210" i="3"/>
  <c r="BC211" i="3"/>
  <c r="BC212" i="3"/>
  <c r="BC213" i="3"/>
  <c r="BC214" i="3"/>
  <c r="BC215" i="3"/>
  <c r="BC216" i="3"/>
  <c r="BC217" i="3"/>
  <c r="BC218" i="3"/>
  <c r="BC219" i="3"/>
  <c r="BC220" i="3"/>
  <c r="BC221" i="3"/>
  <c r="BC222" i="3"/>
  <c r="BC223" i="3"/>
  <c r="BC224" i="3"/>
  <c r="BC225" i="3"/>
  <c r="BC226" i="3"/>
  <c r="BC227" i="3"/>
  <c r="BC228" i="3"/>
  <c r="BC229" i="3"/>
  <c r="BC230" i="3"/>
  <c r="BC231" i="3"/>
  <c r="BC232" i="3"/>
  <c r="BC233" i="3"/>
  <c r="BC234" i="3"/>
  <c r="BC235" i="3"/>
  <c r="BC236" i="3"/>
  <c r="BC237" i="3"/>
  <c r="BC238" i="3"/>
  <c r="BC239" i="3"/>
  <c r="BC240" i="3"/>
  <c r="BC241" i="3"/>
  <c r="BC242" i="3"/>
  <c r="BC243" i="3"/>
  <c r="BC244" i="3"/>
  <c r="BC245" i="3"/>
  <c r="BC246" i="3"/>
  <c r="BC247" i="3"/>
  <c r="BC248" i="3"/>
  <c r="BC249" i="3"/>
  <c r="BC250" i="3"/>
  <c r="BC251" i="3"/>
  <c r="BC252" i="3"/>
  <c r="BC253" i="3"/>
  <c r="BC254" i="3"/>
  <c r="BC255" i="3"/>
  <c r="BC256" i="3"/>
  <c r="BC257" i="3"/>
  <c r="BC258" i="3"/>
  <c r="BC259" i="3"/>
  <c r="BC260" i="3"/>
  <c r="BC261" i="3"/>
  <c r="BC262" i="3"/>
  <c r="BC263" i="3"/>
  <c r="BC264" i="3"/>
  <c r="BC265" i="3"/>
  <c r="BC266" i="3"/>
  <c r="BC267" i="3"/>
  <c r="BC268" i="3"/>
  <c r="BC269" i="3"/>
  <c r="BC270" i="3"/>
  <c r="BC271" i="3"/>
  <c r="BC272" i="3"/>
  <c r="BC273" i="3"/>
  <c r="BC274" i="3"/>
  <c r="BC275" i="3"/>
  <c r="BC276" i="3"/>
  <c r="BC277" i="3"/>
  <c r="BC278" i="3"/>
  <c r="BC279" i="3"/>
  <c r="BC280" i="3"/>
  <c r="BC281" i="3"/>
  <c r="BC282" i="3"/>
  <c r="BC283" i="3"/>
  <c r="BC284" i="3"/>
  <c r="BC285" i="3"/>
  <c r="BC286" i="3"/>
  <c r="BC287" i="3"/>
  <c r="BC288" i="3"/>
  <c r="BC289" i="3"/>
  <c r="BC290" i="3"/>
  <c r="BC291" i="3"/>
  <c r="BC292" i="3"/>
  <c r="BC293" i="3"/>
  <c r="BC294" i="3"/>
  <c r="BC295" i="3"/>
  <c r="BC296" i="3"/>
  <c r="BC297" i="3"/>
  <c r="BC298" i="3"/>
  <c r="BC299" i="3"/>
  <c r="BC300" i="3"/>
  <c r="BC301" i="3"/>
  <c r="BC302" i="3"/>
  <c r="BC303" i="3"/>
  <c r="BC304" i="3"/>
  <c r="BC305" i="3"/>
  <c r="BC306" i="3"/>
  <c r="BC307" i="3"/>
  <c r="BC308" i="3"/>
  <c r="BC309" i="3"/>
  <c r="BC310" i="3"/>
  <c r="BC311" i="3"/>
  <c r="BC312" i="3"/>
  <c r="BC313" i="3"/>
  <c r="BC314" i="3"/>
  <c r="BC315" i="3"/>
  <c r="BC316" i="3"/>
  <c r="BC317" i="3"/>
  <c r="BC318" i="3"/>
  <c r="BC319" i="3"/>
  <c r="BC320" i="3"/>
  <c r="BC321" i="3"/>
  <c r="BC322" i="3"/>
  <c r="BC323" i="3"/>
  <c r="BC324" i="3"/>
  <c r="BC325" i="3"/>
  <c r="BC326" i="3"/>
  <c r="BC327" i="3"/>
  <c r="BC328" i="3"/>
  <c r="BC329" i="3"/>
  <c r="BC330" i="3"/>
  <c r="BC331" i="3"/>
  <c r="BC332" i="3"/>
  <c r="BC333" i="3"/>
  <c r="BC334" i="3"/>
  <c r="BC335" i="3"/>
  <c r="BC336" i="3"/>
  <c r="BC337" i="3"/>
  <c r="BC338" i="3"/>
  <c r="BC339" i="3"/>
  <c r="BC340" i="3"/>
  <c r="BC341" i="3"/>
  <c r="BC342" i="3"/>
  <c r="BC343" i="3"/>
  <c r="BC344" i="3"/>
  <c r="BC345" i="3"/>
  <c r="BC346" i="3"/>
  <c r="BC347" i="3"/>
  <c r="BC348" i="3"/>
  <c r="BC349" i="3"/>
  <c r="BC5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I350" i="3"/>
  <c r="K350" i="3" s="1"/>
  <c r="I351" i="3"/>
  <c r="K351" i="3" s="1"/>
  <c r="I352" i="3"/>
  <c r="K352" i="3" s="1"/>
  <c r="I353" i="3"/>
  <c r="K353" i="3" s="1"/>
  <c r="I354" i="3"/>
  <c r="K354" i="3" s="1"/>
  <c r="I355" i="3"/>
  <c r="K355" i="3" s="1"/>
  <c r="I356" i="3"/>
  <c r="K356" i="3" s="1"/>
  <c r="I357" i="3"/>
  <c r="K357" i="3" s="1"/>
  <c r="I358" i="3"/>
  <c r="K358" i="3" s="1"/>
  <c r="I359" i="3"/>
  <c r="K359" i="3" s="1"/>
  <c r="I360" i="3"/>
  <c r="K360" i="3" s="1"/>
  <c r="I361" i="3"/>
  <c r="K361" i="3" s="1"/>
  <c r="I362" i="3"/>
  <c r="K362" i="3" s="1"/>
  <c r="I363" i="3"/>
  <c r="K363" i="3" s="1"/>
  <c r="I364" i="3"/>
  <c r="K364" i="3" s="1"/>
  <c r="I365" i="3"/>
  <c r="K365" i="3" s="1"/>
  <c r="I6" i="3"/>
  <c r="K6" i="3" s="1"/>
  <c r="I7" i="3"/>
  <c r="K7" i="3" s="1"/>
  <c r="I8" i="3"/>
  <c r="K8" i="3" s="1"/>
  <c r="I9" i="3"/>
  <c r="K9" i="3" s="1"/>
  <c r="I10" i="3"/>
  <c r="K10" i="3" s="1"/>
  <c r="I11" i="3"/>
  <c r="K11" i="3" s="1"/>
  <c r="I12" i="3"/>
  <c r="K12" i="3" s="1"/>
  <c r="I13" i="3"/>
  <c r="K13" i="3" s="1"/>
  <c r="I14" i="3"/>
  <c r="K14" i="3" s="1"/>
  <c r="I15" i="3"/>
  <c r="K15" i="3" s="1"/>
  <c r="I16" i="3"/>
  <c r="K16" i="3" s="1"/>
  <c r="I17" i="3"/>
  <c r="K17" i="3" s="1"/>
  <c r="I18" i="3"/>
  <c r="K18" i="3" s="1"/>
  <c r="I19" i="3"/>
  <c r="K19" i="3" s="1"/>
  <c r="I20" i="3"/>
  <c r="K20" i="3" s="1"/>
  <c r="I21" i="3"/>
  <c r="K21" i="3" s="1"/>
  <c r="I22" i="3"/>
  <c r="K22" i="3" s="1"/>
  <c r="I23" i="3"/>
  <c r="K23" i="3" s="1"/>
  <c r="I24" i="3"/>
  <c r="K24" i="3" s="1"/>
  <c r="I25" i="3"/>
  <c r="K25" i="3" s="1"/>
  <c r="I26" i="3"/>
  <c r="K26" i="3" s="1"/>
  <c r="I27" i="3"/>
  <c r="K27" i="3" s="1"/>
  <c r="I28" i="3"/>
  <c r="K28" i="3" s="1"/>
  <c r="I29" i="3"/>
  <c r="K29" i="3" s="1"/>
  <c r="I30" i="3"/>
  <c r="K30" i="3" s="1"/>
  <c r="I31" i="3"/>
  <c r="K31" i="3" s="1"/>
  <c r="I32" i="3"/>
  <c r="K32" i="3" s="1"/>
  <c r="I33" i="3"/>
  <c r="K33" i="3" s="1"/>
  <c r="I34" i="3"/>
  <c r="K34" i="3" s="1"/>
  <c r="I35" i="3"/>
  <c r="K35" i="3" s="1"/>
  <c r="I36" i="3"/>
  <c r="K36" i="3" s="1"/>
  <c r="I37" i="3"/>
  <c r="K37" i="3" s="1"/>
  <c r="I38" i="3"/>
  <c r="K38" i="3" s="1"/>
  <c r="I39" i="3"/>
  <c r="K39" i="3" s="1"/>
  <c r="I40" i="3"/>
  <c r="K40" i="3" s="1"/>
  <c r="I41" i="3"/>
  <c r="K41" i="3" s="1"/>
  <c r="I42" i="3"/>
  <c r="K42" i="3" s="1"/>
  <c r="I43" i="3"/>
  <c r="K43" i="3" s="1"/>
  <c r="I44" i="3"/>
  <c r="K44" i="3" s="1"/>
  <c r="I45" i="3"/>
  <c r="K45" i="3" s="1"/>
  <c r="I46" i="3"/>
  <c r="K46" i="3" s="1"/>
  <c r="I47" i="3"/>
  <c r="K47" i="3" s="1"/>
  <c r="I48" i="3"/>
  <c r="K48" i="3" s="1"/>
  <c r="I49" i="3"/>
  <c r="K49" i="3" s="1"/>
  <c r="I50" i="3"/>
  <c r="K50" i="3" s="1"/>
  <c r="I51" i="3"/>
  <c r="K51" i="3" s="1"/>
  <c r="I52" i="3"/>
  <c r="K52" i="3" s="1"/>
  <c r="I53" i="3"/>
  <c r="K53" i="3" s="1"/>
  <c r="I54" i="3"/>
  <c r="K54" i="3" s="1"/>
  <c r="I55" i="3"/>
  <c r="K55" i="3" s="1"/>
  <c r="I56" i="3"/>
  <c r="K56" i="3" s="1"/>
  <c r="I57" i="3"/>
  <c r="K57" i="3" s="1"/>
  <c r="I58" i="3"/>
  <c r="K58" i="3" s="1"/>
  <c r="I59" i="3"/>
  <c r="K59" i="3" s="1"/>
  <c r="I60" i="3"/>
  <c r="K60" i="3" s="1"/>
  <c r="I61" i="3"/>
  <c r="K61" i="3" s="1"/>
  <c r="I62" i="3"/>
  <c r="K62" i="3" s="1"/>
  <c r="I63" i="3"/>
  <c r="K63" i="3" s="1"/>
  <c r="I64" i="3"/>
  <c r="K64" i="3" s="1"/>
  <c r="I65" i="3"/>
  <c r="K65" i="3" s="1"/>
  <c r="I66" i="3"/>
  <c r="K66" i="3" s="1"/>
  <c r="I67" i="3"/>
  <c r="K67" i="3" s="1"/>
  <c r="I68" i="3"/>
  <c r="K68" i="3" s="1"/>
  <c r="I69" i="3"/>
  <c r="K69" i="3" s="1"/>
  <c r="I70" i="3"/>
  <c r="K70" i="3" s="1"/>
  <c r="I71" i="3"/>
  <c r="K71" i="3" s="1"/>
  <c r="I72" i="3"/>
  <c r="K72" i="3" s="1"/>
  <c r="I73" i="3"/>
  <c r="K73" i="3" s="1"/>
  <c r="I74" i="3"/>
  <c r="K74" i="3" s="1"/>
  <c r="I75" i="3"/>
  <c r="K75" i="3" s="1"/>
  <c r="I76" i="3"/>
  <c r="K76" i="3" s="1"/>
  <c r="I77" i="3"/>
  <c r="K77" i="3" s="1"/>
  <c r="I78" i="3"/>
  <c r="K78" i="3" s="1"/>
  <c r="I79" i="3"/>
  <c r="K79" i="3" s="1"/>
  <c r="I80" i="3"/>
  <c r="K80" i="3" s="1"/>
  <c r="I81" i="3"/>
  <c r="K81" i="3" s="1"/>
  <c r="I82" i="3"/>
  <c r="K82" i="3" s="1"/>
  <c r="I83" i="3"/>
  <c r="K83" i="3" s="1"/>
  <c r="I84" i="3"/>
  <c r="K84" i="3" s="1"/>
  <c r="I85" i="3"/>
  <c r="K85" i="3" s="1"/>
  <c r="I86" i="3"/>
  <c r="K86" i="3" s="1"/>
  <c r="I87" i="3"/>
  <c r="K87" i="3" s="1"/>
  <c r="I88" i="3"/>
  <c r="K88" i="3" s="1"/>
  <c r="I89" i="3"/>
  <c r="K89" i="3" s="1"/>
  <c r="I90" i="3"/>
  <c r="K90" i="3" s="1"/>
  <c r="I91" i="3"/>
  <c r="K91" i="3" s="1"/>
  <c r="I92" i="3"/>
  <c r="K92" i="3" s="1"/>
  <c r="I93" i="3"/>
  <c r="K93" i="3" s="1"/>
  <c r="I94" i="3"/>
  <c r="K94" i="3" s="1"/>
  <c r="I95" i="3"/>
  <c r="K95" i="3" s="1"/>
  <c r="I96" i="3"/>
  <c r="K96" i="3" s="1"/>
  <c r="I97" i="3"/>
  <c r="K97" i="3" s="1"/>
  <c r="I98" i="3"/>
  <c r="K98" i="3" s="1"/>
  <c r="I99" i="3"/>
  <c r="K99" i="3" s="1"/>
  <c r="I100" i="3"/>
  <c r="K100" i="3" s="1"/>
  <c r="I101" i="3"/>
  <c r="K101" i="3" s="1"/>
  <c r="I102" i="3"/>
  <c r="K102" i="3" s="1"/>
  <c r="I103" i="3"/>
  <c r="K103" i="3" s="1"/>
  <c r="I104" i="3"/>
  <c r="K104" i="3" s="1"/>
  <c r="I105" i="3"/>
  <c r="K105" i="3" s="1"/>
  <c r="I106" i="3"/>
  <c r="K106" i="3" s="1"/>
  <c r="I107" i="3"/>
  <c r="K107" i="3" s="1"/>
  <c r="I108" i="3"/>
  <c r="K108" i="3" s="1"/>
  <c r="I109" i="3"/>
  <c r="K109" i="3" s="1"/>
  <c r="I110" i="3"/>
  <c r="K110" i="3" s="1"/>
  <c r="I111" i="3"/>
  <c r="K111" i="3" s="1"/>
  <c r="I112" i="3"/>
  <c r="K112" i="3" s="1"/>
  <c r="I113" i="3"/>
  <c r="K113" i="3" s="1"/>
  <c r="I114" i="3"/>
  <c r="K114" i="3" s="1"/>
  <c r="I115" i="3"/>
  <c r="K115" i="3" s="1"/>
  <c r="I116" i="3"/>
  <c r="K116" i="3" s="1"/>
  <c r="I117" i="3"/>
  <c r="K117" i="3" s="1"/>
  <c r="I118" i="3"/>
  <c r="K118" i="3" s="1"/>
  <c r="I119" i="3"/>
  <c r="K119" i="3" s="1"/>
  <c r="I120" i="3"/>
  <c r="K120" i="3" s="1"/>
  <c r="I121" i="3"/>
  <c r="K121" i="3" s="1"/>
  <c r="I122" i="3"/>
  <c r="K122" i="3" s="1"/>
  <c r="I123" i="3"/>
  <c r="K123" i="3" s="1"/>
  <c r="I124" i="3"/>
  <c r="K124" i="3" s="1"/>
  <c r="I125" i="3"/>
  <c r="K125" i="3" s="1"/>
  <c r="I126" i="3"/>
  <c r="K126" i="3" s="1"/>
  <c r="I127" i="3"/>
  <c r="K127" i="3" s="1"/>
  <c r="I128" i="3"/>
  <c r="K128" i="3" s="1"/>
  <c r="I129" i="3"/>
  <c r="K129" i="3" s="1"/>
  <c r="I130" i="3"/>
  <c r="K130" i="3" s="1"/>
  <c r="I131" i="3"/>
  <c r="K131" i="3" s="1"/>
  <c r="I132" i="3"/>
  <c r="K132" i="3" s="1"/>
  <c r="I133" i="3"/>
  <c r="K133" i="3" s="1"/>
  <c r="I134" i="3"/>
  <c r="K134" i="3" s="1"/>
  <c r="I135" i="3"/>
  <c r="K135" i="3" s="1"/>
  <c r="I136" i="3"/>
  <c r="K136" i="3" s="1"/>
  <c r="I137" i="3"/>
  <c r="K137" i="3" s="1"/>
  <c r="I138" i="3"/>
  <c r="K138" i="3" s="1"/>
  <c r="I139" i="3"/>
  <c r="K139" i="3" s="1"/>
  <c r="I140" i="3"/>
  <c r="K140" i="3" s="1"/>
  <c r="I141" i="3"/>
  <c r="K141" i="3" s="1"/>
  <c r="I142" i="3"/>
  <c r="K142" i="3" s="1"/>
  <c r="I143" i="3"/>
  <c r="K143" i="3" s="1"/>
  <c r="I144" i="3"/>
  <c r="K144" i="3" s="1"/>
  <c r="I145" i="3"/>
  <c r="K145" i="3" s="1"/>
  <c r="I146" i="3"/>
  <c r="K146" i="3" s="1"/>
  <c r="I147" i="3"/>
  <c r="K147" i="3" s="1"/>
  <c r="I148" i="3"/>
  <c r="K148" i="3" s="1"/>
  <c r="I149" i="3"/>
  <c r="K149" i="3" s="1"/>
  <c r="I150" i="3"/>
  <c r="K150" i="3" s="1"/>
  <c r="I151" i="3"/>
  <c r="K151" i="3" s="1"/>
  <c r="I152" i="3"/>
  <c r="K152" i="3" s="1"/>
  <c r="I153" i="3"/>
  <c r="K153" i="3" s="1"/>
  <c r="I154" i="3"/>
  <c r="K154" i="3" s="1"/>
  <c r="I155" i="3"/>
  <c r="K155" i="3" s="1"/>
  <c r="I156" i="3"/>
  <c r="K156" i="3" s="1"/>
  <c r="I157" i="3"/>
  <c r="K157" i="3" s="1"/>
  <c r="I158" i="3"/>
  <c r="K158" i="3" s="1"/>
  <c r="I159" i="3"/>
  <c r="K159" i="3" s="1"/>
  <c r="I160" i="3"/>
  <c r="K160" i="3" s="1"/>
  <c r="I161" i="3"/>
  <c r="K161" i="3" s="1"/>
  <c r="I162" i="3"/>
  <c r="K162" i="3" s="1"/>
  <c r="I163" i="3"/>
  <c r="K163" i="3" s="1"/>
  <c r="I164" i="3"/>
  <c r="K164" i="3" s="1"/>
  <c r="I165" i="3"/>
  <c r="K165" i="3" s="1"/>
  <c r="I166" i="3"/>
  <c r="K166" i="3" s="1"/>
  <c r="I167" i="3"/>
  <c r="K167" i="3" s="1"/>
  <c r="I168" i="3"/>
  <c r="K168" i="3" s="1"/>
  <c r="I169" i="3"/>
  <c r="K169" i="3" s="1"/>
  <c r="I170" i="3"/>
  <c r="K170" i="3" s="1"/>
  <c r="I171" i="3"/>
  <c r="K171" i="3" s="1"/>
  <c r="I172" i="3"/>
  <c r="K172" i="3" s="1"/>
  <c r="I173" i="3"/>
  <c r="K173" i="3" s="1"/>
  <c r="I174" i="3"/>
  <c r="K174" i="3" s="1"/>
  <c r="I175" i="3"/>
  <c r="K175" i="3" s="1"/>
  <c r="I176" i="3"/>
  <c r="K176" i="3" s="1"/>
  <c r="I177" i="3"/>
  <c r="K177" i="3" s="1"/>
  <c r="I178" i="3"/>
  <c r="K178" i="3" s="1"/>
  <c r="I179" i="3"/>
  <c r="K179" i="3" s="1"/>
  <c r="I180" i="3"/>
  <c r="K180" i="3" s="1"/>
  <c r="I181" i="3"/>
  <c r="K181" i="3" s="1"/>
  <c r="I182" i="3"/>
  <c r="K182" i="3" s="1"/>
  <c r="I183" i="3"/>
  <c r="K183" i="3" s="1"/>
  <c r="I184" i="3"/>
  <c r="K184" i="3" s="1"/>
  <c r="I185" i="3"/>
  <c r="K185" i="3" s="1"/>
  <c r="I186" i="3"/>
  <c r="K186" i="3" s="1"/>
  <c r="I187" i="3"/>
  <c r="K187" i="3" s="1"/>
  <c r="I188" i="3"/>
  <c r="K188" i="3" s="1"/>
  <c r="I189" i="3"/>
  <c r="K189" i="3" s="1"/>
  <c r="I190" i="3"/>
  <c r="K190" i="3" s="1"/>
  <c r="I191" i="3"/>
  <c r="K191" i="3" s="1"/>
  <c r="I192" i="3"/>
  <c r="K192" i="3" s="1"/>
  <c r="I193" i="3"/>
  <c r="K193" i="3" s="1"/>
  <c r="I194" i="3"/>
  <c r="K194" i="3" s="1"/>
  <c r="I195" i="3"/>
  <c r="K195" i="3" s="1"/>
  <c r="I196" i="3"/>
  <c r="K196" i="3" s="1"/>
  <c r="I197" i="3"/>
  <c r="K197" i="3" s="1"/>
  <c r="I198" i="3"/>
  <c r="K198" i="3" s="1"/>
  <c r="I199" i="3"/>
  <c r="K199" i="3" s="1"/>
  <c r="I200" i="3"/>
  <c r="K200" i="3" s="1"/>
  <c r="I201" i="3"/>
  <c r="K201" i="3" s="1"/>
  <c r="I202" i="3"/>
  <c r="K202" i="3" s="1"/>
  <c r="I203" i="3"/>
  <c r="K203" i="3" s="1"/>
  <c r="I204" i="3"/>
  <c r="K204" i="3" s="1"/>
  <c r="I205" i="3"/>
  <c r="K205" i="3" s="1"/>
  <c r="I206" i="3"/>
  <c r="K206" i="3" s="1"/>
  <c r="I207" i="3"/>
  <c r="K207" i="3" s="1"/>
  <c r="I208" i="3"/>
  <c r="K208" i="3" s="1"/>
  <c r="I209" i="3"/>
  <c r="K209" i="3" s="1"/>
  <c r="I210" i="3"/>
  <c r="K210" i="3" s="1"/>
  <c r="I211" i="3"/>
  <c r="K211" i="3" s="1"/>
  <c r="I212" i="3"/>
  <c r="K212" i="3" s="1"/>
  <c r="I213" i="3"/>
  <c r="K213" i="3" s="1"/>
  <c r="I214" i="3"/>
  <c r="K214" i="3" s="1"/>
  <c r="I215" i="3"/>
  <c r="K215" i="3" s="1"/>
  <c r="I216" i="3"/>
  <c r="K216" i="3" s="1"/>
  <c r="I217" i="3"/>
  <c r="K217" i="3" s="1"/>
  <c r="I218" i="3"/>
  <c r="K218" i="3" s="1"/>
  <c r="I219" i="3"/>
  <c r="K219" i="3" s="1"/>
  <c r="I220" i="3"/>
  <c r="K220" i="3" s="1"/>
  <c r="I221" i="3"/>
  <c r="K221" i="3" s="1"/>
  <c r="I222" i="3"/>
  <c r="K222" i="3" s="1"/>
  <c r="I223" i="3"/>
  <c r="K223" i="3" s="1"/>
  <c r="I224" i="3"/>
  <c r="K224" i="3" s="1"/>
  <c r="I225" i="3"/>
  <c r="K225" i="3" s="1"/>
  <c r="I226" i="3"/>
  <c r="K226" i="3" s="1"/>
  <c r="I227" i="3"/>
  <c r="K227" i="3" s="1"/>
  <c r="I228" i="3"/>
  <c r="K228" i="3" s="1"/>
  <c r="I229" i="3"/>
  <c r="K229" i="3" s="1"/>
  <c r="I230" i="3"/>
  <c r="K230" i="3" s="1"/>
  <c r="I231" i="3"/>
  <c r="K231" i="3" s="1"/>
  <c r="I232" i="3"/>
  <c r="K232" i="3" s="1"/>
  <c r="I233" i="3"/>
  <c r="K233" i="3" s="1"/>
  <c r="I234" i="3"/>
  <c r="K234" i="3" s="1"/>
  <c r="I235" i="3"/>
  <c r="K235" i="3" s="1"/>
  <c r="I236" i="3"/>
  <c r="K236" i="3" s="1"/>
  <c r="I237" i="3"/>
  <c r="K237" i="3" s="1"/>
  <c r="I238" i="3"/>
  <c r="K238" i="3" s="1"/>
  <c r="I239" i="3"/>
  <c r="K239" i="3" s="1"/>
  <c r="I240" i="3"/>
  <c r="K240" i="3" s="1"/>
  <c r="I241" i="3"/>
  <c r="K241" i="3" s="1"/>
  <c r="I242" i="3"/>
  <c r="K242" i="3" s="1"/>
  <c r="I243" i="3"/>
  <c r="K243" i="3" s="1"/>
  <c r="I244" i="3"/>
  <c r="K244" i="3" s="1"/>
  <c r="I245" i="3"/>
  <c r="K245" i="3" s="1"/>
  <c r="I246" i="3"/>
  <c r="K246" i="3" s="1"/>
  <c r="I247" i="3"/>
  <c r="K247" i="3" s="1"/>
  <c r="I248" i="3"/>
  <c r="K248" i="3" s="1"/>
  <c r="I249" i="3"/>
  <c r="K249" i="3" s="1"/>
  <c r="I250" i="3"/>
  <c r="K250" i="3" s="1"/>
  <c r="I251" i="3"/>
  <c r="K251" i="3" s="1"/>
  <c r="I252" i="3"/>
  <c r="K252" i="3" s="1"/>
  <c r="I253" i="3"/>
  <c r="K253" i="3" s="1"/>
  <c r="I254" i="3"/>
  <c r="K254" i="3" s="1"/>
  <c r="I255" i="3"/>
  <c r="K255" i="3" s="1"/>
  <c r="I256" i="3"/>
  <c r="K256" i="3" s="1"/>
  <c r="I257" i="3"/>
  <c r="K257" i="3" s="1"/>
  <c r="I258" i="3"/>
  <c r="K258" i="3" s="1"/>
  <c r="I259" i="3"/>
  <c r="K259" i="3" s="1"/>
  <c r="I260" i="3"/>
  <c r="K260" i="3" s="1"/>
  <c r="I261" i="3"/>
  <c r="K261" i="3" s="1"/>
  <c r="I262" i="3"/>
  <c r="K262" i="3" s="1"/>
  <c r="I263" i="3"/>
  <c r="K263" i="3" s="1"/>
  <c r="I264" i="3"/>
  <c r="K264" i="3" s="1"/>
  <c r="I265" i="3"/>
  <c r="K265" i="3" s="1"/>
  <c r="I266" i="3"/>
  <c r="K266" i="3" s="1"/>
  <c r="I267" i="3"/>
  <c r="K267" i="3" s="1"/>
  <c r="I268" i="3"/>
  <c r="K268" i="3" s="1"/>
  <c r="I269" i="3"/>
  <c r="K269" i="3" s="1"/>
  <c r="I270" i="3"/>
  <c r="K270" i="3" s="1"/>
  <c r="I271" i="3"/>
  <c r="K271" i="3" s="1"/>
  <c r="I272" i="3"/>
  <c r="K272" i="3" s="1"/>
  <c r="I273" i="3"/>
  <c r="K273" i="3" s="1"/>
  <c r="I274" i="3"/>
  <c r="K274" i="3" s="1"/>
  <c r="I275" i="3"/>
  <c r="K275" i="3" s="1"/>
  <c r="I276" i="3"/>
  <c r="K276" i="3" s="1"/>
  <c r="I277" i="3"/>
  <c r="K277" i="3" s="1"/>
  <c r="I278" i="3"/>
  <c r="K278" i="3" s="1"/>
  <c r="I279" i="3"/>
  <c r="K279" i="3" s="1"/>
  <c r="I280" i="3"/>
  <c r="K280" i="3" s="1"/>
  <c r="I281" i="3"/>
  <c r="K281" i="3" s="1"/>
  <c r="I282" i="3"/>
  <c r="K282" i="3" s="1"/>
  <c r="I283" i="3"/>
  <c r="K283" i="3" s="1"/>
  <c r="I284" i="3"/>
  <c r="K284" i="3" s="1"/>
  <c r="I285" i="3"/>
  <c r="K285" i="3" s="1"/>
  <c r="I286" i="3"/>
  <c r="K286" i="3" s="1"/>
  <c r="I287" i="3"/>
  <c r="K287" i="3" s="1"/>
  <c r="I288" i="3"/>
  <c r="K288" i="3" s="1"/>
  <c r="I289" i="3"/>
  <c r="K289" i="3" s="1"/>
  <c r="I290" i="3"/>
  <c r="K290" i="3" s="1"/>
  <c r="I291" i="3"/>
  <c r="K291" i="3" s="1"/>
  <c r="I292" i="3"/>
  <c r="K292" i="3" s="1"/>
  <c r="I293" i="3"/>
  <c r="K293" i="3" s="1"/>
  <c r="I294" i="3"/>
  <c r="K294" i="3" s="1"/>
  <c r="I295" i="3"/>
  <c r="K295" i="3" s="1"/>
  <c r="I296" i="3"/>
  <c r="K296" i="3" s="1"/>
  <c r="I297" i="3"/>
  <c r="K297" i="3" s="1"/>
  <c r="I298" i="3"/>
  <c r="K298" i="3" s="1"/>
  <c r="I299" i="3"/>
  <c r="K299" i="3" s="1"/>
  <c r="I300" i="3"/>
  <c r="K300" i="3" s="1"/>
  <c r="I301" i="3"/>
  <c r="K301" i="3" s="1"/>
  <c r="I302" i="3"/>
  <c r="K302" i="3" s="1"/>
  <c r="I303" i="3"/>
  <c r="K303" i="3" s="1"/>
  <c r="I304" i="3"/>
  <c r="K304" i="3" s="1"/>
  <c r="I305" i="3"/>
  <c r="K305" i="3" s="1"/>
  <c r="I306" i="3"/>
  <c r="K306" i="3" s="1"/>
  <c r="I307" i="3"/>
  <c r="K307" i="3" s="1"/>
  <c r="I308" i="3"/>
  <c r="K308" i="3" s="1"/>
  <c r="I309" i="3"/>
  <c r="K309" i="3" s="1"/>
  <c r="I310" i="3"/>
  <c r="K310" i="3" s="1"/>
  <c r="I311" i="3"/>
  <c r="K311" i="3" s="1"/>
  <c r="I312" i="3"/>
  <c r="K312" i="3" s="1"/>
  <c r="I313" i="3"/>
  <c r="K313" i="3" s="1"/>
  <c r="I314" i="3"/>
  <c r="K314" i="3" s="1"/>
  <c r="I315" i="3"/>
  <c r="K315" i="3" s="1"/>
  <c r="I316" i="3"/>
  <c r="K316" i="3" s="1"/>
  <c r="I317" i="3"/>
  <c r="K317" i="3" s="1"/>
  <c r="I318" i="3"/>
  <c r="K318" i="3" s="1"/>
  <c r="I319" i="3"/>
  <c r="K319" i="3" s="1"/>
  <c r="I320" i="3"/>
  <c r="K320" i="3" s="1"/>
  <c r="I321" i="3"/>
  <c r="K321" i="3" s="1"/>
  <c r="I322" i="3"/>
  <c r="K322" i="3" s="1"/>
  <c r="I323" i="3"/>
  <c r="K323" i="3" s="1"/>
  <c r="I324" i="3"/>
  <c r="K324" i="3" s="1"/>
  <c r="I325" i="3"/>
  <c r="K325" i="3" s="1"/>
  <c r="I326" i="3"/>
  <c r="K326" i="3" s="1"/>
  <c r="I327" i="3"/>
  <c r="K327" i="3" s="1"/>
  <c r="I328" i="3"/>
  <c r="K328" i="3" s="1"/>
  <c r="I329" i="3"/>
  <c r="K329" i="3" s="1"/>
  <c r="I330" i="3"/>
  <c r="K330" i="3" s="1"/>
  <c r="I331" i="3"/>
  <c r="K331" i="3" s="1"/>
  <c r="I332" i="3"/>
  <c r="K332" i="3" s="1"/>
  <c r="I333" i="3"/>
  <c r="K333" i="3" s="1"/>
  <c r="I334" i="3"/>
  <c r="K334" i="3" s="1"/>
  <c r="I335" i="3"/>
  <c r="K335" i="3" s="1"/>
  <c r="I336" i="3"/>
  <c r="K336" i="3" s="1"/>
  <c r="I337" i="3"/>
  <c r="K337" i="3" s="1"/>
  <c r="I338" i="3"/>
  <c r="K338" i="3" s="1"/>
  <c r="I339" i="3"/>
  <c r="K339" i="3" s="1"/>
  <c r="I340" i="3"/>
  <c r="K340" i="3" s="1"/>
  <c r="I341" i="3"/>
  <c r="K341" i="3" s="1"/>
  <c r="I342" i="3"/>
  <c r="K342" i="3" s="1"/>
  <c r="I343" i="3"/>
  <c r="K343" i="3" s="1"/>
  <c r="I344" i="3"/>
  <c r="K344" i="3" s="1"/>
  <c r="I345" i="3"/>
  <c r="K345" i="3" s="1"/>
  <c r="I346" i="3"/>
  <c r="K346" i="3" s="1"/>
  <c r="I347" i="3"/>
  <c r="K347" i="3" s="1"/>
  <c r="I348" i="3"/>
  <c r="K348" i="3" s="1"/>
  <c r="I349" i="3"/>
  <c r="K349" i="3" s="1"/>
  <c r="I5" i="3"/>
  <c r="K5" i="3" s="1"/>
  <c r="BL5" i="3" a="1"/>
  <c r="BL5" i="3" s="1"/>
  <c r="C6" i="5"/>
  <c r="C5" i="5"/>
  <c r="C4" i="5"/>
  <c r="BG349" i="3" l="1"/>
  <c r="BD349" i="3"/>
  <c r="BE349" i="3" s="1"/>
  <c r="AS349" i="3"/>
  <c r="AH349" i="3"/>
  <c r="AI349" i="3" s="1"/>
  <c r="AG349" i="3"/>
  <c r="AF349" i="3" s="1"/>
  <c r="Z349" i="3"/>
  <c r="Y349" i="3"/>
  <c r="X349" i="3"/>
  <c r="T349" i="3"/>
  <c r="R349" i="3"/>
  <c r="Q349" i="3" s="1"/>
  <c r="O349" i="3"/>
  <c r="J349" i="3"/>
  <c r="BG348" i="3"/>
  <c r="BD348" i="3"/>
  <c r="BE348" i="3" s="1"/>
  <c r="AS348" i="3"/>
  <c r="AH348" i="3"/>
  <c r="AI348" i="3" s="1"/>
  <c r="AG348" i="3"/>
  <c r="AF348" i="3" s="1"/>
  <c r="Z348" i="3"/>
  <c r="Y348" i="3"/>
  <c r="X348" i="3"/>
  <c r="T348" i="3"/>
  <c r="R348" i="3"/>
  <c r="Q348" i="3" s="1"/>
  <c r="O348" i="3"/>
  <c r="J348" i="3"/>
  <c r="BG347" i="3"/>
  <c r="BD347" i="3"/>
  <c r="BE347" i="3" s="1"/>
  <c r="AS347" i="3"/>
  <c r="AH347" i="3"/>
  <c r="AI347" i="3" s="1"/>
  <c r="AG347" i="3"/>
  <c r="AF347" i="3" s="1"/>
  <c r="Z347" i="3"/>
  <c r="Y347" i="3"/>
  <c r="X347" i="3"/>
  <c r="O347" i="3"/>
  <c r="S347" i="3" s="1"/>
  <c r="J347" i="3"/>
  <c r="BG346" i="3"/>
  <c r="BD346" i="3"/>
  <c r="BE346" i="3" s="1"/>
  <c r="AS346" i="3"/>
  <c r="AT346" i="3" s="1"/>
  <c r="AU346" i="3" s="1"/>
  <c r="AH346" i="3"/>
  <c r="AI346" i="3" s="1"/>
  <c r="AG346" i="3"/>
  <c r="AF346" i="3" s="1"/>
  <c r="Z346" i="3"/>
  <c r="Y346" i="3"/>
  <c r="X346" i="3"/>
  <c r="O346" i="3"/>
  <c r="S346" i="3" s="1"/>
  <c r="J346" i="3"/>
  <c r="BG345" i="3"/>
  <c r="BD345" i="3"/>
  <c r="BE345" i="3" s="1"/>
  <c r="AS345" i="3"/>
  <c r="AR345" i="3" s="1"/>
  <c r="AH345" i="3"/>
  <c r="AI345" i="3" s="1"/>
  <c r="AG345" i="3"/>
  <c r="AF345" i="3" s="1"/>
  <c r="Z345" i="3"/>
  <c r="Y345" i="3"/>
  <c r="X345" i="3"/>
  <c r="O345" i="3"/>
  <c r="S345" i="3" s="1"/>
  <c r="J345" i="3"/>
  <c r="BG344" i="3"/>
  <c r="BD344" i="3"/>
  <c r="BE344" i="3" s="1"/>
  <c r="AS344" i="3"/>
  <c r="AT344" i="3" s="1"/>
  <c r="AU344" i="3" s="1"/>
  <c r="AH344" i="3"/>
  <c r="AI344" i="3" s="1"/>
  <c r="AG344" i="3"/>
  <c r="AF344" i="3" s="1"/>
  <c r="Z344" i="3"/>
  <c r="Y344" i="3"/>
  <c r="X344" i="3"/>
  <c r="O344" i="3"/>
  <c r="S344" i="3" s="1"/>
  <c r="R344" i="3" s="1"/>
  <c r="Q344" i="3" s="1"/>
  <c r="J344" i="3"/>
  <c r="BG343" i="3"/>
  <c r="BD343" i="3"/>
  <c r="BE343" i="3" s="1"/>
  <c r="AS343" i="3"/>
  <c r="AT343" i="3" s="1"/>
  <c r="AU343" i="3" s="1"/>
  <c r="AH343" i="3"/>
  <c r="AI343" i="3" s="1"/>
  <c r="AG343" i="3"/>
  <c r="AF343" i="3" s="1"/>
  <c r="Z343" i="3"/>
  <c r="Y343" i="3"/>
  <c r="X343" i="3"/>
  <c r="O343" i="3"/>
  <c r="S343" i="3" s="1"/>
  <c r="T343" i="3" s="1"/>
  <c r="J343" i="3"/>
  <c r="BG342" i="3"/>
  <c r="BD342" i="3"/>
  <c r="BE342" i="3" s="1"/>
  <c r="AS342" i="3"/>
  <c r="AT342" i="3" s="1"/>
  <c r="AU342" i="3" s="1"/>
  <c r="AH342" i="3"/>
  <c r="AI342" i="3" s="1"/>
  <c r="AG342" i="3"/>
  <c r="AF342" i="3" s="1"/>
  <c r="Z342" i="3"/>
  <c r="Y342" i="3"/>
  <c r="X342" i="3"/>
  <c r="O342" i="3"/>
  <c r="S342" i="3" s="1"/>
  <c r="J342" i="3"/>
  <c r="BG341" i="3"/>
  <c r="BD341" i="3"/>
  <c r="BE341" i="3" s="1"/>
  <c r="AS341" i="3"/>
  <c r="AH341" i="3"/>
  <c r="AI341" i="3" s="1"/>
  <c r="AG341" i="3"/>
  <c r="AF341" i="3" s="1"/>
  <c r="Z341" i="3"/>
  <c r="Y341" i="3"/>
  <c r="X341" i="3"/>
  <c r="O341" i="3"/>
  <c r="S341" i="3" s="1"/>
  <c r="R341" i="3" s="1"/>
  <c r="Q341" i="3" s="1"/>
  <c r="J341" i="3"/>
  <c r="BG340" i="3"/>
  <c r="BD340" i="3"/>
  <c r="BE340" i="3" s="1"/>
  <c r="AS340" i="3"/>
  <c r="AT340" i="3" s="1"/>
  <c r="AU340" i="3" s="1"/>
  <c r="AH340" i="3"/>
  <c r="AI340" i="3" s="1"/>
  <c r="AG340" i="3"/>
  <c r="AF340" i="3" s="1"/>
  <c r="Z340" i="3"/>
  <c r="Y340" i="3"/>
  <c r="X340" i="3"/>
  <c r="O340" i="3"/>
  <c r="S340" i="3" s="1"/>
  <c r="J340" i="3"/>
  <c r="BG339" i="3"/>
  <c r="BD339" i="3"/>
  <c r="BE339" i="3" s="1"/>
  <c r="AS339" i="3"/>
  <c r="AT339" i="3" s="1"/>
  <c r="AU339" i="3" s="1"/>
  <c r="AH339" i="3"/>
  <c r="AI339" i="3" s="1"/>
  <c r="AG339" i="3"/>
  <c r="AF339" i="3" s="1"/>
  <c r="Z339" i="3"/>
  <c r="Y339" i="3"/>
  <c r="X339" i="3"/>
  <c r="O339" i="3"/>
  <c r="S339" i="3" s="1"/>
  <c r="J339" i="3"/>
  <c r="BG338" i="3"/>
  <c r="BD338" i="3"/>
  <c r="BE338" i="3" s="1"/>
  <c r="AS338" i="3"/>
  <c r="AT338" i="3" s="1"/>
  <c r="AU338" i="3" s="1"/>
  <c r="AH338" i="3"/>
  <c r="AI338" i="3" s="1"/>
  <c r="AG338" i="3"/>
  <c r="AF338" i="3" s="1"/>
  <c r="Z338" i="3"/>
  <c r="Y338" i="3"/>
  <c r="X338" i="3"/>
  <c r="O338" i="3"/>
  <c r="S338" i="3" s="1"/>
  <c r="R338" i="3" s="1"/>
  <c r="Q338" i="3" s="1"/>
  <c r="J338" i="3"/>
  <c r="BG337" i="3"/>
  <c r="BD337" i="3"/>
  <c r="BE337" i="3" s="1"/>
  <c r="AS337" i="3"/>
  <c r="AR337" i="3" s="1"/>
  <c r="AH337" i="3"/>
  <c r="AI337" i="3" s="1"/>
  <c r="AG337" i="3"/>
  <c r="AF337" i="3" s="1"/>
  <c r="Z337" i="3"/>
  <c r="Y337" i="3"/>
  <c r="X337" i="3"/>
  <c r="O337" i="3"/>
  <c r="S337" i="3" s="1"/>
  <c r="J337" i="3"/>
  <c r="BG336" i="3"/>
  <c r="BD336" i="3"/>
  <c r="BE336" i="3" s="1"/>
  <c r="AS336" i="3"/>
  <c r="AT336" i="3" s="1"/>
  <c r="AU336" i="3" s="1"/>
  <c r="AH336" i="3"/>
  <c r="AI336" i="3" s="1"/>
  <c r="AG336" i="3"/>
  <c r="AF336" i="3" s="1"/>
  <c r="Z336" i="3"/>
  <c r="Y336" i="3"/>
  <c r="X336" i="3"/>
  <c r="O336" i="3"/>
  <c r="S336" i="3" s="1"/>
  <c r="T336" i="3" s="1"/>
  <c r="J336" i="3"/>
  <c r="BG335" i="3"/>
  <c r="BD335" i="3"/>
  <c r="BE335" i="3" s="1"/>
  <c r="AS335" i="3"/>
  <c r="AH335" i="3"/>
  <c r="AI335" i="3" s="1"/>
  <c r="AG335" i="3"/>
  <c r="AF335" i="3" s="1"/>
  <c r="Z335" i="3"/>
  <c r="Y335" i="3"/>
  <c r="X335" i="3"/>
  <c r="O335" i="3"/>
  <c r="S335" i="3" s="1"/>
  <c r="J335" i="3"/>
  <c r="BG334" i="3"/>
  <c r="BD334" i="3"/>
  <c r="BE334" i="3" s="1"/>
  <c r="AS334" i="3"/>
  <c r="AH334" i="3"/>
  <c r="AI334" i="3" s="1"/>
  <c r="AG334" i="3"/>
  <c r="AF334" i="3" s="1"/>
  <c r="Z334" i="3"/>
  <c r="Y334" i="3"/>
  <c r="X334" i="3"/>
  <c r="O334" i="3"/>
  <c r="S334" i="3" s="1"/>
  <c r="J334" i="3"/>
  <c r="BG333" i="3"/>
  <c r="BD333" i="3"/>
  <c r="BE333" i="3" s="1"/>
  <c r="AS333" i="3"/>
  <c r="AR333" i="3" s="1"/>
  <c r="AH333" i="3"/>
  <c r="AI333" i="3" s="1"/>
  <c r="AG333" i="3"/>
  <c r="AF333" i="3" s="1"/>
  <c r="Z333" i="3"/>
  <c r="Y333" i="3"/>
  <c r="X333" i="3"/>
  <c r="O333" i="3"/>
  <c r="S333" i="3" s="1"/>
  <c r="T333" i="3" s="1"/>
  <c r="J333" i="3"/>
  <c r="BG332" i="3"/>
  <c r="BD332" i="3"/>
  <c r="BE332" i="3" s="1"/>
  <c r="AS332" i="3"/>
  <c r="AH332" i="3"/>
  <c r="AI332" i="3" s="1"/>
  <c r="AG332" i="3"/>
  <c r="AF332" i="3" s="1"/>
  <c r="Z332" i="3"/>
  <c r="Y332" i="3"/>
  <c r="X332" i="3"/>
  <c r="O332" i="3"/>
  <c r="S332" i="3" s="1"/>
  <c r="J332" i="3"/>
  <c r="BG331" i="3"/>
  <c r="BD331" i="3"/>
  <c r="BE331" i="3" s="1"/>
  <c r="AS331" i="3"/>
  <c r="AR331" i="3" s="1"/>
  <c r="AG331" i="3"/>
  <c r="Z331" i="3"/>
  <c r="Y331" i="3"/>
  <c r="X331" i="3"/>
  <c r="O331" i="3"/>
  <c r="S331" i="3" s="1"/>
  <c r="J331" i="3"/>
  <c r="BG330" i="3"/>
  <c r="BD330" i="3"/>
  <c r="BE330" i="3" s="1"/>
  <c r="AS330" i="3"/>
  <c r="AR330" i="3" s="1"/>
  <c r="AH330" i="3"/>
  <c r="AI330" i="3" s="1"/>
  <c r="AG330" i="3"/>
  <c r="AF330" i="3" s="1"/>
  <c r="Z330" i="3"/>
  <c r="Y330" i="3"/>
  <c r="X330" i="3"/>
  <c r="O330" i="3"/>
  <c r="S330" i="3" s="1"/>
  <c r="T330" i="3" s="1"/>
  <c r="J330" i="3"/>
  <c r="BG329" i="3"/>
  <c r="BD329" i="3"/>
  <c r="BE329" i="3" s="1"/>
  <c r="AS329" i="3"/>
  <c r="AT329" i="3" s="1"/>
  <c r="AU329" i="3" s="1"/>
  <c r="AG329" i="3"/>
  <c r="AH329" i="3" s="1"/>
  <c r="AI329" i="3" s="1"/>
  <c r="Z329" i="3"/>
  <c r="Y329" i="3"/>
  <c r="X329" i="3"/>
  <c r="O329" i="3"/>
  <c r="S329" i="3" s="1"/>
  <c r="J329" i="3"/>
  <c r="BG328" i="3"/>
  <c r="BD328" i="3"/>
  <c r="BE328" i="3" s="1"/>
  <c r="AS328" i="3"/>
  <c r="AT328" i="3" s="1"/>
  <c r="AU328" i="3" s="1"/>
  <c r="AG328" i="3"/>
  <c r="Z328" i="3"/>
  <c r="Y328" i="3"/>
  <c r="X328" i="3"/>
  <c r="O328" i="3"/>
  <c r="S328" i="3" s="1"/>
  <c r="T328" i="3" s="1"/>
  <c r="J328" i="3"/>
  <c r="BG327" i="3"/>
  <c r="BD327" i="3"/>
  <c r="BE327" i="3" s="1"/>
  <c r="AS327" i="3"/>
  <c r="AT327" i="3" s="1"/>
  <c r="AU327" i="3" s="1"/>
  <c r="AG327" i="3"/>
  <c r="AH327" i="3" s="1"/>
  <c r="AI327" i="3" s="1"/>
  <c r="Z327" i="3"/>
  <c r="Y327" i="3"/>
  <c r="X327" i="3"/>
  <c r="O327" i="3"/>
  <c r="S327" i="3" s="1"/>
  <c r="R327" i="3" s="1"/>
  <c r="Q327" i="3" s="1"/>
  <c r="J327" i="3"/>
  <c r="BG326" i="3"/>
  <c r="BD326" i="3"/>
  <c r="BE326" i="3" s="1"/>
  <c r="AS326" i="3"/>
  <c r="AG326" i="3"/>
  <c r="AH326" i="3" s="1"/>
  <c r="AI326" i="3" s="1"/>
  <c r="Z326" i="3"/>
  <c r="Y326" i="3"/>
  <c r="X326" i="3"/>
  <c r="O326" i="3"/>
  <c r="S326" i="3" s="1"/>
  <c r="J326" i="3"/>
  <c r="BG325" i="3"/>
  <c r="BD325" i="3"/>
  <c r="BE325" i="3" s="1"/>
  <c r="AS325" i="3"/>
  <c r="AG325" i="3"/>
  <c r="AF325" i="3" s="1"/>
  <c r="Z325" i="3"/>
  <c r="Y325" i="3"/>
  <c r="X325" i="3"/>
  <c r="O325" i="3"/>
  <c r="S325" i="3" s="1"/>
  <c r="T325" i="3" s="1"/>
  <c r="J325" i="3"/>
  <c r="BG324" i="3"/>
  <c r="BD324" i="3"/>
  <c r="BE324" i="3" s="1"/>
  <c r="AS324" i="3"/>
  <c r="AT324" i="3" s="1"/>
  <c r="AU324" i="3" s="1"/>
  <c r="AG324" i="3"/>
  <c r="Z324" i="3"/>
  <c r="Y324" i="3"/>
  <c r="X324" i="3"/>
  <c r="O324" i="3"/>
  <c r="S324" i="3" s="1"/>
  <c r="J324" i="3"/>
  <c r="BG323" i="3"/>
  <c r="BD323" i="3"/>
  <c r="BE323" i="3" s="1"/>
  <c r="AS323" i="3"/>
  <c r="AG323" i="3"/>
  <c r="Z323" i="3"/>
  <c r="Y323" i="3"/>
  <c r="X323" i="3"/>
  <c r="O323" i="3"/>
  <c r="S323" i="3" s="1"/>
  <c r="J323" i="3"/>
  <c r="BG322" i="3"/>
  <c r="BD322" i="3"/>
  <c r="BE322" i="3" s="1"/>
  <c r="AS322" i="3"/>
  <c r="AR322" i="3" s="1"/>
  <c r="AG322" i="3"/>
  <c r="AH322" i="3" s="1"/>
  <c r="AI322" i="3" s="1"/>
  <c r="Z322" i="3"/>
  <c r="Y322" i="3"/>
  <c r="X322" i="3"/>
  <c r="O322" i="3"/>
  <c r="S322" i="3" s="1"/>
  <c r="J322" i="3"/>
  <c r="BG321" i="3"/>
  <c r="BD321" i="3"/>
  <c r="BE321" i="3" s="1"/>
  <c r="AS321" i="3"/>
  <c r="AT321" i="3" s="1"/>
  <c r="AU321" i="3" s="1"/>
  <c r="AG321" i="3"/>
  <c r="AH321" i="3" s="1"/>
  <c r="AI321" i="3" s="1"/>
  <c r="Z321" i="3"/>
  <c r="Y321" i="3"/>
  <c r="X321" i="3"/>
  <c r="O321" i="3"/>
  <c r="S321" i="3" s="1"/>
  <c r="J321" i="3"/>
  <c r="BG320" i="3"/>
  <c r="BD320" i="3"/>
  <c r="BE320" i="3" s="1"/>
  <c r="AS320" i="3"/>
  <c r="AT320" i="3" s="1"/>
  <c r="AU320" i="3" s="1"/>
  <c r="AG320" i="3"/>
  <c r="AH320" i="3" s="1"/>
  <c r="AI320" i="3" s="1"/>
  <c r="Z320" i="3"/>
  <c r="Y320" i="3"/>
  <c r="X320" i="3"/>
  <c r="O320" i="3"/>
  <c r="S320" i="3" s="1"/>
  <c r="J320" i="3"/>
  <c r="BG319" i="3"/>
  <c r="BD319" i="3"/>
  <c r="BE319" i="3" s="1"/>
  <c r="AS319" i="3"/>
  <c r="AT319" i="3" s="1"/>
  <c r="AU319" i="3" s="1"/>
  <c r="AG319" i="3"/>
  <c r="AH319" i="3" s="1"/>
  <c r="AI319" i="3" s="1"/>
  <c r="Z319" i="3"/>
  <c r="Y319" i="3"/>
  <c r="X319" i="3"/>
  <c r="O319" i="3"/>
  <c r="S319" i="3" s="1"/>
  <c r="J319" i="3"/>
  <c r="BG318" i="3"/>
  <c r="BD318" i="3"/>
  <c r="BE318" i="3" s="1"/>
  <c r="AS318" i="3"/>
  <c r="AG318" i="3"/>
  <c r="AH318" i="3" s="1"/>
  <c r="AI318" i="3" s="1"/>
  <c r="Z318" i="3"/>
  <c r="Y318" i="3"/>
  <c r="X318" i="3"/>
  <c r="O318" i="3"/>
  <c r="S318" i="3" s="1"/>
  <c r="T318" i="3" s="1"/>
  <c r="J318" i="3"/>
  <c r="BG317" i="3"/>
  <c r="BD317" i="3"/>
  <c r="BE317" i="3" s="1"/>
  <c r="AS317" i="3"/>
  <c r="AG317" i="3"/>
  <c r="AF317" i="3" s="1"/>
  <c r="Z317" i="3"/>
  <c r="Y317" i="3"/>
  <c r="X317" i="3"/>
  <c r="O317" i="3"/>
  <c r="S317" i="3" s="1"/>
  <c r="R317" i="3" s="1"/>
  <c r="Q317" i="3" s="1"/>
  <c r="J317" i="3"/>
  <c r="BG316" i="3"/>
  <c r="BD316" i="3"/>
  <c r="BE316" i="3" s="1"/>
  <c r="AS316" i="3"/>
  <c r="AR316" i="3" s="1"/>
  <c r="AG316" i="3"/>
  <c r="AH316" i="3" s="1"/>
  <c r="AI316" i="3" s="1"/>
  <c r="Z316" i="3"/>
  <c r="Y316" i="3"/>
  <c r="X316" i="3"/>
  <c r="O316" i="3"/>
  <c r="S316" i="3" s="1"/>
  <c r="J316" i="3"/>
  <c r="BG315" i="3"/>
  <c r="BD315" i="3"/>
  <c r="BE315" i="3" s="1"/>
  <c r="AS315" i="3"/>
  <c r="AT315" i="3" s="1"/>
  <c r="AU315" i="3" s="1"/>
  <c r="AG315" i="3"/>
  <c r="AH315" i="3" s="1"/>
  <c r="AI315" i="3" s="1"/>
  <c r="Z315" i="3"/>
  <c r="Y315" i="3"/>
  <c r="X315" i="3"/>
  <c r="O315" i="3"/>
  <c r="S315" i="3" s="1"/>
  <c r="J315" i="3"/>
  <c r="BG314" i="3"/>
  <c r="BD314" i="3"/>
  <c r="BE314" i="3" s="1"/>
  <c r="AS314" i="3"/>
  <c r="AG314" i="3"/>
  <c r="AH314" i="3" s="1"/>
  <c r="AI314" i="3" s="1"/>
  <c r="Z314" i="3"/>
  <c r="Y314" i="3"/>
  <c r="X314" i="3"/>
  <c r="O314" i="3"/>
  <c r="S314" i="3" s="1"/>
  <c r="J314" i="3"/>
  <c r="BG313" i="3"/>
  <c r="BD313" i="3"/>
  <c r="BE313" i="3" s="1"/>
  <c r="AS313" i="3"/>
  <c r="AT313" i="3" s="1"/>
  <c r="AU313" i="3" s="1"/>
  <c r="AG313" i="3"/>
  <c r="AH313" i="3" s="1"/>
  <c r="AI313" i="3" s="1"/>
  <c r="Z313" i="3"/>
  <c r="Y313" i="3"/>
  <c r="X313" i="3"/>
  <c r="O313" i="3"/>
  <c r="S313" i="3" s="1"/>
  <c r="R313" i="3" s="1"/>
  <c r="Q313" i="3" s="1"/>
  <c r="J313" i="3"/>
  <c r="BG312" i="3"/>
  <c r="BD312" i="3"/>
  <c r="BE312" i="3" s="1"/>
  <c r="AS312" i="3"/>
  <c r="AT312" i="3" s="1"/>
  <c r="AU312" i="3" s="1"/>
  <c r="AG312" i="3"/>
  <c r="AH312" i="3" s="1"/>
  <c r="AI312" i="3" s="1"/>
  <c r="Z312" i="3"/>
  <c r="Y312" i="3"/>
  <c r="X312" i="3"/>
  <c r="O312" i="3"/>
  <c r="S312" i="3" s="1"/>
  <c r="J312" i="3"/>
  <c r="BG311" i="3"/>
  <c r="BD311" i="3"/>
  <c r="BE311" i="3" s="1"/>
  <c r="AS311" i="3"/>
  <c r="AR311" i="3" s="1"/>
  <c r="AG311" i="3"/>
  <c r="Z311" i="3"/>
  <c r="Y311" i="3"/>
  <c r="X311" i="3"/>
  <c r="O311" i="3"/>
  <c r="S311" i="3" s="1"/>
  <c r="J311" i="3"/>
  <c r="BG310" i="3"/>
  <c r="BD310" i="3"/>
  <c r="BE310" i="3" s="1"/>
  <c r="AS310" i="3"/>
  <c r="AG310" i="3"/>
  <c r="AH310" i="3" s="1"/>
  <c r="AI310" i="3" s="1"/>
  <c r="Z310" i="3"/>
  <c r="Y310" i="3"/>
  <c r="X310" i="3"/>
  <c r="O310" i="3"/>
  <c r="S310" i="3" s="1"/>
  <c r="J310" i="3"/>
  <c r="BG309" i="3"/>
  <c r="BD309" i="3"/>
  <c r="BE309" i="3" s="1"/>
  <c r="AS309" i="3"/>
  <c r="AT309" i="3" s="1"/>
  <c r="AU309" i="3" s="1"/>
  <c r="AG309" i="3"/>
  <c r="AH309" i="3" s="1"/>
  <c r="AI309" i="3" s="1"/>
  <c r="Z309" i="3"/>
  <c r="Y309" i="3"/>
  <c r="X309" i="3"/>
  <c r="O309" i="3"/>
  <c r="S309" i="3" s="1"/>
  <c r="R309" i="3" s="1"/>
  <c r="Q309" i="3" s="1"/>
  <c r="J309" i="3"/>
  <c r="BG308" i="3"/>
  <c r="BD308" i="3"/>
  <c r="BE308" i="3" s="1"/>
  <c r="AS308" i="3"/>
  <c r="AT308" i="3" s="1"/>
  <c r="AU308" i="3" s="1"/>
  <c r="AG308" i="3"/>
  <c r="AH308" i="3" s="1"/>
  <c r="AI308" i="3" s="1"/>
  <c r="Z308" i="3"/>
  <c r="Y308" i="3"/>
  <c r="X308" i="3"/>
  <c r="O308" i="3"/>
  <c r="S308" i="3" s="1"/>
  <c r="T308" i="3" s="1"/>
  <c r="J308" i="3"/>
  <c r="BG307" i="3"/>
  <c r="BD307" i="3"/>
  <c r="BE307" i="3" s="1"/>
  <c r="AS307" i="3"/>
  <c r="AG307" i="3"/>
  <c r="Z307" i="3"/>
  <c r="Y307" i="3"/>
  <c r="X307" i="3"/>
  <c r="O307" i="3"/>
  <c r="S307" i="3" s="1"/>
  <c r="T307" i="3" s="1"/>
  <c r="J307" i="3"/>
  <c r="BG306" i="3"/>
  <c r="BD306" i="3"/>
  <c r="BE306" i="3" s="1"/>
  <c r="AS306" i="3"/>
  <c r="AT306" i="3" s="1"/>
  <c r="AU306" i="3" s="1"/>
  <c r="AG306" i="3"/>
  <c r="Z306" i="3"/>
  <c r="Y306" i="3"/>
  <c r="X306" i="3"/>
  <c r="O306" i="3"/>
  <c r="S306" i="3" s="1"/>
  <c r="J306" i="3"/>
  <c r="BG305" i="3"/>
  <c r="BD305" i="3"/>
  <c r="BE305" i="3" s="1"/>
  <c r="AS305" i="3"/>
  <c r="AG305" i="3"/>
  <c r="AH305" i="3" s="1"/>
  <c r="AI305" i="3" s="1"/>
  <c r="Z305" i="3"/>
  <c r="Y305" i="3"/>
  <c r="X305" i="3"/>
  <c r="O305" i="3"/>
  <c r="S305" i="3" s="1"/>
  <c r="J305" i="3"/>
  <c r="BG304" i="3"/>
  <c r="BD304" i="3"/>
  <c r="BE304" i="3" s="1"/>
  <c r="AS304" i="3"/>
  <c r="AG304" i="3"/>
  <c r="Z304" i="3"/>
  <c r="Y304" i="3"/>
  <c r="X304" i="3"/>
  <c r="O304" i="3"/>
  <c r="S304" i="3" s="1"/>
  <c r="T304" i="3" s="1"/>
  <c r="J304" i="3"/>
  <c r="BG303" i="3"/>
  <c r="BD303" i="3"/>
  <c r="BE303" i="3" s="1"/>
  <c r="AS303" i="3"/>
  <c r="AT303" i="3" s="1"/>
  <c r="AU303" i="3" s="1"/>
  <c r="AG303" i="3"/>
  <c r="Z303" i="3"/>
  <c r="Y303" i="3"/>
  <c r="X303" i="3"/>
  <c r="O303" i="3"/>
  <c r="S303" i="3" s="1"/>
  <c r="J303" i="3"/>
  <c r="BG302" i="3"/>
  <c r="BD302" i="3"/>
  <c r="BE302" i="3" s="1"/>
  <c r="AS302" i="3"/>
  <c r="AG302" i="3"/>
  <c r="Z302" i="3"/>
  <c r="Y302" i="3"/>
  <c r="X302" i="3"/>
  <c r="O302" i="3"/>
  <c r="S302" i="3" s="1"/>
  <c r="J302" i="3"/>
  <c r="BG301" i="3"/>
  <c r="BD301" i="3"/>
  <c r="BE301" i="3" s="1"/>
  <c r="AS301" i="3"/>
  <c r="AG301" i="3"/>
  <c r="AH301" i="3" s="1"/>
  <c r="AI301" i="3" s="1"/>
  <c r="Z301" i="3"/>
  <c r="Y301" i="3"/>
  <c r="X301" i="3"/>
  <c r="O301" i="3"/>
  <c r="S301" i="3" s="1"/>
  <c r="J301" i="3"/>
  <c r="BG300" i="3"/>
  <c r="BD300" i="3"/>
  <c r="BE300" i="3" s="1"/>
  <c r="AS300" i="3"/>
  <c r="AG300" i="3"/>
  <c r="Z300" i="3"/>
  <c r="Y300" i="3"/>
  <c r="X300" i="3"/>
  <c r="O300" i="3"/>
  <c r="S300" i="3" s="1"/>
  <c r="T300" i="3" s="1"/>
  <c r="J300" i="3"/>
  <c r="BG299" i="3"/>
  <c r="BD299" i="3"/>
  <c r="BE299" i="3" s="1"/>
  <c r="AS299" i="3"/>
  <c r="AT299" i="3" s="1"/>
  <c r="AU299" i="3" s="1"/>
  <c r="AG299" i="3"/>
  <c r="AF299" i="3" s="1"/>
  <c r="Z299" i="3"/>
  <c r="Y299" i="3"/>
  <c r="X299" i="3"/>
  <c r="O299" i="3"/>
  <c r="S299" i="3" s="1"/>
  <c r="T299" i="3" s="1"/>
  <c r="J299" i="3"/>
  <c r="BG298" i="3"/>
  <c r="BD298" i="3"/>
  <c r="BE298" i="3" s="1"/>
  <c r="AS298" i="3"/>
  <c r="AG298" i="3"/>
  <c r="AH298" i="3" s="1"/>
  <c r="AI298" i="3" s="1"/>
  <c r="Z298" i="3"/>
  <c r="Y298" i="3"/>
  <c r="X298" i="3"/>
  <c r="O298" i="3"/>
  <c r="S298" i="3" s="1"/>
  <c r="J298" i="3"/>
  <c r="BG297" i="3"/>
  <c r="BD297" i="3"/>
  <c r="BE297" i="3" s="1"/>
  <c r="AS297" i="3"/>
  <c r="AT297" i="3" s="1"/>
  <c r="AU297" i="3" s="1"/>
  <c r="AG297" i="3"/>
  <c r="Z297" i="3"/>
  <c r="Y297" i="3"/>
  <c r="X297" i="3"/>
  <c r="O297" i="3"/>
  <c r="S297" i="3" s="1"/>
  <c r="J297" i="3"/>
  <c r="BG296" i="3"/>
  <c r="BD296" i="3"/>
  <c r="BE296" i="3" s="1"/>
  <c r="AS296" i="3"/>
  <c r="AR296" i="3" s="1"/>
  <c r="AG296" i="3"/>
  <c r="AH296" i="3" s="1"/>
  <c r="AI296" i="3" s="1"/>
  <c r="Z296" i="3"/>
  <c r="Y296" i="3"/>
  <c r="X296" i="3"/>
  <c r="O296" i="3"/>
  <c r="S296" i="3" s="1"/>
  <c r="J296" i="3"/>
  <c r="BG295" i="3"/>
  <c r="BD295" i="3"/>
  <c r="BE295" i="3" s="1"/>
  <c r="AS295" i="3"/>
  <c r="AG295" i="3"/>
  <c r="AH295" i="3" s="1"/>
  <c r="AI295" i="3" s="1"/>
  <c r="Z295" i="3"/>
  <c r="Y295" i="3"/>
  <c r="X295" i="3"/>
  <c r="O295" i="3"/>
  <c r="S295" i="3" s="1"/>
  <c r="J295" i="3"/>
  <c r="BG294" i="3"/>
  <c r="BD294" i="3"/>
  <c r="BE294" i="3" s="1"/>
  <c r="AS294" i="3"/>
  <c r="AG294" i="3"/>
  <c r="AF294" i="3" s="1"/>
  <c r="Z294" i="3"/>
  <c r="Y294" i="3"/>
  <c r="X294" i="3"/>
  <c r="O294" i="3"/>
  <c r="S294" i="3" s="1"/>
  <c r="T294" i="3" s="1"/>
  <c r="J294" i="3"/>
  <c r="BG293" i="3"/>
  <c r="BD293" i="3"/>
  <c r="BE293" i="3" s="1"/>
  <c r="AS293" i="3"/>
  <c r="AT293" i="3" s="1"/>
  <c r="AU293" i="3" s="1"/>
  <c r="AG293" i="3"/>
  <c r="AF293" i="3" s="1"/>
  <c r="Z293" i="3"/>
  <c r="Y293" i="3"/>
  <c r="X293" i="3"/>
  <c r="O293" i="3"/>
  <c r="S293" i="3" s="1"/>
  <c r="J293" i="3"/>
  <c r="BG292" i="3"/>
  <c r="BD292" i="3"/>
  <c r="BE292" i="3" s="1"/>
  <c r="AS292" i="3"/>
  <c r="AG292" i="3"/>
  <c r="AH292" i="3" s="1"/>
  <c r="AI292" i="3" s="1"/>
  <c r="Z292" i="3"/>
  <c r="Y292" i="3"/>
  <c r="X292" i="3"/>
  <c r="O292" i="3"/>
  <c r="S292" i="3" s="1"/>
  <c r="J292" i="3"/>
  <c r="BG291" i="3"/>
  <c r="BD291" i="3"/>
  <c r="BE291" i="3" s="1"/>
  <c r="AS291" i="3"/>
  <c r="AT291" i="3" s="1"/>
  <c r="AU291" i="3" s="1"/>
  <c r="AG291" i="3"/>
  <c r="AF291" i="3" s="1"/>
  <c r="Z291" i="3"/>
  <c r="Y291" i="3"/>
  <c r="X291" i="3"/>
  <c r="O291" i="3"/>
  <c r="S291" i="3" s="1"/>
  <c r="J291" i="3"/>
  <c r="BG290" i="3"/>
  <c r="BD290" i="3"/>
  <c r="BE290" i="3" s="1"/>
  <c r="AS290" i="3"/>
  <c r="AR290" i="3" s="1"/>
  <c r="AG290" i="3"/>
  <c r="Z290" i="3"/>
  <c r="Y290" i="3"/>
  <c r="X290" i="3"/>
  <c r="O290" i="3"/>
  <c r="S290" i="3" s="1"/>
  <c r="T290" i="3" s="1"/>
  <c r="J290" i="3"/>
  <c r="BG289" i="3"/>
  <c r="BD289" i="3"/>
  <c r="BE289" i="3" s="1"/>
  <c r="AS289" i="3"/>
  <c r="AT289" i="3" s="1"/>
  <c r="AU289" i="3" s="1"/>
  <c r="AG289" i="3"/>
  <c r="AH289" i="3" s="1"/>
  <c r="AI289" i="3" s="1"/>
  <c r="Z289" i="3"/>
  <c r="Y289" i="3"/>
  <c r="X289" i="3"/>
  <c r="O289" i="3"/>
  <c r="S289" i="3" s="1"/>
  <c r="T289" i="3" s="1"/>
  <c r="J289" i="3"/>
  <c r="BG288" i="3"/>
  <c r="BD288" i="3"/>
  <c r="BE288" i="3" s="1"/>
  <c r="AS288" i="3"/>
  <c r="AT288" i="3" s="1"/>
  <c r="AU288" i="3" s="1"/>
  <c r="AG288" i="3"/>
  <c r="Z288" i="3"/>
  <c r="Y288" i="3"/>
  <c r="X288" i="3"/>
  <c r="O288" i="3"/>
  <c r="S288" i="3" s="1"/>
  <c r="J288" i="3"/>
  <c r="BG287" i="3"/>
  <c r="BD287" i="3"/>
  <c r="BE287" i="3" s="1"/>
  <c r="AS287" i="3"/>
  <c r="AG287" i="3"/>
  <c r="AF287" i="3" s="1"/>
  <c r="Z287" i="3"/>
  <c r="Y287" i="3"/>
  <c r="X287" i="3"/>
  <c r="O287" i="3"/>
  <c r="S287" i="3" s="1"/>
  <c r="J287" i="3"/>
  <c r="BG286" i="3"/>
  <c r="BD286" i="3"/>
  <c r="BE286" i="3" s="1"/>
  <c r="AS286" i="3"/>
  <c r="AT286" i="3" s="1"/>
  <c r="AU286" i="3" s="1"/>
  <c r="AG286" i="3"/>
  <c r="AH286" i="3" s="1"/>
  <c r="AI286" i="3" s="1"/>
  <c r="Z286" i="3"/>
  <c r="Y286" i="3"/>
  <c r="X286" i="3"/>
  <c r="O286" i="3"/>
  <c r="S286" i="3" s="1"/>
  <c r="R286" i="3" s="1"/>
  <c r="Q286" i="3" s="1"/>
  <c r="J286" i="3"/>
  <c r="BG285" i="3"/>
  <c r="BD285" i="3"/>
  <c r="BE285" i="3" s="1"/>
  <c r="AS285" i="3"/>
  <c r="AT285" i="3" s="1"/>
  <c r="AU285" i="3" s="1"/>
  <c r="AG285" i="3"/>
  <c r="Z285" i="3"/>
  <c r="Y285" i="3"/>
  <c r="X285" i="3"/>
  <c r="O285" i="3"/>
  <c r="S285" i="3" s="1"/>
  <c r="T285" i="3" s="1"/>
  <c r="J285" i="3"/>
  <c r="BG284" i="3"/>
  <c r="BD284" i="3"/>
  <c r="BE284" i="3" s="1"/>
  <c r="AS284" i="3"/>
  <c r="AT284" i="3" s="1"/>
  <c r="AU284" i="3" s="1"/>
  <c r="AG284" i="3"/>
  <c r="Z284" i="3"/>
  <c r="Y284" i="3"/>
  <c r="X284" i="3"/>
  <c r="O284" i="3"/>
  <c r="S284" i="3" s="1"/>
  <c r="J284" i="3"/>
  <c r="BG283" i="3"/>
  <c r="BD283" i="3"/>
  <c r="BE283" i="3" s="1"/>
  <c r="AS283" i="3"/>
  <c r="AR283" i="3" s="1"/>
  <c r="AG283" i="3"/>
  <c r="AH283" i="3" s="1"/>
  <c r="AI283" i="3" s="1"/>
  <c r="Z283" i="3"/>
  <c r="Y283" i="3"/>
  <c r="X283" i="3"/>
  <c r="O283" i="3"/>
  <c r="S283" i="3" s="1"/>
  <c r="T283" i="3" s="1"/>
  <c r="J283" i="3"/>
  <c r="BG282" i="3"/>
  <c r="BD282" i="3"/>
  <c r="BE282" i="3" s="1"/>
  <c r="AS282" i="3"/>
  <c r="AT282" i="3" s="1"/>
  <c r="AU282" i="3" s="1"/>
  <c r="AG282" i="3"/>
  <c r="AH282" i="3" s="1"/>
  <c r="AI282" i="3" s="1"/>
  <c r="Z282" i="3"/>
  <c r="Y282" i="3"/>
  <c r="X282" i="3"/>
  <c r="O282" i="3"/>
  <c r="S282" i="3" s="1"/>
  <c r="J282" i="3"/>
  <c r="BG281" i="3"/>
  <c r="BD281" i="3"/>
  <c r="BE281" i="3" s="1"/>
  <c r="AS281" i="3"/>
  <c r="AG281" i="3"/>
  <c r="AF281" i="3" s="1"/>
  <c r="Z281" i="3"/>
  <c r="Y281" i="3"/>
  <c r="X281" i="3"/>
  <c r="O281" i="3"/>
  <c r="S281" i="3" s="1"/>
  <c r="T281" i="3" s="1"/>
  <c r="J281" i="3"/>
  <c r="BG280" i="3"/>
  <c r="BD280" i="3"/>
  <c r="BE280" i="3" s="1"/>
  <c r="AS280" i="3"/>
  <c r="AT280" i="3" s="1"/>
  <c r="AU280" i="3" s="1"/>
  <c r="AG280" i="3"/>
  <c r="AH280" i="3" s="1"/>
  <c r="AI280" i="3" s="1"/>
  <c r="Z280" i="3"/>
  <c r="Y280" i="3"/>
  <c r="X280" i="3"/>
  <c r="O280" i="3"/>
  <c r="S280" i="3" s="1"/>
  <c r="R280" i="3" s="1"/>
  <c r="Q280" i="3" s="1"/>
  <c r="J280" i="3"/>
  <c r="BG279" i="3"/>
  <c r="BD279" i="3"/>
  <c r="BE279" i="3" s="1"/>
  <c r="AS279" i="3"/>
  <c r="AR279" i="3" s="1"/>
  <c r="AG279" i="3"/>
  <c r="AH279" i="3" s="1"/>
  <c r="AI279" i="3" s="1"/>
  <c r="Z279" i="3"/>
  <c r="Y279" i="3"/>
  <c r="X279" i="3"/>
  <c r="O279" i="3"/>
  <c r="S279" i="3" s="1"/>
  <c r="J279" i="3"/>
  <c r="BG278" i="3"/>
  <c r="BD278" i="3"/>
  <c r="BE278" i="3" s="1"/>
  <c r="AS278" i="3"/>
  <c r="AT278" i="3" s="1"/>
  <c r="AU278" i="3" s="1"/>
  <c r="AG278" i="3"/>
  <c r="AH278" i="3" s="1"/>
  <c r="AI278" i="3" s="1"/>
  <c r="Z278" i="3"/>
  <c r="Y278" i="3"/>
  <c r="X278" i="3"/>
  <c r="O278" i="3"/>
  <c r="S278" i="3" s="1"/>
  <c r="T278" i="3" s="1"/>
  <c r="J278" i="3"/>
  <c r="BG277" i="3"/>
  <c r="BD277" i="3"/>
  <c r="BE277" i="3" s="1"/>
  <c r="AS277" i="3"/>
  <c r="AT277" i="3" s="1"/>
  <c r="AU277" i="3" s="1"/>
  <c r="AG277" i="3"/>
  <c r="Z277" i="3"/>
  <c r="Y277" i="3"/>
  <c r="X277" i="3"/>
  <c r="O277" i="3"/>
  <c r="S277" i="3" s="1"/>
  <c r="T277" i="3" s="1"/>
  <c r="J277" i="3"/>
  <c r="BG276" i="3"/>
  <c r="BD276" i="3"/>
  <c r="BE276" i="3" s="1"/>
  <c r="AS276" i="3"/>
  <c r="AT276" i="3" s="1"/>
  <c r="AU276" i="3" s="1"/>
  <c r="AG276" i="3"/>
  <c r="AF276" i="3" s="1"/>
  <c r="Z276" i="3"/>
  <c r="Y276" i="3"/>
  <c r="X276" i="3"/>
  <c r="O276" i="3"/>
  <c r="S276" i="3" s="1"/>
  <c r="R276" i="3" s="1"/>
  <c r="Q276" i="3" s="1"/>
  <c r="J276" i="3"/>
  <c r="BG275" i="3"/>
  <c r="BD275" i="3"/>
  <c r="BE275" i="3" s="1"/>
  <c r="AS275" i="3"/>
  <c r="AR275" i="3" s="1"/>
  <c r="AG275" i="3"/>
  <c r="AH275" i="3" s="1"/>
  <c r="AI275" i="3" s="1"/>
  <c r="Z275" i="3"/>
  <c r="Y275" i="3"/>
  <c r="X275" i="3"/>
  <c r="O275" i="3"/>
  <c r="S275" i="3" s="1"/>
  <c r="T275" i="3" s="1"/>
  <c r="J275" i="3"/>
  <c r="BG274" i="3"/>
  <c r="BD274" i="3"/>
  <c r="BE274" i="3" s="1"/>
  <c r="AS274" i="3"/>
  <c r="AG274" i="3"/>
  <c r="AH274" i="3" s="1"/>
  <c r="AI274" i="3" s="1"/>
  <c r="Z274" i="3"/>
  <c r="Y274" i="3"/>
  <c r="X274" i="3"/>
  <c r="O274" i="3"/>
  <c r="S274" i="3" s="1"/>
  <c r="J274" i="3"/>
  <c r="BG273" i="3"/>
  <c r="BD273" i="3"/>
  <c r="BE273" i="3" s="1"/>
  <c r="AS273" i="3"/>
  <c r="AR273" i="3" s="1"/>
  <c r="AG273" i="3"/>
  <c r="AF273" i="3" s="1"/>
  <c r="Z273" i="3"/>
  <c r="Y273" i="3"/>
  <c r="X273" i="3"/>
  <c r="O273" i="3"/>
  <c r="S273" i="3" s="1"/>
  <c r="T273" i="3" s="1"/>
  <c r="J273" i="3"/>
  <c r="BG272" i="3"/>
  <c r="BD272" i="3"/>
  <c r="BE272" i="3" s="1"/>
  <c r="AS272" i="3"/>
  <c r="AT272" i="3" s="1"/>
  <c r="AU272" i="3" s="1"/>
  <c r="AG272" i="3"/>
  <c r="AH272" i="3" s="1"/>
  <c r="AI272" i="3" s="1"/>
  <c r="Z272" i="3"/>
  <c r="Y272" i="3"/>
  <c r="X272" i="3"/>
  <c r="O272" i="3"/>
  <c r="S272" i="3" s="1"/>
  <c r="J272" i="3"/>
  <c r="BG271" i="3"/>
  <c r="BD271" i="3"/>
  <c r="BE271" i="3" s="1"/>
  <c r="AS271" i="3"/>
  <c r="AT271" i="3" s="1"/>
  <c r="AU271" i="3" s="1"/>
  <c r="AG271" i="3"/>
  <c r="AH271" i="3" s="1"/>
  <c r="AI271" i="3" s="1"/>
  <c r="Z271" i="3"/>
  <c r="Y271" i="3"/>
  <c r="X271" i="3"/>
  <c r="O271" i="3"/>
  <c r="S271" i="3" s="1"/>
  <c r="J271" i="3"/>
  <c r="BG270" i="3"/>
  <c r="BD270" i="3"/>
  <c r="BE270" i="3" s="1"/>
  <c r="AS270" i="3"/>
  <c r="AT270" i="3" s="1"/>
  <c r="AU270" i="3" s="1"/>
  <c r="AG270" i="3"/>
  <c r="AF270" i="3" s="1"/>
  <c r="Z270" i="3"/>
  <c r="Y270" i="3"/>
  <c r="X270" i="3"/>
  <c r="O270" i="3"/>
  <c r="S270" i="3" s="1"/>
  <c r="J270" i="3"/>
  <c r="BG269" i="3"/>
  <c r="BD269" i="3"/>
  <c r="BE269" i="3" s="1"/>
  <c r="AS269" i="3"/>
  <c r="AT269" i="3" s="1"/>
  <c r="AU269" i="3" s="1"/>
  <c r="AG269" i="3"/>
  <c r="AH269" i="3" s="1"/>
  <c r="AI269" i="3" s="1"/>
  <c r="Z269" i="3"/>
  <c r="Y269" i="3"/>
  <c r="X269" i="3"/>
  <c r="O269" i="3"/>
  <c r="S269" i="3" s="1"/>
  <c r="J269" i="3"/>
  <c r="BG268" i="3"/>
  <c r="BD268" i="3"/>
  <c r="BE268" i="3" s="1"/>
  <c r="AS268" i="3"/>
  <c r="AR268" i="3" s="1"/>
  <c r="AG268" i="3"/>
  <c r="AH268" i="3" s="1"/>
  <c r="AI268" i="3" s="1"/>
  <c r="Z268" i="3"/>
  <c r="Y268" i="3"/>
  <c r="X268" i="3"/>
  <c r="O268" i="3"/>
  <c r="S268" i="3" s="1"/>
  <c r="T268" i="3" s="1"/>
  <c r="J268" i="3"/>
  <c r="BG267" i="3"/>
  <c r="BD267" i="3"/>
  <c r="BE267" i="3" s="1"/>
  <c r="AS267" i="3"/>
  <c r="AT267" i="3" s="1"/>
  <c r="AU267" i="3" s="1"/>
  <c r="AG267" i="3"/>
  <c r="Z267" i="3"/>
  <c r="Y267" i="3"/>
  <c r="X267" i="3"/>
  <c r="O267" i="3"/>
  <c r="S267" i="3" s="1"/>
  <c r="J267" i="3"/>
  <c r="BG266" i="3"/>
  <c r="BD266" i="3"/>
  <c r="BE266" i="3" s="1"/>
  <c r="AS266" i="3"/>
  <c r="AT266" i="3" s="1"/>
  <c r="AU266" i="3" s="1"/>
  <c r="AG266" i="3"/>
  <c r="AF266" i="3" s="1"/>
  <c r="Z266" i="3"/>
  <c r="Y266" i="3"/>
  <c r="X266" i="3"/>
  <c r="O266" i="3"/>
  <c r="S266" i="3" s="1"/>
  <c r="J266" i="3"/>
  <c r="BG265" i="3"/>
  <c r="BD265" i="3"/>
  <c r="BE265" i="3" s="1"/>
  <c r="AS265" i="3"/>
  <c r="AR265" i="3" s="1"/>
  <c r="AG265" i="3"/>
  <c r="AH265" i="3" s="1"/>
  <c r="AI265" i="3" s="1"/>
  <c r="Z265" i="3"/>
  <c r="Y265" i="3"/>
  <c r="X265" i="3"/>
  <c r="O265" i="3"/>
  <c r="S265" i="3" s="1"/>
  <c r="J265" i="3"/>
  <c r="BG264" i="3"/>
  <c r="BD264" i="3"/>
  <c r="BE264" i="3" s="1"/>
  <c r="AS264" i="3"/>
  <c r="AG264" i="3"/>
  <c r="AF264" i="3" s="1"/>
  <c r="Z264" i="3"/>
  <c r="Y264" i="3"/>
  <c r="X264" i="3"/>
  <c r="O264" i="3"/>
  <c r="S264" i="3" s="1"/>
  <c r="J264" i="3"/>
  <c r="BG263" i="3"/>
  <c r="BD263" i="3"/>
  <c r="BE263" i="3" s="1"/>
  <c r="AS263" i="3"/>
  <c r="AT263" i="3" s="1"/>
  <c r="AU263" i="3" s="1"/>
  <c r="AG263" i="3"/>
  <c r="AF263" i="3" s="1"/>
  <c r="Z263" i="3"/>
  <c r="Y263" i="3"/>
  <c r="X263" i="3"/>
  <c r="O263" i="3"/>
  <c r="S263" i="3" s="1"/>
  <c r="J263" i="3"/>
  <c r="BG262" i="3"/>
  <c r="BD262" i="3"/>
  <c r="BE262" i="3" s="1"/>
  <c r="AS262" i="3"/>
  <c r="AR262" i="3" s="1"/>
  <c r="AG262" i="3"/>
  <c r="AH262" i="3" s="1"/>
  <c r="AI262" i="3" s="1"/>
  <c r="Z262" i="3"/>
  <c r="Y262" i="3"/>
  <c r="X262" i="3"/>
  <c r="O262" i="3"/>
  <c r="S262" i="3" s="1"/>
  <c r="R262" i="3" s="1"/>
  <c r="Q262" i="3" s="1"/>
  <c r="J262" i="3"/>
  <c r="BG261" i="3"/>
  <c r="BD261" i="3"/>
  <c r="BE261" i="3" s="1"/>
  <c r="AS261" i="3"/>
  <c r="AR261" i="3" s="1"/>
  <c r="AG261" i="3"/>
  <c r="AH261" i="3" s="1"/>
  <c r="AI261" i="3" s="1"/>
  <c r="Z261" i="3"/>
  <c r="Y261" i="3"/>
  <c r="X261" i="3"/>
  <c r="O261" i="3"/>
  <c r="S261" i="3" s="1"/>
  <c r="T261" i="3" s="1"/>
  <c r="J261" i="3"/>
  <c r="BG260" i="3"/>
  <c r="BD260" i="3"/>
  <c r="BE260" i="3" s="1"/>
  <c r="AS260" i="3"/>
  <c r="AG260" i="3"/>
  <c r="Z260" i="3"/>
  <c r="Y260" i="3"/>
  <c r="X260" i="3"/>
  <c r="O260" i="3"/>
  <c r="S260" i="3" s="1"/>
  <c r="J260" i="3"/>
  <c r="BG259" i="3"/>
  <c r="BD259" i="3"/>
  <c r="BE259" i="3" s="1"/>
  <c r="AS259" i="3"/>
  <c r="AT259" i="3" s="1"/>
  <c r="AU259" i="3" s="1"/>
  <c r="AG259" i="3"/>
  <c r="AF259" i="3" s="1"/>
  <c r="Z259" i="3"/>
  <c r="Y259" i="3"/>
  <c r="X259" i="3"/>
  <c r="O259" i="3"/>
  <c r="S259" i="3" s="1"/>
  <c r="J259" i="3"/>
  <c r="BG258" i="3"/>
  <c r="BD258" i="3"/>
  <c r="BE258" i="3" s="1"/>
  <c r="AS258" i="3"/>
  <c r="AR258" i="3" s="1"/>
  <c r="AG258" i="3"/>
  <c r="AH258" i="3" s="1"/>
  <c r="AI258" i="3" s="1"/>
  <c r="Z258" i="3"/>
  <c r="Y258" i="3"/>
  <c r="X258" i="3"/>
  <c r="O258" i="3"/>
  <c r="S258" i="3" s="1"/>
  <c r="J258" i="3"/>
  <c r="BG257" i="3"/>
  <c r="BD257" i="3"/>
  <c r="BE257" i="3" s="1"/>
  <c r="AS257" i="3"/>
  <c r="AG257" i="3"/>
  <c r="AH257" i="3" s="1"/>
  <c r="AI257" i="3" s="1"/>
  <c r="Z257" i="3"/>
  <c r="Y257" i="3"/>
  <c r="X257" i="3"/>
  <c r="O257" i="3"/>
  <c r="S257" i="3" s="1"/>
  <c r="T257" i="3" s="1"/>
  <c r="J257" i="3"/>
  <c r="BG256" i="3"/>
  <c r="BD256" i="3"/>
  <c r="BE256" i="3" s="1"/>
  <c r="AS256" i="3"/>
  <c r="AG256" i="3"/>
  <c r="AH256" i="3" s="1"/>
  <c r="AI256" i="3" s="1"/>
  <c r="Z256" i="3"/>
  <c r="Y256" i="3"/>
  <c r="X256" i="3"/>
  <c r="O256" i="3"/>
  <c r="S256" i="3" s="1"/>
  <c r="J256" i="3"/>
  <c r="BG255" i="3"/>
  <c r="BD255" i="3"/>
  <c r="BE255" i="3" s="1"/>
  <c r="AS255" i="3"/>
  <c r="AR255" i="3" s="1"/>
  <c r="AG255" i="3"/>
  <c r="Z255" i="3"/>
  <c r="Y255" i="3"/>
  <c r="X255" i="3"/>
  <c r="O255" i="3"/>
  <c r="S255" i="3" s="1"/>
  <c r="J255" i="3"/>
  <c r="BG254" i="3"/>
  <c r="BD254" i="3"/>
  <c r="BE254" i="3" s="1"/>
  <c r="AS254" i="3"/>
  <c r="AT254" i="3" s="1"/>
  <c r="AU254" i="3" s="1"/>
  <c r="AG254" i="3"/>
  <c r="Z254" i="3"/>
  <c r="Y254" i="3"/>
  <c r="X254" i="3"/>
  <c r="O254" i="3"/>
  <c r="S254" i="3" s="1"/>
  <c r="R254" i="3" s="1"/>
  <c r="Q254" i="3" s="1"/>
  <c r="J254" i="3"/>
  <c r="BG253" i="3"/>
  <c r="BD253" i="3"/>
  <c r="BE253" i="3" s="1"/>
  <c r="AS253" i="3"/>
  <c r="AT253" i="3" s="1"/>
  <c r="AU253" i="3" s="1"/>
  <c r="AG253" i="3"/>
  <c r="AH253" i="3" s="1"/>
  <c r="AI253" i="3" s="1"/>
  <c r="Z253" i="3"/>
  <c r="Y253" i="3"/>
  <c r="X253" i="3"/>
  <c r="O253" i="3"/>
  <c r="S253" i="3" s="1"/>
  <c r="J253" i="3"/>
  <c r="BG252" i="3"/>
  <c r="BD252" i="3"/>
  <c r="BE252" i="3" s="1"/>
  <c r="AS252" i="3"/>
  <c r="AG252" i="3"/>
  <c r="Z252" i="3"/>
  <c r="Y252" i="3"/>
  <c r="X252" i="3"/>
  <c r="O252" i="3"/>
  <c r="S252" i="3" s="1"/>
  <c r="J252" i="3"/>
  <c r="BG251" i="3"/>
  <c r="BD251" i="3"/>
  <c r="BE251" i="3" s="1"/>
  <c r="AS251" i="3"/>
  <c r="AT251" i="3" s="1"/>
  <c r="AU251" i="3" s="1"/>
  <c r="AG251" i="3"/>
  <c r="AH251" i="3" s="1"/>
  <c r="AI251" i="3" s="1"/>
  <c r="Z251" i="3"/>
  <c r="Y251" i="3"/>
  <c r="X251" i="3"/>
  <c r="O251" i="3"/>
  <c r="S251" i="3" s="1"/>
  <c r="J251" i="3"/>
  <c r="BG250" i="3"/>
  <c r="BD250" i="3"/>
  <c r="BE250" i="3" s="1"/>
  <c r="AS250" i="3"/>
  <c r="AR250" i="3" s="1"/>
  <c r="AG250" i="3"/>
  <c r="AH250" i="3" s="1"/>
  <c r="AI250" i="3" s="1"/>
  <c r="Z250" i="3"/>
  <c r="Y250" i="3"/>
  <c r="X250" i="3"/>
  <c r="O250" i="3"/>
  <c r="S250" i="3" s="1"/>
  <c r="J250" i="3"/>
  <c r="BG249" i="3"/>
  <c r="BD249" i="3"/>
  <c r="BE249" i="3" s="1"/>
  <c r="AS249" i="3"/>
  <c r="AT249" i="3" s="1"/>
  <c r="AU249" i="3" s="1"/>
  <c r="AG249" i="3"/>
  <c r="AH249" i="3" s="1"/>
  <c r="AI249" i="3" s="1"/>
  <c r="Z249" i="3"/>
  <c r="Y249" i="3"/>
  <c r="X249" i="3"/>
  <c r="O249" i="3"/>
  <c r="S249" i="3" s="1"/>
  <c r="J249" i="3"/>
  <c r="BG248" i="3"/>
  <c r="BD248" i="3"/>
  <c r="BE248" i="3" s="1"/>
  <c r="AS248" i="3"/>
  <c r="AR248" i="3" s="1"/>
  <c r="AG248" i="3"/>
  <c r="AH248" i="3" s="1"/>
  <c r="AI248" i="3" s="1"/>
  <c r="Z248" i="3"/>
  <c r="Y248" i="3"/>
  <c r="X248" i="3"/>
  <c r="O248" i="3"/>
  <c r="S248" i="3" s="1"/>
  <c r="T248" i="3" s="1"/>
  <c r="J248" i="3"/>
  <c r="BG247" i="3"/>
  <c r="BD247" i="3"/>
  <c r="BE247" i="3" s="1"/>
  <c r="AS247" i="3"/>
  <c r="AR247" i="3" s="1"/>
  <c r="AG247" i="3"/>
  <c r="Z247" i="3"/>
  <c r="Y247" i="3"/>
  <c r="X247" i="3"/>
  <c r="O247" i="3"/>
  <c r="S247" i="3" s="1"/>
  <c r="R247" i="3" s="1"/>
  <c r="Q247" i="3" s="1"/>
  <c r="J247" i="3"/>
  <c r="BG246" i="3"/>
  <c r="BD246" i="3"/>
  <c r="BE246" i="3" s="1"/>
  <c r="AS246" i="3"/>
  <c r="AT246" i="3" s="1"/>
  <c r="AU246" i="3" s="1"/>
  <c r="AG246" i="3"/>
  <c r="AH246" i="3" s="1"/>
  <c r="AI246" i="3" s="1"/>
  <c r="Z246" i="3"/>
  <c r="Y246" i="3"/>
  <c r="X246" i="3"/>
  <c r="O246" i="3"/>
  <c r="S246" i="3" s="1"/>
  <c r="T246" i="3" s="1"/>
  <c r="J246" i="3"/>
  <c r="BG245" i="3"/>
  <c r="BD245" i="3"/>
  <c r="BE245" i="3" s="1"/>
  <c r="AS245" i="3"/>
  <c r="AT245" i="3" s="1"/>
  <c r="AU245" i="3" s="1"/>
  <c r="AG245" i="3"/>
  <c r="AH245" i="3" s="1"/>
  <c r="AI245" i="3" s="1"/>
  <c r="Z245" i="3"/>
  <c r="Y245" i="3"/>
  <c r="X245" i="3"/>
  <c r="O245" i="3"/>
  <c r="S245" i="3" s="1"/>
  <c r="J245" i="3"/>
  <c r="BG244" i="3"/>
  <c r="BD244" i="3"/>
  <c r="BE244" i="3" s="1"/>
  <c r="AS244" i="3"/>
  <c r="AG244" i="3"/>
  <c r="AH244" i="3" s="1"/>
  <c r="AI244" i="3" s="1"/>
  <c r="Z244" i="3"/>
  <c r="Y244" i="3"/>
  <c r="X244" i="3"/>
  <c r="O244" i="3"/>
  <c r="S244" i="3" s="1"/>
  <c r="J244" i="3"/>
  <c r="BG243" i="3"/>
  <c r="BD243" i="3"/>
  <c r="BE243" i="3" s="1"/>
  <c r="AS243" i="3"/>
  <c r="AR243" i="3" s="1"/>
  <c r="AG243" i="3"/>
  <c r="Z243" i="3"/>
  <c r="Y243" i="3"/>
  <c r="X243" i="3"/>
  <c r="O243" i="3"/>
  <c r="S243" i="3" s="1"/>
  <c r="J243" i="3"/>
  <c r="BG242" i="3"/>
  <c r="BD242" i="3"/>
  <c r="BE242" i="3" s="1"/>
  <c r="AS242" i="3"/>
  <c r="AG242" i="3"/>
  <c r="Z242" i="3"/>
  <c r="Y242" i="3"/>
  <c r="X242" i="3"/>
  <c r="O242" i="3"/>
  <c r="S242" i="3" s="1"/>
  <c r="J242" i="3"/>
  <c r="BG241" i="3"/>
  <c r="BD241" i="3"/>
  <c r="BE241" i="3" s="1"/>
  <c r="AS241" i="3"/>
  <c r="AT241" i="3" s="1"/>
  <c r="AU241" i="3" s="1"/>
  <c r="AG241" i="3"/>
  <c r="Z241" i="3"/>
  <c r="Y241" i="3"/>
  <c r="X241" i="3"/>
  <c r="O241" i="3"/>
  <c r="S241" i="3" s="1"/>
  <c r="T241" i="3" s="1"/>
  <c r="J241" i="3"/>
  <c r="BG240" i="3"/>
  <c r="BD240" i="3"/>
  <c r="BE240" i="3" s="1"/>
  <c r="AS240" i="3"/>
  <c r="AT240" i="3" s="1"/>
  <c r="AU240" i="3" s="1"/>
  <c r="AG240" i="3"/>
  <c r="AH240" i="3" s="1"/>
  <c r="AI240" i="3" s="1"/>
  <c r="Z240" i="3"/>
  <c r="Y240" i="3"/>
  <c r="X240" i="3"/>
  <c r="O240" i="3"/>
  <c r="S240" i="3" s="1"/>
  <c r="J240" i="3"/>
  <c r="BG239" i="3"/>
  <c r="BD239" i="3"/>
  <c r="BE239" i="3" s="1"/>
  <c r="AS239" i="3"/>
  <c r="AT239" i="3" s="1"/>
  <c r="AU239" i="3" s="1"/>
  <c r="AG239" i="3"/>
  <c r="AF239" i="3" s="1"/>
  <c r="Z239" i="3"/>
  <c r="Y239" i="3"/>
  <c r="X239" i="3"/>
  <c r="O239" i="3"/>
  <c r="S239" i="3" s="1"/>
  <c r="J239" i="3"/>
  <c r="BG238" i="3"/>
  <c r="BD238" i="3"/>
  <c r="BE238" i="3" s="1"/>
  <c r="AS238" i="3"/>
  <c r="AT238" i="3" s="1"/>
  <c r="AU238" i="3" s="1"/>
  <c r="AG238" i="3"/>
  <c r="AF238" i="3" s="1"/>
  <c r="Z238" i="3"/>
  <c r="Y238" i="3"/>
  <c r="X238" i="3"/>
  <c r="O238" i="3"/>
  <c r="S238" i="3" s="1"/>
  <c r="J238" i="3"/>
  <c r="BG237" i="3"/>
  <c r="BD237" i="3"/>
  <c r="BE237" i="3" s="1"/>
  <c r="AS237" i="3"/>
  <c r="AT237" i="3" s="1"/>
  <c r="AU237" i="3" s="1"/>
  <c r="AG237" i="3"/>
  <c r="Z237" i="3"/>
  <c r="Y237" i="3"/>
  <c r="X237" i="3"/>
  <c r="O237" i="3"/>
  <c r="S237" i="3" s="1"/>
  <c r="J237" i="3"/>
  <c r="BG236" i="3"/>
  <c r="BD236" i="3"/>
  <c r="BE236" i="3" s="1"/>
  <c r="AS236" i="3"/>
  <c r="AG236" i="3"/>
  <c r="AF236" i="3" s="1"/>
  <c r="Z236" i="3"/>
  <c r="Y236" i="3"/>
  <c r="X236" i="3"/>
  <c r="O236" i="3"/>
  <c r="S236" i="3" s="1"/>
  <c r="J236" i="3"/>
  <c r="BG235" i="3"/>
  <c r="BD235" i="3"/>
  <c r="BE235" i="3" s="1"/>
  <c r="AS235" i="3"/>
  <c r="AT235" i="3" s="1"/>
  <c r="AU235" i="3" s="1"/>
  <c r="AG235" i="3"/>
  <c r="AH235" i="3" s="1"/>
  <c r="AI235" i="3" s="1"/>
  <c r="Z235" i="3"/>
  <c r="Y235" i="3"/>
  <c r="X235" i="3"/>
  <c r="O235" i="3"/>
  <c r="S235" i="3" s="1"/>
  <c r="T235" i="3" s="1"/>
  <c r="J235" i="3"/>
  <c r="BG234" i="3"/>
  <c r="BD234" i="3"/>
  <c r="BE234" i="3" s="1"/>
  <c r="AS234" i="3"/>
  <c r="AT234" i="3" s="1"/>
  <c r="AU234" i="3" s="1"/>
  <c r="AG234" i="3"/>
  <c r="Z234" i="3"/>
  <c r="Y234" i="3"/>
  <c r="X234" i="3"/>
  <c r="O234" i="3"/>
  <c r="S234" i="3" s="1"/>
  <c r="J234" i="3"/>
  <c r="BG233" i="3"/>
  <c r="BD233" i="3"/>
  <c r="BE233" i="3" s="1"/>
  <c r="AS233" i="3"/>
  <c r="AT233" i="3" s="1"/>
  <c r="AU233" i="3" s="1"/>
  <c r="AG233" i="3"/>
  <c r="AF233" i="3" s="1"/>
  <c r="Z233" i="3"/>
  <c r="Y233" i="3"/>
  <c r="X233" i="3"/>
  <c r="O233" i="3"/>
  <c r="S233" i="3" s="1"/>
  <c r="R233" i="3" s="1"/>
  <c r="Q233" i="3" s="1"/>
  <c r="J233" i="3"/>
  <c r="BG232" i="3"/>
  <c r="BD232" i="3"/>
  <c r="BE232" i="3" s="1"/>
  <c r="AS232" i="3"/>
  <c r="AR232" i="3" s="1"/>
  <c r="AG232" i="3"/>
  <c r="AH232" i="3" s="1"/>
  <c r="AI232" i="3" s="1"/>
  <c r="Z232" i="3"/>
  <c r="Y232" i="3"/>
  <c r="X232" i="3"/>
  <c r="O232" i="3"/>
  <c r="S232" i="3" s="1"/>
  <c r="J232" i="3"/>
  <c r="BG231" i="3"/>
  <c r="BD231" i="3"/>
  <c r="BE231" i="3" s="1"/>
  <c r="AS231" i="3"/>
  <c r="AR231" i="3" s="1"/>
  <c r="AG231" i="3"/>
  <c r="Z231" i="3"/>
  <c r="Y231" i="3"/>
  <c r="X231" i="3"/>
  <c r="O231" i="3"/>
  <c r="S231" i="3" s="1"/>
  <c r="T231" i="3" s="1"/>
  <c r="J231" i="3"/>
  <c r="BG230" i="3"/>
  <c r="BD230" i="3"/>
  <c r="BE230" i="3" s="1"/>
  <c r="AS230" i="3"/>
  <c r="AT230" i="3" s="1"/>
  <c r="AU230" i="3" s="1"/>
  <c r="AG230" i="3"/>
  <c r="AF230" i="3" s="1"/>
  <c r="Z230" i="3"/>
  <c r="Y230" i="3"/>
  <c r="X230" i="3"/>
  <c r="O230" i="3"/>
  <c r="S230" i="3" s="1"/>
  <c r="T230" i="3" s="1"/>
  <c r="J230" i="3"/>
  <c r="BG229" i="3"/>
  <c r="BD229" i="3"/>
  <c r="BE229" i="3" s="1"/>
  <c r="AS229" i="3"/>
  <c r="AT229" i="3" s="1"/>
  <c r="AU229" i="3" s="1"/>
  <c r="AG229" i="3"/>
  <c r="AF229" i="3" s="1"/>
  <c r="Z229" i="3"/>
  <c r="Y229" i="3"/>
  <c r="X229" i="3"/>
  <c r="O229" i="3"/>
  <c r="S229" i="3" s="1"/>
  <c r="R229" i="3" s="1"/>
  <c r="Q229" i="3" s="1"/>
  <c r="J229" i="3"/>
  <c r="BG228" i="3"/>
  <c r="BD228" i="3"/>
  <c r="BE228" i="3" s="1"/>
  <c r="AS228" i="3"/>
  <c r="AG228" i="3"/>
  <c r="AH228" i="3" s="1"/>
  <c r="AI228" i="3" s="1"/>
  <c r="Z228" i="3"/>
  <c r="Y228" i="3"/>
  <c r="X228" i="3"/>
  <c r="O228" i="3"/>
  <c r="S228" i="3" s="1"/>
  <c r="T228" i="3" s="1"/>
  <c r="J228" i="3"/>
  <c r="BG227" i="3"/>
  <c r="BD227" i="3"/>
  <c r="BE227" i="3" s="1"/>
  <c r="AS227" i="3"/>
  <c r="AR227" i="3" s="1"/>
  <c r="AG227" i="3"/>
  <c r="AH227" i="3" s="1"/>
  <c r="AI227" i="3" s="1"/>
  <c r="Z227" i="3"/>
  <c r="Y227" i="3"/>
  <c r="X227" i="3"/>
  <c r="O227" i="3"/>
  <c r="S227" i="3" s="1"/>
  <c r="T227" i="3" s="1"/>
  <c r="J227" i="3"/>
  <c r="BG226" i="3"/>
  <c r="BD226" i="3"/>
  <c r="BE226" i="3" s="1"/>
  <c r="AS226" i="3"/>
  <c r="AR226" i="3" s="1"/>
  <c r="AG226" i="3"/>
  <c r="AF226" i="3" s="1"/>
  <c r="Z226" i="3"/>
  <c r="Y226" i="3"/>
  <c r="X226" i="3"/>
  <c r="O226" i="3"/>
  <c r="S226" i="3" s="1"/>
  <c r="J226" i="3"/>
  <c r="BG225" i="3"/>
  <c r="BD225" i="3"/>
  <c r="BE225" i="3" s="1"/>
  <c r="AS225" i="3"/>
  <c r="AT225" i="3" s="1"/>
  <c r="AU225" i="3" s="1"/>
  <c r="AG225" i="3"/>
  <c r="AF225" i="3" s="1"/>
  <c r="Z225" i="3"/>
  <c r="Y225" i="3"/>
  <c r="X225" i="3"/>
  <c r="O225" i="3"/>
  <c r="S225" i="3" s="1"/>
  <c r="J225" i="3"/>
  <c r="BG224" i="3"/>
  <c r="BD224" i="3"/>
  <c r="BE224" i="3" s="1"/>
  <c r="AS224" i="3"/>
  <c r="AR224" i="3" s="1"/>
  <c r="AG224" i="3"/>
  <c r="AH224" i="3" s="1"/>
  <c r="AI224" i="3" s="1"/>
  <c r="Z224" i="3"/>
  <c r="Y224" i="3"/>
  <c r="X224" i="3"/>
  <c r="O224" i="3"/>
  <c r="S224" i="3" s="1"/>
  <c r="T224" i="3" s="1"/>
  <c r="J224" i="3"/>
  <c r="BG223" i="3"/>
  <c r="BD223" i="3"/>
  <c r="BE223" i="3" s="1"/>
  <c r="AS223" i="3"/>
  <c r="AR223" i="3" s="1"/>
  <c r="AG223" i="3"/>
  <c r="AH223" i="3" s="1"/>
  <c r="AI223" i="3" s="1"/>
  <c r="Z223" i="3"/>
  <c r="Y223" i="3"/>
  <c r="X223" i="3"/>
  <c r="O223" i="3"/>
  <c r="S223" i="3" s="1"/>
  <c r="T223" i="3" s="1"/>
  <c r="J223" i="3"/>
  <c r="BG222" i="3"/>
  <c r="BD222" i="3"/>
  <c r="BE222" i="3" s="1"/>
  <c r="AS222" i="3"/>
  <c r="AR222" i="3" s="1"/>
  <c r="AG222" i="3"/>
  <c r="AH222" i="3" s="1"/>
  <c r="AI222" i="3" s="1"/>
  <c r="Z222" i="3"/>
  <c r="Y222" i="3"/>
  <c r="X222" i="3"/>
  <c r="O222" i="3"/>
  <c r="S222" i="3" s="1"/>
  <c r="J222" i="3"/>
  <c r="BG221" i="3"/>
  <c r="BD221" i="3"/>
  <c r="BE221" i="3" s="1"/>
  <c r="AS221" i="3"/>
  <c r="AG221" i="3"/>
  <c r="AF221" i="3" s="1"/>
  <c r="Z221" i="3"/>
  <c r="Y221" i="3"/>
  <c r="X221" i="3"/>
  <c r="O221" i="3"/>
  <c r="S221" i="3" s="1"/>
  <c r="J221" i="3"/>
  <c r="BG220" i="3"/>
  <c r="BD220" i="3"/>
  <c r="BE220" i="3" s="1"/>
  <c r="AS220" i="3"/>
  <c r="AT220" i="3" s="1"/>
  <c r="AU220" i="3" s="1"/>
  <c r="AG220" i="3"/>
  <c r="Z220" i="3"/>
  <c r="Y220" i="3"/>
  <c r="X220" i="3"/>
  <c r="O220" i="3"/>
  <c r="S220" i="3" s="1"/>
  <c r="J220" i="3"/>
  <c r="BG219" i="3"/>
  <c r="BD219" i="3"/>
  <c r="BE219" i="3" s="1"/>
  <c r="AS219" i="3"/>
  <c r="AT219" i="3" s="1"/>
  <c r="AU219" i="3" s="1"/>
  <c r="AG219" i="3"/>
  <c r="AH219" i="3" s="1"/>
  <c r="AI219" i="3" s="1"/>
  <c r="Z219" i="3"/>
  <c r="Y219" i="3"/>
  <c r="X219" i="3"/>
  <c r="O219" i="3"/>
  <c r="S219" i="3" s="1"/>
  <c r="J219" i="3"/>
  <c r="BG218" i="3"/>
  <c r="BD218" i="3"/>
  <c r="BE218" i="3" s="1"/>
  <c r="AS218" i="3"/>
  <c r="AR218" i="3" s="1"/>
  <c r="AG218" i="3"/>
  <c r="AF218" i="3" s="1"/>
  <c r="Z218" i="3"/>
  <c r="Y218" i="3"/>
  <c r="X218" i="3"/>
  <c r="O218" i="3"/>
  <c r="S218" i="3" s="1"/>
  <c r="J218" i="3"/>
  <c r="BG217" i="3"/>
  <c r="BD217" i="3"/>
  <c r="BE217" i="3" s="1"/>
  <c r="AS217" i="3"/>
  <c r="AT217" i="3" s="1"/>
  <c r="AU217" i="3" s="1"/>
  <c r="AG217" i="3"/>
  <c r="Z217" i="3"/>
  <c r="Y217" i="3"/>
  <c r="X217" i="3"/>
  <c r="O217" i="3"/>
  <c r="S217" i="3" s="1"/>
  <c r="J217" i="3"/>
  <c r="BG216" i="3"/>
  <c r="BD216" i="3"/>
  <c r="BE216" i="3" s="1"/>
  <c r="AS216" i="3"/>
  <c r="AR216" i="3" s="1"/>
  <c r="AG216" i="3"/>
  <c r="AF216" i="3" s="1"/>
  <c r="Z216" i="3"/>
  <c r="Y216" i="3"/>
  <c r="X216" i="3"/>
  <c r="O216" i="3"/>
  <c r="S216" i="3" s="1"/>
  <c r="J216" i="3"/>
  <c r="BG215" i="3"/>
  <c r="BD215" i="3"/>
  <c r="BE215" i="3" s="1"/>
  <c r="AS215" i="3"/>
  <c r="AT215" i="3" s="1"/>
  <c r="AU215" i="3" s="1"/>
  <c r="AG215" i="3"/>
  <c r="AH215" i="3" s="1"/>
  <c r="AI215" i="3" s="1"/>
  <c r="Z215" i="3"/>
  <c r="Y215" i="3"/>
  <c r="X215" i="3"/>
  <c r="O215" i="3"/>
  <c r="S215" i="3" s="1"/>
  <c r="J215" i="3"/>
  <c r="BG214" i="3"/>
  <c r="BD214" i="3"/>
  <c r="BE214" i="3" s="1"/>
  <c r="AS214" i="3"/>
  <c r="AR214" i="3" s="1"/>
  <c r="AG214" i="3"/>
  <c r="AF214" i="3" s="1"/>
  <c r="Z214" i="3"/>
  <c r="Y214" i="3"/>
  <c r="X214" i="3"/>
  <c r="O214" i="3"/>
  <c r="S214" i="3" s="1"/>
  <c r="J214" i="3"/>
  <c r="BG213" i="3"/>
  <c r="BD213" i="3"/>
  <c r="BE213" i="3" s="1"/>
  <c r="AS213" i="3"/>
  <c r="AT213" i="3" s="1"/>
  <c r="AU213" i="3" s="1"/>
  <c r="AG213" i="3"/>
  <c r="AH213" i="3" s="1"/>
  <c r="AI213" i="3" s="1"/>
  <c r="Z213" i="3"/>
  <c r="Y213" i="3"/>
  <c r="X213" i="3"/>
  <c r="O213" i="3"/>
  <c r="S213" i="3" s="1"/>
  <c r="J213" i="3"/>
  <c r="BG212" i="3"/>
  <c r="BD212" i="3"/>
  <c r="BE212" i="3" s="1"/>
  <c r="AS212" i="3"/>
  <c r="AT212" i="3" s="1"/>
  <c r="AU212" i="3" s="1"/>
  <c r="AG212" i="3"/>
  <c r="AH212" i="3" s="1"/>
  <c r="AI212" i="3" s="1"/>
  <c r="Z212" i="3"/>
  <c r="Y212" i="3"/>
  <c r="X212" i="3"/>
  <c r="O212" i="3"/>
  <c r="S212" i="3" s="1"/>
  <c r="R212" i="3" s="1"/>
  <c r="Q212" i="3" s="1"/>
  <c r="J212" i="3"/>
  <c r="BG211" i="3"/>
  <c r="BD211" i="3"/>
  <c r="BE211" i="3" s="1"/>
  <c r="AS211" i="3"/>
  <c r="AR211" i="3" s="1"/>
  <c r="AG211" i="3"/>
  <c r="AF211" i="3" s="1"/>
  <c r="Z211" i="3"/>
  <c r="Y211" i="3"/>
  <c r="X211" i="3"/>
  <c r="O211" i="3"/>
  <c r="S211" i="3" s="1"/>
  <c r="T211" i="3" s="1"/>
  <c r="J211" i="3"/>
  <c r="BG210" i="3"/>
  <c r="BD210" i="3"/>
  <c r="BE210" i="3" s="1"/>
  <c r="AS210" i="3"/>
  <c r="AT210" i="3" s="1"/>
  <c r="AU210" i="3" s="1"/>
  <c r="AG210" i="3"/>
  <c r="AF210" i="3" s="1"/>
  <c r="Z210" i="3"/>
  <c r="Y210" i="3"/>
  <c r="X210" i="3"/>
  <c r="O210" i="3"/>
  <c r="S210" i="3" s="1"/>
  <c r="J210" i="3"/>
  <c r="BG209" i="3"/>
  <c r="BD209" i="3"/>
  <c r="BE209" i="3" s="1"/>
  <c r="AS209" i="3"/>
  <c r="AG209" i="3"/>
  <c r="AH209" i="3" s="1"/>
  <c r="AI209" i="3" s="1"/>
  <c r="Z209" i="3"/>
  <c r="Y209" i="3"/>
  <c r="X209" i="3"/>
  <c r="O209" i="3"/>
  <c r="S209" i="3" s="1"/>
  <c r="J209" i="3"/>
  <c r="BG208" i="3"/>
  <c r="BD208" i="3"/>
  <c r="BE208" i="3" s="1"/>
  <c r="AS208" i="3"/>
  <c r="AG208" i="3"/>
  <c r="AF208" i="3" s="1"/>
  <c r="Z208" i="3"/>
  <c r="Y208" i="3"/>
  <c r="X208" i="3"/>
  <c r="O208" i="3"/>
  <c r="S208" i="3" s="1"/>
  <c r="J208" i="3"/>
  <c r="BG207" i="3"/>
  <c r="BD207" i="3"/>
  <c r="BE207" i="3" s="1"/>
  <c r="AS207" i="3"/>
  <c r="AG207" i="3"/>
  <c r="AH207" i="3" s="1"/>
  <c r="AI207" i="3" s="1"/>
  <c r="Z207" i="3"/>
  <c r="Y207" i="3"/>
  <c r="X207" i="3"/>
  <c r="O207" i="3"/>
  <c r="S207" i="3" s="1"/>
  <c r="T207" i="3" s="1"/>
  <c r="J207" i="3"/>
  <c r="BG206" i="3"/>
  <c r="BD206" i="3"/>
  <c r="BE206" i="3" s="1"/>
  <c r="AS206" i="3"/>
  <c r="AT206" i="3" s="1"/>
  <c r="AU206" i="3" s="1"/>
  <c r="AG206" i="3"/>
  <c r="AF206" i="3" s="1"/>
  <c r="Z206" i="3"/>
  <c r="Y206" i="3"/>
  <c r="X206" i="3"/>
  <c r="O206" i="3"/>
  <c r="S206" i="3" s="1"/>
  <c r="J206" i="3"/>
  <c r="BG205" i="3"/>
  <c r="BD205" i="3"/>
  <c r="BE205" i="3" s="1"/>
  <c r="AS205" i="3"/>
  <c r="AT205" i="3" s="1"/>
  <c r="AU205" i="3" s="1"/>
  <c r="AG205" i="3"/>
  <c r="AF205" i="3" s="1"/>
  <c r="Z205" i="3"/>
  <c r="Y205" i="3"/>
  <c r="X205" i="3"/>
  <c r="O205" i="3"/>
  <c r="S205" i="3" s="1"/>
  <c r="J205" i="3"/>
  <c r="BG204" i="3"/>
  <c r="BD204" i="3"/>
  <c r="BE204" i="3" s="1"/>
  <c r="AS204" i="3"/>
  <c r="AG204" i="3"/>
  <c r="AF204" i="3" s="1"/>
  <c r="Z204" i="3"/>
  <c r="Y204" i="3"/>
  <c r="X204" i="3"/>
  <c r="O204" i="3"/>
  <c r="S204" i="3" s="1"/>
  <c r="J204" i="3"/>
  <c r="BG203" i="3"/>
  <c r="BD203" i="3"/>
  <c r="BE203" i="3" s="1"/>
  <c r="AS203" i="3"/>
  <c r="AT203" i="3" s="1"/>
  <c r="AU203" i="3" s="1"/>
  <c r="AG203" i="3"/>
  <c r="AH203" i="3" s="1"/>
  <c r="AI203" i="3" s="1"/>
  <c r="Z203" i="3"/>
  <c r="Y203" i="3"/>
  <c r="X203" i="3"/>
  <c r="O203" i="3"/>
  <c r="S203" i="3" s="1"/>
  <c r="J203" i="3"/>
  <c r="BG202" i="3"/>
  <c r="BD202" i="3"/>
  <c r="BE202" i="3" s="1"/>
  <c r="AS202" i="3"/>
  <c r="AR202" i="3" s="1"/>
  <c r="AG202" i="3"/>
  <c r="AF202" i="3" s="1"/>
  <c r="Z202" i="3"/>
  <c r="Y202" i="3"/>
  <c r="X202" i="3"/>
  <c r="O202" i="3"/>
  <c r="S202" i="3" s="1"/>
  <c r="J202" i="3"/>
  <c r="BG201" i="3"/>
  <c r="BD201" i="3"/>
  <c r="BE201" i="3" s="1"/>
  <c r="AS201" i="3"/>
  <c r="AT201" i="3" s="1"/>
  <c r="AU201" i="3" s="1"/>
  <c r="AG201" i="3"/>
  <c r="AF201" i="3" s="1"/>
  <c r="Z201" i="3"/>
  <c r="Y201" i="3"/>
  <c r="X201" i="3"/>
  <c r="O201" i="3"/>
  <c r="S201" i="3" s="1"/>
  <c r="J201" i="3"/>
  <c r="BG200" i="3"/>
  <c r="BD200" i="3"/>
  <c r="BE200" i="3" s="1"/>
  <c r="AS200" i="3"/>
  <c r="AR200" i="3" s="1"/>
  <c r="AG200" i="3"/>
  <c r="AF200" i="3" s="1"/>
  <c r="Z200" i="3"/>
  <c r="Y200" i="3"/>
  <c r="X200" i="3"/>
  <c r="O200" i="3"/>
  <c r="S200" i="3" s="1"/>
  <c r="T200" i="3" s="1"/>
  <c r="J200" i="3"/>
  <c r="BG199" i="3"/>
  <c r="BD199" i="3"/>
  <c r="BE199" i="3" s="1"/>
  <c r="AS199" i="3"/>
  <c r="AT199" i="3" s="1"/>
  <c r="AU199" i="3" s="1"/>
  <c r="AG199" i="3"/>
  <c r="AH199" i="3" s="1"/>
  <c r="AI199" i="3" s="1"/>
  <c r="Z199" i="3"/>
  <c r="Y199" i="3"/>
  <c r="X199" i="3"/>
  <c r="O199" i="3"/>
  <c r="S199" i="3" s="1"/>
  <c r="T199" i="3" s="1"/>
  <c r="J199" i="3"/>
  <c r="BG198" i="3"/>
  <c r="BD198" i="3"/>
  <c r="BE198" i="3" s="1"/>
  <c r="AS198" i="3"/>
  <c r="AR198" i="3" s="1"/>
  <c r="AG198" i="3"/>
  <c r="AF198" i="3" s="1"/>
  <c r="Z198" i="3"/>
  <c r="Y198" i="3"/>
  <c r="X198" i="3"/>
  <c r="O198" i="3"/>
  <c r="S198" i="3" s="1"/>
  <c r="J198" i="3"/>
  <c r="BG197" i="3"/>
  <c r="BD197" i="3"/>
  <c r="BE197" i="3" s="1"/>
  <c r="AS197" i="3"/>
  <c r="AT197" i="3" s="1"/>
  <c r="AU197" i="3" s="1"/>
  <c r="AG197" i="3"/>
  <c r="Z197" i="3"/>
  <c r="Y197" i="3"/>
  <c r="X197" i="3"/>
  <c r="O197" i="3"/>
  <c r="S197" i="3" s="1"/>
  <c r="R197" i="3" s="1"/>
  <c r="Q197" i="3" s="1"/>
  <c r="J197" i="3"/>
  <c r="BG196" i="3"/>
  <c r="BD196" i="3"/>
  <c r="BE196" i="3" s="1"/>
  <c r="AS196" i="3"/>
  <c r="AR196" i="3" s="1"/>
  <c r="AG196" i="3"/>
  <c r="AH196" i="3" s="1"/>
  <c r="AI196" i="3" s="1"/>
  <c r="Z196" i="3"/>
  <c r="Y196" i="3"/>
  <c r="X196" i="3"/>
  <c r="O196" i="3"/>
  <c r="S196" i="3" s="1"/>
  <c r="J196" i="3"/>
  <c r="BG195" i="3"/>
  <c r="BD195" i="3"/>
  <c r="BE195" i="3" s="1"/>
  <c r="AS195" i="3"/>
  <c r="AR195" i="3" s="1"/>
  <c r="AG195" i="3"/>
  <c r="AH195" i="3" s="1"/>
  <c r="AI195" i="3" s="1"/>
  <c r="Z195" i="3"/>
  <c r="Y195" i="3"/>
  <c r="X195" i="3"/>
  <c r="O195" i="3"/>
  <c r="S195" i="3" s="1"/>
  <c r="T195" i="3" s="1"/>
  <c r="J195" i="3"/>
  <c r="BG194" i="3"/>
  <c r="BD194" i="3"/>
  <c r="BE194" i="3" s="1"/>
  <c r="AS194" i="3"/>
  <c r="AG194" i="3"/>
  <c r="AF194" i="3" s="1"/>
  <c r="Z194" i="3"/>
  <c r="Y194" i="3"/>
  <c r="X194" i="3"/>
  <c r="O194" i="3"/>
  <c r="S194" i="3" s="1"/>
  <c r="J194" i="3"/>
  <c r="BG193" i="3"/>
  <c r="BD193" i="3"/>
  <c r="BE193" i="3" s="1"/>
  <c r="AS193" i="3"/>
  <c r="AT193" i="3" s="1"/>
  <c r="AU193" i="3" s="1"/>
  <c r="AG193" i="3"/>
  <c r="AH193" i="3" s="1"/>
  <c r="AI193" i="3" s="1"/>
  <c r="Z193" i="3"/>
  <c r="Y193" i="3"/>
  <c r="X193" i="3"/>
  <c r="O193" i="3"/>
  <c r="S193" i="3" s="1"/>
  <c r="R193" i="3" s="1"/>
  <c r="Q193" i="3" s="1"/>
  <c r="J193" i="3"/>
  <c r="BG192" i="3"/>
  <c r="BD192" i="3"/>
  <c r="BE192" i="3" s="1"/>
  <c r="AS192" i="3"/>
  <c r="AR192" i="3" s="1"/>
  <c r="AH192" i="3"/>
  <c r="AI192" i="3" s="1"/>
  <c r="AF192" i="3"/>
  <c r="Z192" i="3"/>
  <c r="Y192" i="3"/>
  <c r="X192" i="3"/>
  <c r="O192" i="3"/>
  <c r="S192" i="3" s="1"/>
  <c r="J192" i="3"/>
  <c r="BG191" i="3"/>
  <c r="BD191" i="3"/>
  <c r="BE191" i="3" s="1"/>
  <c r="AS191" i="3"/>
  <c r="AT191" i="3" s="1"/>
  <c r="AU191" i="3" s="1"/>
  <c r="AG191" i="3"/>
  <c r="AH191" i="3" s="1"/>
  <c r="AI191" i="3" s="1"/>
  <c r="Z191" i="3"/>
  <c r="Y191" i="3"/>
  <c r="X191" i="3"/>
  <c r="O191" i="3"/>
  <c r="S191" i="3" s="1"/>
  <c r="J191" i="3"/>
  <c r="BG190" i="3"/>
  <c r="BD190" i="3"/>
  <c r="BE190" i="3" s="1"/>
  <c r="AS190" i="3"/>
  <c r="AG190" i="3"/>
  <c r="AH190" i="3" s="1"/>
  <c r="AI190" i="3" s="1"/>
  <c r="Z190" i="3"/>
  <c r="Y190" i="3"/>
  <c r="X190" i="3"/>
  <c r="O190" i="3"/>
  <c r="S190" i="3" s="1"/>
  <c r="R190" i="3" s="1"/>
  <c r="Q190" i="3" s="1"/>
  <c r="J190" i="3"/>
  <c r="BG189" i="3"/>
  <c r="BD189" i="3"/>
  <c r="BE189" i="3" s="1"/>
  <c r="AS189" i="3"/>
  <c r="AR189" i="3" s="1"/>
  <c r="AG189" i="3"/>
  <c r="Z189" i="3"/>
  <c r="Y189" i="3"/>
  <c r="X189" i="3"/>
  <c r="O189" i="3"/>
  <c r="S189" i="3" s="1"/>
  <c r="J189" i="3"/>
  <c r="BG188" i="3"/>
  <c r="BD188" i="3"/>
  <c r="BE188" i="3" s="1"/>
  <c r="AS188" i="3"/>
  <c r="AR188" i="3" s="1"/>
  <c r="AG188" i="3"/>
  <c r="AF188" i="3" s="1"/>
  <c r="Z188" i="3"/>
  <c r="Y188" i="3"/>
  <c r="X188" i="3"/>
  <c r="O188" i="3"/>
  <c r="S188" i="3" s="1"/>
  <c r="J188" i="3"/>
  <c r="BG187" i="3"/>
  <c r="BD187" i="3"/>
  <c r="BE187" i="3" s="1"/>
  <c r="AS187" i="3"/>
  <c r="AG187" i="3"/>
  <c r="AH187" i="3" s="1"/>
  <c r="AI187" i="3" s="1"/>
  <c r="Z187" i="3"/>
  <c r="Y187" i="3"/>
  <c r="X187" i="3"/>
  <c r="O187" i="3"/>
  <c r="S187" i="3" s="1"/>
  <c r="J187" i="3"/>
  <c r="BG186" i="3"/>
  <c r="BD186" i="3"/>
  <c r="BE186" i="3" s="1"/>
  <c r="AS186" i="3"/>
  <c r="AG186" i="3"/>
  <c r="Z186" i="3"/>
  <c r="Y186" i="3"/>
  <c r="X186" i="3"/>
  <c r="O186" i="3"/>
  <c r="S186" i="3" s="1"/>
  <c r="J186" i="3"/>
  <c r="BG185" i="3"/>
  <c r="BD185" i="3"/>
  <c r="BE185" i="3" s="1"/>
  <c r="AS185" i="3"/>
  <c r="AT185" i="3" s="1"/>
  <c r="AU185" i="3" s="1"/>
  <c r="AG185" i="3"/>
  <c r="AH185" i="3" s="1"/>
  <c r="AI185" i="3" s="1"/>
  <c r="Z185" i="3"/>
  <c r="AB185" i="3" s="1"/>
  <c r="O185" i="3"/>
  <c r="S185" i="3" s="1"/>
  <c r="J185" i="3"/>
  <c r="BG184" i="3"/>
  <c r="BD184" i="3"/>
  <c r="BE184" i="3" s="1"/>
  <c r="AS184" i="3"/>
  <c r="AG184" i="3"/>
  <c r="AH184" i="3" s="1"/>
  <c r="AI184" i="3" s="1"/>
  <c r="Z184" i="3"/>
  <c r="Y184" i="3"/>
  <c r="X184" i="3"/>
  <c r="O184" i="3"/>
  <c r="S184" i="3" s="1"/>
  <c r="R184" i="3" s="1"/>
  <c r="Q184" i="3" s="1"/>
  <c r="J184" i="3"/>
  <c r="BG183" i="3"/>
  <c r="BD183" i="3"/>
  <c r="BE183" i="3" s="1"/>
  <c r="AS183" i="3"/>
  <c r="AG183" i="3"/>
  <c r="AH183" i="3" s="1"/>
  <c r="AI183" i="3" s="1"/>
  <c r="Z183" i="3"/>
  <c r="Y183" i="3"/>
  <c r="X183" i="3"/>
  <c r="O183" i="3"/>
  <c r="S183" i="3" s="1"/>
  <c r="T183" i="3" s="1"/>
  <c r="J183" i="3"/>
  <c r="BG182" i="3"/>
  <c r="BD182" i="3"/>
  <c r="BE182" i="3" s="1"/>
  <c r="AS182" i="3"/>
  <c r="AR182" i="3" s="1"/>
  <c r="AG182" i="3"/>
  <c r="Z182" i="3"/>
  <c r="Y182" i="3"/>
  <c r="X182" i="3"/>
  <c r="O182" i="3"/>
  <c r="S182" i="3" s="1"/>
  <c r="J182" i="3"/>
  <c r="BG181" i="3"/>
  <c r="BD181" i="3"/>
  <c r="BE181" i="3" s="1"/>
  <c r="AS181" i="3"/>
  <c r="AT181" i="3" s="1"/>
  <c r="AU181" i="3" s="1"/>
  <c r="AG181" i="3"/>
  <c r="AH181" i="3" s="1"/>
  <c r="AI181" i="3" s="1"/>
  <c r="Z181" i="3"/>
  <c r="Y181" i="3"/>
  <c r="X181" i="3"/>
  <c r="O181" i="3"/>
  <c r="S181" i="3" s="1"/>
  <c r="J181" i="3"/>
  <c r="BG180" i="3"/>
  <c r="BD180" i="3"/>
  <c r="BE180" i="3" s="1"/>
  <c r="AS180" i="3"/>
  <c r="AG180" i="3"/>
  <c r="AH180" i="3" s="1"/>
  <c r="AI180" i="3" s="1"/>
  <c r="Z180" i="3"/>
  <c r="Y180" i="3"/>
  <c r="X180" i="3"/>
  <c r="O180" i="3"/>
  <c r="S180" i="3" s="1"/>
  <c r="T180" i="3" s="1"/>
  <c r="J180" i="3"/>
  <c r="BG179" i="3"/>
  <c r="BD179" i="3"/>
  <c r="BE179" i="3" s="1"/>
  <c r="AS179" i="3"/>
  <c r="AG179" i="3"/>
  <c r="AH179" i="3" s="1"/>
  <c r="AI179" i="3" s="1"/>
  <c r="Z179" i="3"/>
  <c r="Y179" i="3"/>
  <c r="X179" i="3"/>
  <c r="O179" i="3"/>
  <c r="S179" i="3" s="1"/>
  <c r="J179" i="3"/>
  <c r="BG178" i="3"/>
  <c r="BD178" i="3"/>
  <c r="BE178" i="3" s="1"/>
  <c r="AS178" i="3"/>
  <c r="AT178" i="3" s="1"/>
  <c r="AU178" i="3" s="1"/>
  <c r="AG178" i="3"/>
  <c r="AH178" i="3" s="1"/>
  <c r="AI178" i="3" s="1"/>
  <c r="Z178" i="3"/>
  <c r="Y178" i="3"/>
  <c r="X178" i="3"/>
  <c r="O178" i="3"/>
  <c r="S178" i="3" s="1"/>
  <c r="J178" i="3"/>
  <c r="BG177" i="3"/>
  <c r="BD177" i="3"/>
  <c r="BE177" i="3" s="1"/>
  <c r="AS177" i="3"/>
  <c r="AT177" i="3" s="1"/>
  <c r="AU177" i="3" s="1"/>
  <c r="AG177" i="3"/>
  <c r="AF177" i="3" s="1"/>
  <c r="Z177" i="3"/>
  <c r="Y177" i="3"/>
  <c r="X177" i="3"/>
  <c r="O177" i="3"/>
  <c r="S177" i="3" s="1"/>
  <c r="R177" i="3" s="1"/>
  <c r="Q177" i="3" s="1"/>
  <c r="J177" i="3"/>
  <c r="BG176" i="3"/>
  <c r="BD176" i="3"/>
  <c r="BE176" i="3" s="1"/>
  <c r="AS176" i="3"/>
  <c r="AG176" i="3"/>
  <c r="Z176" i="3"/>
  <c r="Y176" i="3"/>
  <c r="X176" i="3"/>
  <c r="O176" i="3"/>
  <c r="S176" i="3" s="1"/>
  <c r="R176" i="3" s="1"/>
  <c r="Q176" i="3" s="1"/>
  <c r="J176" i="3"/>
  <c r="BG175" i="3"/>
  <c r="BD175" i="3"/>
  <c r="BE175" i="3" s="1"/>
  <c r="AS175" i="3"/>
  <c r="AG175" i="3"/>
  <c r="AH175" i="3" s="1"/>
  <c r="AI175" i="3" s="1"/>
  <c r="Z175" i="3"/>
  <c r="Y175" i="3"/>
  <c r="X175" i="3"/>
  <c r="O175" i="3"/>
  <c r="S175" i="3" s="1"/>
  <c r="J175" i="3"/>
  <c r="BG174" i="3"/>
  <c r="BD174" i="3"/>
  <c r="BE174" i="3" s="1"/>
  <c r="AS174" i="3"/>
  <c r="AR174" i="3" s="1"/>
  <c r="AG174" i="3"/>
  <c r="Z174" i="3"/>
  <c r="Y174" i="3"/>
  <c r="X174" i="3"/>
  <c r="O174" i="3"/>
  <c r="S174" i="3" s="1"/>
  <c r="J174" i="3"/>
  <c r="BG173" i="3"/>
  <c r="BD173" i="3"/>
  <c r="BE173" i="3" s="1"/>
  <c r="AS173" i="3"/>
  <c r="AT173" i="3" s="1"/>
  <c r="AU173" i="3" s="1"/>
  <c r="AG173" i="3"/>
  <c r="AH173" i="3" s="1"/>
  <c r="AI173" i="3" s="1"/>
  <c r="Z173" i="3"/>
  <c r="Y173" i="3"/>
  <c r="X173" i="3"/>
  <c r="O173" i="3"/>
  <c r="S173" i="3" s="1"/>
  <c r="J173" i="3"/>
  <c r="BG172" i="3"/>
  <c r="BD172" i="3"/>
  <c r="BE172" i="3" s="1"/>
  <c r="AS172" i="3"/>
  <c r="AT172" i="3" s="1"/>
  <c r="AU172" i="3" s="1"/>
  <c r="AG172" i="3"/>
  <c r="AH172" i="3" s="1"/>
  <c r="AI172" i="3" s="1"/>
  <c r="Z172" i="3"/>
  <c r="Y172" i="3"/>
  <c r="X172" i="3"/>
  <c r="O172" i="3"/>
  <c r="S172" i="3" s="1"/>
  <c r="R172" i="3" s="1"/>
  <c r="Q172" i="3" s="1"/>
  <c r="J172" i="3"/>
  <c r="BG171" i="3"/>
  <c r="BD171" i="3"/>
  <c r="BE171" i="3" s="1"/>
  <c r="AS171" i="3"/>
  <c r="AT171" i="3" s="1"/>
  <c r="AU171" i="3" s="1"/>
  <c r="AG171" i="3"/>
  <c r="AH171" i="3" s="1"/>
  <c r="AI171" i="3" s="1"/>
  <c r="Z171" i="3"/>
  <c r="Y171" i="3"/>
  <c r="X171" i="3"/>
  <c r="O171" i="3"/>
  <c r="S171" i="3" s="1"/>
  <c r="J171" i="3"/>
  <c r="BG170" i="3"/>
  <c r="BD170" i="3"/>
  <c r="BE170" i="3" s="1"/>
  <c r="AS170" i="3"/>
  <c r="AG170" i="3"/>
  <c r="AF170" i="3" s="1"/>
  <c r="Z170" i="3"/>
  <c r="Y170" i="3"/>
  <c r="X170" i="3"/>
  <c r="O170" i="3"/>
  <c r="S170" i="3" s="1"/>
  <c r="R170" i="3" s="1"/>
  <c r="Q170" i="3" s="1"/>
  <c r="J170" i="3"/>
  <c r="BG169" i="3"/>
  <c r="BD169" i="3"/>
  <c r="BE169" i="3" s="1"/>
  <c r="AS169" i="3"/>
  <c r="AT169" i="3" s="1"/>
  <c r="AU169" i="3" s="1"/>
  <c r="AG169" i="3"/>
  <c r="AF169" i="3" s="1"/>
  <c r="Z169" i="3"/>
  <c r="Y169" i="3"/>
  <c r="X169" i="3"/>
  <c r="O169" i="3"/>
  <c r="S169" i="3" s="1"/>
  <c r="J169" i="3"/>
  <c r="BG168" i="3"/>
  <c r="BD168" i="3"/>
  <c r="BE168" i="3" s="1"/>
  <c r="AS168" i="3"/>
  <c r="AT168" i="3" s="1"/>
  <c r="AU168" i="3" s="1"/>
  <c r="AG168" i="3"/>
  <c r="Z168" i="3"/>
  <c r="Y168" i="3"/>
  <c r="X168" i="3"/>
  <c r="O168" i="3"/>
  <c r="S168" i="3" s="1"/>
  <c r="J168" i="3"/>
  <c r="BG167" i="3"/>
  <c r="BD167" i="3"/>
  <c r="BE167" i="3" s="1"/>
  <c r="AS167" i="3"/>
  <c r="AG167" i="3"/>
  <c r="AH167" i="3" s="1"/>
  <c r="AI167" i="3" s="1"/>
  <c r="Z167" i="3"/>
  <c r="Y167" i="3"/>
  <c r="X167" i="3"/>
  <c r="O167" i="3"/>
  <c r="S167" i="3" s="1"/>
  <c r="J167" i="3"/>
  <c r="BG166" i="3"/>
  <c r="BD166" i="3"/>
  <c r="BE166" i="3" s="1"/>
  <c r="AS166" i="3"/>
  <c r="AG166" i="3"/>
  <c r="Z166" i="3"/>
  <c r="Y166" i="3"/>
  <c r="X166" i="3"/>
  <c r="O166" i="3"/>
  <c r="S166" i="3" s="1"/>
  <c r="T166" i="3" s="1"/>
  <c r="J166" i="3"/>
  <c r="BG165" i="3"/>
  <c r="BD165" i="3"/>
  <c r="BE165" i="3" s="1"/>
  <c r="AS165" i="3"/>
  <c r="AR165" i="3" s="1"/>
  <c r="AG165" i="3"/>
  <c r="AH165" i="3" s="1"/>
  <c r="AI165" i="3" s="1"/>
  <c r="Z165" i="3"/>
  <c r="Y165" i="3"/>
  <c r="X165" i="3"/>
  <c r="O165" i="3"/>
  <c r="S165" i="3" s="1"/>
  <c r="R165" i="3" s="1"/>
  <c r="Q165" i="3" s="1"/>
  <c r="J165" i="3"/>
  <c r="BG164" i="3"/>
  <c r="BD164" i="3"/>
  <c r="BE164" i="3" s="1"/>
  <c r="AS164" i="3"/>
  <c r="AR164" i="3" s="1"/>
  <c r="AG164" i="3"/>
  <c r="AH164" i="3" s="1"/>
  <c r="AI164" i="3" s="1"/>
  <c r="Z164" i="3"/>
  <c r="Y164" i="3"/>
  <c r="X164" i="3"/>
  <c r="O164" i="3"/>
  <c r="S164" i="3" s="1"/>
  <c r="T164" i="3" s="1"/>
  <c r="J164" i="3"/>
  <c r="BG163" i="3"/>
  <c r="BD163" i="3"/>
  <c r="BE163" i="3" s="1"/>
  <c r="AS163" i="3"/>
  <c r="AT163" i="3" s="1"/>
  <c r="AU163" i="3" s="1"/>
  <c r="AG163" i="3"/>
  <c r="AH163" i="3" s="1"/>
  <c r="AI163" i="3" s="1"/>
  <c r="Z163" i="3"/>
  <c r="Y163" i="3"/>
  <c r="X163" i="3"/>
  <c r="O163" i="3"/>
  <c r="S163" i="3" s="1"/>
  <c r="R163" i="3" s="1"/>
  <c r="Q163" i="3" s="1"/>
  <c r="J163" i="3"/>
  <c r="BG162" i="3"/>
  <c r="BD162" i="3"/>
  <c r="BE162" i="3" s="1"/>
  <c r="AS162" i="3"/>
  <c r="AT162" i="3" s="1"/>
  <c r="AU162" i="3" s="1"/>
  <c r="AG162" i="3"/>
  <c r="AH162" i="3" s="1"/>
  <c r="AI162" i="3" s="1"/>
  <c r="Z162" i="3"/>
  <c r="Y162" i="3"/>
  <c r="X162" i="3"/>
  <c r="O162" i="3"/>
  <c r="S162" i="3" s="1"/>
  <c r="R162" i="3" s="1"/>
  <c r="Q162" i="3" s="1"/>
  <c r="J162" i="3"/>
  <c r="BG161" i="3"/>
  <c r="BD161" i="3"/>
  <c r="BE161" i="3" s="1"/>
  <c r="AS161" i="3"/>
  <c r="AG161" i="3"/>
  <c r="AH161" i="3" s="1"/>
  <c r="AI161" i="3" s="1"/>
  <c r="Z161" i="3"/>
  <c r="Y161" i="3"/>
  <c r="X161" i="3"/>
  <c r="O161" i="3"/>
  <c r="S161" i="3" s="1"/>
  <c r="J161" i="3"/>
  <c r="BG160" i="3"/>
  <c r="BD160" i="3"/>
  <c r="BE160" i="3" s="1"/>
  <c r="AS160" i="3"/>
  <c r="AG160" i="3"/>
  <c r="Z160" i="3"/>
  <c r="Y160" i="3"/>
  <c r="X160" i="3"/>
  <c r="O160" i="3"/>
  <c r="S160" i="3" s="1"/>
  <c r="J160" i="3"/>
  <c r="BG159" i="3"/>
  <c r="BD159" i="3"/>
  <c r="BE159" i="3" s="1"/>
  <c r="AS159" i="3"/>
  <c r="AT159" i="3" s="1"/>
  <c r="AU159" i="3" s="1"/>
  <c r="AG159" i="3"/>
  <c r="AF159" i="3" s="1"/>
  <c r="Z159" i="3"/>
  <c r="Y159" i="3"/>
  <c r="X159" i="3"/>
  <c r="O159" i="3"/>
  <c r="S159" i="3" s="1"/>
  <c r="R159" i="3" s="1"/>
  <c r="Q159" i="3" s="1"/>
  <c r="J159" i="3"/>
  <c r="BG158" i="3"/>
  <c r="BD158" i="3"/>
  <c r="BE158" i="3" s="1"/>
  <c r="AS158" i="3"/>
  <c r="AR158" i="3" s="1"/>
  <c r="AG158" i="3"/>
  <c r="AH158" i="3" s="1"/>
  <c r="AI158" i="3" s="1"/>
  <c r="Z158" i="3"/>
  <c r="Y158" i="3"/>
  <c r="X158" i="3"/>
  <c r="O158" i="3"/>
  <c r="S158" i="3" s="1"/>
  <c r="T158" i="3" s="1"/>
  <c r="J158" i="3"/>
  <c r="BG157" i="3"/>
  <c r="BD157" i="3"/>
  <c r="BE157" i="3" s="1"/>
  <c r="AS157" i="3"/>
  <c r="AT157" i="3" s="1"/>
  <c r="AU157" i="3" s="1"/>
  <c r="AG157" i="3"/>
  <c r="AH157" i="3" s="1"/>
  <c r="AI157" i="3" s="1"/>
  <c r="Z157" i="3"/>
  <c r="Y157" i="3"/>
  <c r="X157" i="3"/>
  <c r="O157" i="3"/>
  <c r="S157" i="3" s="1"/>
  <c r="J157" i="3"/>
  <c r="BG156" i="3"/>
  <c r="BD156" i="3"/>
  <c r="BE156" i="3" s="1"/>
  <c r="AS156" i="3"/>
  <c r="AR156" i="3" s="1"/>
  <c r="AG156" i="3"/>
  <c r="Z156" i="3"/>
  <c r="Y156" i="3"/>
  <c r="X156" i="3"/>
  <c r="O156" i="3"/>
  <c r="S156" i="3" s="1"/>
  <c r="T156" i="3" s="1"/>
  <c r="J156" i="3"/>
  <c r="BG155" i="3"/>
  <c r="BD155" i="3"/>
  <c r="BE155" i="3" s="1"/>
  <c r="AS155" i="3"/>
  <c r="AT155" i="3" s="1"/>
  <c r="AU155" i="3" s="1"/>
  <c r="AG155" i="3"/>
  <c r="AF155" i="3" s="1"/>
  <c r="Z155" i="3"/>
  <c r="Y155" i="3"/>
  <c r="X155" i="3"/>
  <c r="O155" i="3"/>
  <c r="S155" i="3" s="1"/>
  <c r="J155" i="3"/>
  <c r="BG154" i="3"/>
  <c r="BD154" i="3"/>
  <c r="BE154" i="3" s="1"/>
  <c r="AS154" i="3"/>
  <c r="AH154" i="3"/>
  <c r="AI154" i="3" s="1"/>
  <c r="AF154" i="3"/>
  <c r="AC154" i="3"/>
  <c r="AD154" i="3" s="1"/>
  <c r="AA154" i="3"/>
  <c r="Z154" i="3"/>
  <c r="Y154" i="3"/>
  <c r="X154" i="3"/>
  <c r="O154" i="3"/>
  <c r="S154" i="3" s="1"/>
  <c r="J154" i="3"/>
  <c r="BG153" i="3"/>
  <c r="BD153" i="3"/>
  <c r="BE153" i="3" s="1"/>
  <c r="AS153" i="3"/>
  <c r="AT153" i="3" s="1"/>
  <c r="AU153" i="3" s="1"/>
  <c r="AG153" i="3"/>
  <c r="AH153" i="3" s="1"/>
  <c r="AI153" i="3" s="1"/>
  <c r="Z153" i="3"/>
  <c r="Y153" i="3"/>
  <c r="X153" i="3"/>
  <c r="O153" i="3"/>
  <c r="S153" i="3" s="1"/>
  <c r="J153" i="3"/>
  <c r="BG152" i="3"/>
  <c r="BD152" i="3"/>
  <c r="BE152" i="3" s="1"/>
  <c r="BB152" i="3"/>
  <c r="AS152" i="3"/>
  <c r="AG152" i="3"/>
  <c r="AF152" i="3" s="1"/>
  <c r="Z152" i="3"/>
  <c r="Y152" i="3"/>
  <c r="X152" i="3"/>
  <c r="O152" i="3"/>
  <c r="S152" i="3" s="1"/>
  <c r="J152" i="3"/>
  <c r="BG151" i="3"/>
  <c r="BD151" i="3"/>
  <c r="BE151" i="3" s="1"/>
  <c r="AS151" i="3"/>
  <c r="AG151" i="3"/>
  <c r="AH151" i="3" s="1"/>
  <c r="AI151" i="3" s="1"/>
  <c r="Z151" i="3"/>
  <c r="Y151" i="3"/>
  <c r="X151" i="3"/>
  <c r="O151" i="3"/>
  <c r="S151" i="3" s="1"/>
  <c r="R151" i="3" s="1"/>
  <c r="Q151" i="3" s="1"/>
  <c r="J151" i="3"/>
  <c r="BG150" i="3"/>
  <c r="BD150" i="3"/>
  <c r="BE150" i="3" s="1"/>
  <c r="AS150" i="3"/>
  <c r="AG150" i="3"/>
  <c r="Z150" i="3"/>
  <c r="Y150" i="3"/>
  <c r="X150" i="3"/>
  <c r="O150" i="3"/>
  <c r="S150" i="3" s="1"/>
  <c r="T150" i="3" s="1"/>
  <c r="J150" i="3"/>
  <c r="BG149" i="3"/>
  <c r="BD149" i="3"/>
  <c r="BE149" i="3" s="1"/>
  <c r="AS149" i="3"/>
  <c r="AT149" i="3" s="1"/>
  <c r="AU149" i="3" s="1"/>
  <c r="AG149" i="3"/>
  <c r="Z149" i="3"/>
  <c r="Y149" i="3"/>
  <c r="X149" i="3"/>
  <c r="O149" i="3"/>
  <c r="S149" i="3" s="1"/>
  <c r="J149" i="3"/>
  <c r="BG148" i="3"/>
  <c r="BD148" i="3"/>
  <c r="BE148" i="3" s="1"/>
  <c r="AS148" i="3"/>
  <c r="AG148" i="3"/>
  <c r="AF148" i="3" s="1"/>
  <c r="Z148" i="3"/>
  <c r="Y148" i="3"/>
  <c r="O148" i="3"/>
  <c r="S148" i="3" s="1"/>
  <c r="R148" i="3" s="1"/>
  <c r="Q148" i="3" s="1"/>
  <c r="J148" i="3"/>
  <c r="BG147" i="3"/>
  <c r="BD147" i="3"/>
  <c r="BE147" i="3" s="1"/>
  <c r="AS147" i="3"/>
  <c r="AT147" i="3" s="1"/>
  <c r="AU147" i="3" s="1"/>
  <c r="AG147" i="3"/>
  <c r="AF147" i="3" s="1"/>
  <c r="Z147" i="3"/>
  <c r="Y147" i="3"/>
  <c r="X147" i="3"/>
  <c r="O147" i="3"/>
  <c r="S147" i="3" s="1"/>
  <c r="T147" i="3" s="1"/>
  <c r="J147" i="3"/>
  <c r="BG146" i="3"/>
  <c r="BD146" i="3"/>
  <c r="BE146" i="3" s="1"/>
  <c r="AS146" i="3"/>
  <c r="AG146" i="3"/>
  <c r="AF146" i="3" s="1"/>
  <c r="Z146" i="3"/>
  <c r="Y146" i="3"/>
  <c r="X146" i="3"/>
  <c r="O146" i="3"/>
  <c r="S146" i="3" s="1"/>
  <c r="T146" i="3" s="1"/>
  <c r="J146" i="3"/>
  <c r="BG145" i="3"/>
  <c r="BD145" i="3"/>
  <c r="BE145" i="3" s="1"/>
  <c r="AS145" i="3"/>
  <c r="AR145" i="3" s="1"/>
  <c r="AG145" i="3"/>
  <c r="AH145" i="3" s="1"/>
  <c r="AI145" i="3" s="1"/>
  <c r="Z145" i="3"/>
  <c r="Y145" i="3"/>
  <c r="X145" i="3"/>
  <c r="O145" i="3"/>
  <c r="S145" i="3" s="1"/>
  <c r="T145" i="3" s="1"/>
  <c r="J145" i="3"/>
  <c r="BG144" i="3"/>
  <c r="BD144" i="3"/>
  <c r="BE144" i="3" s="1"/>
  <c r="AS144" i="3"/>
  <c r="AT144" i="3" s="1"/>
  <c r="AU144" i="3" s="1"/>
  <c r="AG144" i="3"/>
  <c r="AH144" i="3" s="1"/>
  <c r="AI144" i="3" s="1"/>
  <c r="Z144" i="3"/>
  <c r="Y144" i="3"/>
  <c r="X144" i="3"/>
  <c r="O144" i="3"/>
  <c r="S144" i="3" s="1"/>
  <c r="R144" i="3" s="1"/>
  <c r="Q144" i="3" s="1"/>
  <c r="J144" i="3"/>
  <c r="BG143" i="3"/>
  <c r="BD143" i="3"/>
  <c r="BE143" i="3" s="1"/>
  <c r="AS143" i="3"/>
  <c r="AT143" i="3" s="1"/>
  <c r="AU143" i="3" s="1"/>
  <c r="AG143" i="3"/>
  <c r="AH143" i="3" s="1"/>
  <c r="AI143" i="3" s="1"/>
  <c r="Z143" i="3"/>
  <c r="Y143" i="3"/>
  <c r="X143" i="3"/>
  <c r="O143" i="3"/>
  <c r="S143" i="3" s="1"/>
  <c r="T143" i="3" s="1"/>
  <c r="J143" i="3"/>
  <c r="BG142" i="3"/>
  <c r="BD142" i="3"/>
  <c r="BE142" i="3" s="1"/>
  <c r="AS142" i="3"/>
  <c r="AR142" i="3" s="1"/>
  <c r="AG142" i="3"/>
  <c r="Z142" i="3"/>
  <c r="Y142" i="3"/>
  <c r="X142" i="3"/>
  <c r="O142" i="3"/>
  <c r="S142" i="3" s="1"/>
  <c r="J142" i="3"/>
  <c r="BG141" i="3"/>
  <c r="BD141" i="3"/>
  <c r="BE141" i="3" s="1"/>
  <c r="AS141" i="3"/>
  <c r="AR141" i="3" s="1"/>
  <c r="AG141" i="3"/>
  <c r="AH141" i="3" s="1"/>
  <c r="AI141" i="3" s="1"/>
  <c r="Z141" i="3"/>
  <c r="Y141" i="3"/>
  <c r="X141" i="3"/>
  <c r="O141" i="3"/>
  <c r="S141" i="3" s="1"/>
  <c r="R141" i="3" s="1"/>
  <c r="Q141" i="3" s="1"/>
  <c r="J141" i="3"/>
  <c r="BG140" i="3"/>
  <c r="BD140" i="3"/>
  <c r="BE140" i="3" s="1"/>
  <c r="AS140" i="3"/>
  <c r="AR140" i="3" s="1"/>
  <c r="AG140" i="3"/>
  <c r="AH140" i="3" s="1"/>
  <c r="AI140" i="3" s="1"/>
  <c r="Z140" i="3"/>
  <c r="Y140" i="3"/>
  <c r="X140" i="3"/>
  <c r="O140" i="3"/>
  <c r="S140" i="3" s="1"/>
  <c r="T140" i="3" s="1"/>
  <c r="J140" i="3"/>
  <c r="BG139" i="3"/>
  <c r="BD139" i="3"/>
  <c r="BE139" i="3" s="1"/>
  <c r="AS139" i="3"/>
  <c r="AT139" i="3" s="1"/>
  <c r="AU139" i="3" s="1"/>
  <c r="AG139" i="3"/>
  <c r="AF139" i="3" s="1"/>
  <c r="Z139" i="3"/>
  <c r="Y139" i="3"/>
  <c r="X139" i="3"/>
  <c r="O139" i="3"/>
  <c r="S139" i="3" s="1"/>
  <c r="J139" i="3"/>
  <c r="BG138" i="3"/>
  <c r="BD138" i="3"/>
  <c r="BE138" i="3" s="1"/>
  <c r="AS138" i="3"/>
  <c r="AG138" i="3"/>
  <c r="AH138" i="3" s="1"/>
  <c r="AI138" i="3" s="1"/>
  <c r="Z138" i="3"/>
  <c r="Y138" i="3"/>
  <c r="O138" i="3"/>
  <c r="S138" i="3" s="1"/>
  <c r="J138" i="3"/>
  <c r="BG137" i="3"/>
  <c r="BD137" i="3"/>
  <c r="BE137" i="3" s="1"/>
  <c r="AS137" i="3"/>
  <c r="AG137" i="3"/>
  <c r="AF137" i="3" s="1"/>
  <c r="Z137" i="3"/>
  <c r="Y137" i="3"/>
  <c r="X137" i="3"/>
  <c r="O137" i="3"/>
  <c r="S137" i="3" s="1"/>
  <c r="J137" i="3"/>
  <c r="BG136" i="3"/>
  <c r="BD136" i="3"/>
  <c r="BE136" i="3" s="1"/>
  <c r="AS136" i="3"/>
  <c r="AR136" i="3" s="1"/>
  <c r="AG136" i="3"/>
  <c r="AH136" i="3" s="1"/>
  <c r="AI136" i="3" s="1"/>
  <c r="Z136" i="3"/>
  <c r="Y136" i="3"/>
  <c r="O136" i="3"/>
  <c r="S136" i="3" s="1"/>
  <c r="J136" i="3"/>
  <c r="BG135" i="3"/>
  <c r="BD135" i="3"/>
  <c r="BE135" i="3" s="1"/>
  <c r="AS135" i="3"/>
  <c r="AT135" i="3" s="1"/>
  <c r="AU135" i="3" s="1"/>
  <c r="AG135" i="3"/>
  <c r="Z135" i="3"/>
  <c r="Y135" i="3"/>
  <c r="X135" i="3"/>
  <c r="O135" i="3"/>
  <c r="S135" i="3" s="1"/>
  <c r="R135" i="3" s="1"/>
  <c r="Q135" i="3" s="1"/>
  <c r="J135" i="3"/>
  <c r="BG134" i="3"/>
  <c r="BD134" i="3"/>
  <c r="BE134" i="3" s="1"/>
  <c r="AS134" i="3"/>
  <c r="AT134" i="3" s="1"/>
  <c r="AU134" i="3" s="1"/>
  <c r="AG134" i="3"/>
  <c r="AH134" i="3" s="1"/>
  <c r="AI134" i="3" s="1"/>
  <c r="Z134" i="3"/>
  <c r="Y134" i="3"/>
  <c r="X134" i="3"/>
  <c r="O134" i="3"/>
  <c r="S134" i="3" s="1"/>
  <c r="R134" i="3" s="1"/>
  <c r="Q134" i="3" s="1"/>
  <c r="J134" i="3"/>
  <c r="BG133" i="3"/>
  <c r="BD133" i="3"/>
  <c r="BE133" i="3" s="1"/>
  <c r="AS133" i="3"/>
  <c r="AG133" i="3"/>
  <c r="AH133" i="3" s="1"/>
  <c r="AI133" i="3" s="1"/>
  <c r="Z133" i="3"/>
  <c r="Y133" i="3"/>
  <c r="X133" i="3"/>
  <c r="O133" i="3"/>
  <c r="S133" i="3" s="1"/>
  <c r="R133" i="3" s="1"/>
  <c r="Q133" i="3" s="1"/>
  <c r="J133" i="3"/>
  <c r="BG132" i="3"/>
  <c r="BD132" i="3"/>
  <c r="BE132" i="3" s="1"/>
  <c r="AS132" i="3"/>
  <c r="AT132" i="3" s="1"/>
  <c r="AU132" i="3" s="1"/>
  <c r="AG132" i="3"/>
  <c r="AH132" i="3" s="1"/>
  <c r="AI132" i="3" s="1"/>
  <c r="Z132" i="3"/>
  <c r="Y132" i="3"/>
  <c r="O132" i="3"/>
  <c r="S132" i="3" s="1"/>
  <c r="J132" i="3"/>
  <c r="BG131" i="3"/>
  <c r="BD131" i="3"/>
  <c r="BE131" i="3" s="1"/>
  <c r="AS131" i="3"/>
  <c r="AG131" i="3"/>
  <c r="AH131" i="3" s="1"/>
  <c r="AI131" i="3" s="1"/>
  <c r="Z131" i="3"/>
  <c r="Y131" i="3"/>
  <c r="X131" i="3"/>
  <c r="O131" i="3"/>
  <c r="S131" i="3" s="1"/>
  <c r="J131" i="3"/>
  <c r="BG130" i="3"/>
  <c r="BD130" i="3"/>
  <c r="BE130" i="3" s="1"/>
  <c r="AS130" i="3"/>
  <c r="AG130" i="3"/>
  <c r="AF130" i="3" s="1"/>
  <c r="Z130" i="3"/>
  <c r="Y130" i="3"/>
  <c r="X130" i="3"/>
  <c r="O130" i="3"/>
  <c r="S130" i="3" s="1"/>
  <c r="J130" i="3"/>
  <c r="BG129" i="3"/>
  <c r="BD129" i="3"/>
  <c r="BE129" i="3" s="1"/>
  <c r="AS129" i="3"/>
  <c r="AT129" i="3" s="1"/>
  <c r="AU129" i="3" s="1"/>
  <c r="AG129" i="3"/>
  <c r="AH129" i="3" s="1"/>
  <c r="AI129" i="3" s="1"/>
  <c r="Z129" i="3"/>
  <c r="Y129" i="3"/>
  <c r="X129" i="3"/>
  <c r="O129" i="3"/>
  <c r="S129" i="3" s="1"/>
  <c r="R129" i="3" s="1"/>
  <c r="Q129" i="3" s="1"/>
  <c r="J129" i="3"/>
  <c r="BG128" i="3"/>
  <c r="BD128" i="3"/>
  <c r="BE128" i="3" s="1"/>
  <c r="AS128" i="3"/>
  <c r="AT128" i="3" s="1"/>
  <c r="AU128" i="3" s="1"/>
  <c r="AG128" i="3"/>
  <c r="AF128" i="3" s="1"/>
  <c r="Z128" i="3"/>
  <c r="Y128" i="3"/>
  <c r="X128" i="3"/>
  <c r="O128" i="3"/>
  <c r="S128" i="3" s="1"/>
  <c r="J128" i="3"/>
  <c r="BG127" i="3"/>
  <c r="BD127" i="3"/>
  <c r="BE127" i="3" s="1"/>
  <c r="AS127" i="3"/>
  <c r="AT127" i="3" s="1"/>
  <c r="AU127" i="3" s="1"/>
  <c r="AG127" i="3"/>
  <c r="AF127" i="3" s="1"/>
  <c r="Z127" i="3"/>
  <c r="Y127" i="3"/>
  <c r="X127" i="3"/>
  <c r="O127" i="3"/>
  <c r="S127" i="3" s="1"/>
  <c r="J127" i="3"/>
  <c r="BG126" i="3"/>
  <c r="BD126" i="3"/>
  <c r="BE126" i="3" s="1"/>
  <c r="AS126" i="3"/>
  <c r="AR126" i="3" s="1"/>
  <c r="AG126" i="3"/>
  <c r="AH126" i="3" s="1"/>
  <c r="AI126" i="3" s="1"/>
  <c r="Z126" i="3"/>
  <c r="Y126" i="3"/>
  <c r="X126" i="3"/>
  <c r="O126" i="3"/>
  <c r="S126" i="3" s="1"/>
  <c r="J126" i="3"/>
  <c r="BG125" i="3"/>
  <c r="BD125" i="3"/>
  <c r="BE125" i="3" s="1"/>
  <c r="AS125" i="3"/>
  <c r="AT125" i="3" s="1"/>
  <c r="AU125" i="3" s="1"/>
  <c r="AG125" i="3"/>
  <c r="Z125" i="3"/>
  <c r="Y125" i="3"/>
  <c r="X125" i="3"/>
  <c r="O125" i="3"/>
  <c r="S125" i="3" s="1"/>
  <c r="T125" i="3" s="1"/>
  <c r="J125" i="3"/>
  <c r="BG124" i="3"/>
  <c r="BD124" i="3"/>
  <c r="BE124" i="3" s="1"/>
  <c r="AS124" i="3"/>
  <c r="AT124" i="3" s="1"/>
  <c r="AU124" i="3" s="1"/>
  <c r="AG124" i="3"/>
  <c r="Z124" i="3"/>
  <c r="Y124" i="3"/>
  <c r="X124" i="3"/>
  <c r="O124" i="3"/>
  <c r="S124" i="3" s="1"/>
  <c r="T124" i="3" s="1"/>
  <c r="J124" i="3"/>
  <c r="BG123" i="3"/>
  <c r="BD123" i="3"/>
  <c r="BE123" i="3" s="1"/>
  <c r="AS123" i="3"/>
  <c r="AT123" i="3" s="1"/>
  <c r="AU123" i="3" s="1"/>
  <c r="AG123" i="3"/>
  <c r="AF123" i="3" s="1"/>
  <c r="Z123" i="3"/>
  <c r="Y123" i="3"/>
  <c r="O123" i="3"/>
  <c r="S123" i="3" s="1"/>
  <c r="J123" i="3"/>
  <c r="BG122" i="3"/>
  <c r="BD122" i="3"/>
  <c r="BE122" i="3" s="1"/>
  <c r="AS122" i="3"/>
  <c r="AT122" i="3" s="1"/>
  <c r="AU122" i="3" s="1"/>
  <c r="AG122" i="3"/>
  <c r="AF122" i="3" s="1"/>
  <c r="Z122" i="3"/>
  <c r="Y122" i="3"/>
  <c r="X122" i="3"/>
  <c r="O122" i="3"/>
  <c r="S122" i="3" s="1"/>
  <c r="J122" i="3"/>
  <c r="BG121" i="3"/>
  <c r="BD121" i="3"/>
  <c r="BE121" i="3" s="1"/>
  <c r="AS121" i="3"/>
  <c r="AG121" i="3"/>
  <c r="AH121" i="3" s="1"/>
  <c r="AI121" i="3" s="1"/>
  <c r="Z121" i="3"/>
  <c r="Y121" i="3"/>
  <c r="X121" i="3"/>
  <c r="O121" i="3"/>
  <c r="S121" i="3" s="1"/>
  <c r="R121" i="3" s="1"/>
  <c r="Q121" i="3" s="1"/>
  <c r="J121" i="3"/>
  <c r="BG120" i="3"/>
  <c r="BD120" i="3"/>
  <c r="BE120" i="3" s="1"/>
  <c r="AS120" i="3"/>
  <c r="AR120" i="3" s="1"/>
  <c r="AG120" i="3"/>
  <c r="Z120" i="3"/>
  <c r="Y120" i="3"/>
  <c r="X120" i="3"/>
  <c r="O120" i="3"/>
  <c r="S120" i="3" s="1"/>
  <c r="T120" i="3" s="1"/>
  <c r="J120" i="3"/>
  <c r="BG119" i="3"/>
  <c r="BD119" i="3"/>
  <c r="BE119" i="3" s="1"/>
  <c r="AS119" i="3"/>
  <c r="AT119" i="3" s="1"/>
  <c r="AU119" i="3" s="1"/>
  <c r="AG119" i="3"/>
  <c r="AH119" i="3" s="1"/>
  <c r="AI119" i="3" s="1"/>
  <c r="Z119" i="3"/>
  <c r="Y119" i="3"/>
  <c r="X119" i="3"/>
  <c r="O119" i="3"/>
  <c r="S119" i="3" s="1"/>
  <c r="J119" i="3"/>
  <c r="BG118" i="3"/>
  <c r="BD118" i="3"/>
  <c r="BE118" i="3" s="1"/>
  <c r="AS118" i="3"/>
  <c r="AT118" i="3" s="1"/>
  <c r="AU118" i="3" s="1"/>
  <c r="AG118" i="3"/>
  <c r="Z118" i="3"/>
  <c r="Y118" i="3"/>
  <c r="X118" i="3"/>
  <c r="O118" i="3"/>
  <c r="S118" i="3" s="1"/>
  <c r="J118" i="3"/>
  <c r="BG117" i="3"/>
  <c r="BD117" i="3"/>
  <c r="BE117" i="3" s="1"/>
  <c r="AS117" i="3"/>
  <c r="AG117" i="3"/>
  <c r="AF117" i="3" s="1"/>
  <c r="Z117" i="3"/>
  <c r="Y117" i="3"/>
  <c r="X117" i="3"/>
  <c r="O117" i="3"/>
  <c r="S117" i="3" s="1"/>
  <c r="J117" i="3"/>
  <c r="BG116" i="3"/>
  <c r="BD116" i="3"/>
  <c r="BE116" i="3" s="1"/>
  <c r="AS116" i="3"/>
  <c r="AR116" i="3" s="1"/>
  <c r="AG116" i="3"/>
  <c r="Z116" i="3"/>
  <c r="Y116" i="3"/>
  <c r="X116" i="3"/>
  <c r="O116" i="3"/>
  <c r="S116" i="3" s="1"/>
  <c r="T116" i="3" s="1"/>
  <c r="J116" i="3"/>
  <c r="BG115" i="3"/>
  <c r="BD115" i="3"/>
  <c r="BE115" i="3" s="1"/>
  <c r="AS115" i="3"/>
  <c r="AT115" i="3" s="1"/>
  <c r="AU115" i="3" s="1"/>
  <c r="AG115" i="3"/>
  <c r="AH115" i="3" s="1"/>
  <c r="AI115" i="3" s="1"/>
  <c r="Z115" i="3"/>
  <c r="Y115" i="3"/>
  <c r="X115" i="3"/>
  <c r="O115" i="3"/>
  <c r="S115" i="3" s="1"/>
  <c r="J115" i="3"/>
  <c r="BG114" i="3"/>
  <c r="BD114" i="3"/>
  <c r="BE114" i="3" s="1"/>
  <c r="AS114" i="3"/>
  <c r="AG114" i="3"/>
  <c r="AF114" i="3" s="1"/>
  <c r="Z114" i="3"/>
  <c r="Y114" i="3"/>
  <c r="X114" i="3"/>
  <c r="O114" i="3"/>
  <c r="S114" i="3" s="1"/>
  <c r="J114" i="3"/>
  <c r="BG113" i="3"/>
  <c r="BD113" i="3"/>
  <c r="BE113" i="3" s="1"/>
  <c r="AS113" i="3"/>
  <c r="AT113" i="3" s="1"/>
  <c r="AU113" i="3" s="1"/>
  <c r="AG113" i="3"/>
  <c r="Z113" i="3"/>
  <c r="Y113" i="3"/>
  <c r="X113" i="3"/>
  <c r="O113" i="3"/>
  <c r="S113" i="3" s="1"/>
  <c r="R113" i="3" s="1"/>
  <c r="Q113" i="3" s="1"/>
  <c r="J113" i="3"/>
  <c r="BG112" i="3"/>
  <c r="BD112" i="3"/>
  <c r="BE112" i="3" s="1"/>
  <c r="AS112" i="3"/>
  <c r="AR112" i="3" s="1"/>
  <c r="AG112" i="3"/>
  <c r="AH112" i="3" s="1"/>
  <c r="AI112" i="3" s="1"/>
  <c r="Z112" i="3"/>
  <c r="Y112" i="3"/>
  <c r="X112" i="3"/>
  <c r="O112" i="3"/>
  <c r="S112" i="3" s="1"/>
  <c r="T112" i="3" s="1"/>
  <c r="J112" i="3"/>
  <c r="BG111" i="3"/>
  <c r="BD111" i="3"/>
  <c r="BE111" i="3" s="1"/>
  <c r="AS111" i="3"/>
  <c r="AG111" i="3"/>
  <c r="AH111" i="3" s="1"/>
  <c r="AI111" i="3" s="1"/>
  <c r="Z111" i="3"/>
  <c r="Y111" i="3"/>
  <c r="X111" i="3"/>
  <c r="O111" i="3"/>
  <c r="S111" i="3" s="1"/>
  <c r="R111" i="3" s="1"/>
  <c r="Q111" i="3" s="1"/>
  <c r="J111" i="3"/>
  <c r="BG110" i="3"/>
  <c r="BD110" i="3"/>
  <c r="BE110" i="3" s="1"/>
  <c r="AS110" i="3"/>
  <c r="AT110" i="3" s="1"/>
  <c r="AU110" i="3" s="1"/>
  <c r="AG110" i="3"/>
  <c r="AF110" i="3" s="1"/>
  <c r="Z110" i="3"/>
  <c r="Y110" i="3"/>
  <c r="X110" i="3"/>
  <c r="O110" i="3"/>
  <c r="S110" i="3" s="1"/>
  <c r="J110" i="3"/>
  <c r="BG109" i="3"/>
  <c r="BD109" i="3"/>
  <c r="BE109" i="3" s="1"/>
  <c r="AS109" i="3"/>
  <c r="AT109" i="3" s="1"/>
  <c r="AU109" i="3" s="1"/>
  <c r="AG109" i="3"/>
  <c r="AH109" i="3" s="1"/>
  <c r="AI109" i="3" s="1"/>
  <c r="Z109" i="3"/>
  <c r="Y109" i="3"/>
  <c r="X109" i="3"/>
  <c r="O109" i="3"/>
  <c r="S109" i="3" s="1"/>
  <c r="R109" i="3" s="1"/>
  <c r="Q109" i="3" s="1"/>
  <c r="J109" i="3"/>
  <c r="BG108" i="3"/>
  <c r="BD108" i="3"/>
  <c r="BE108" i="3" s="1"/>
  <c r="AS108" i="3"/>
  <c r="AR108" i="3" s="1"/>
  <c r="AG108" i="3"/>
  <c r="Z108" i="3"/>
  <c r="Y108" i="3"/>
  <c r="X108" i="3"/>
  <c r="O108" i="3"/>
  <c r="S108" i="3" s="1"/>
  <c r="T108" i="3" s="1"/>
  <c r="J108" i="3"/>
  <c r="BG107" i="3"/>
  <c r="BD107" i="3"/>
  <c r="BE107" i="3" s="1"/>
  <c r="AS107" i="3"/>
  <c r="AG107" i="3"/>
  <c r="Z107" i="3"/>
  <c r="Y107" i="3"/>
  <c r="X107" i="3"/>
  <c r="O107" i="3"/>
  <c r="S107" i="3" s="1"/>
  <c r="R107" i="3" s="1"/>
  <c r="Q107" i="3" s="1"/>
  <c r="J107" i="3"/>
  <c r="BG106" i="3"/>
  <c r="BD106" i="3"/>
  <c r="BE106" i="3" s="1"/>
  <c r="AS106" i="3"/>
  <c r="AT106" i="3" s="1"/>
  <c r="AU106" i="3" s="1"/>
  <c r="AG106" i="3"/>
  <c r="AH106" i="3" s="1"/>
  <c r="AI106" i="3" s="1"/>
  <c r="Z106" i="3"/>
  <c r="Y106" i="3"/>
  <c r="X106" i="3"/>
  <c r="O106" i="3"/>
  <c r="S106" i="3" s="1"/>
  <c r="T106" i="3" s="1"/>
  <c r="J106" i="3"/>
  <c r="BG105" i="3"/>
  <c r="BD105" i="3"/>
  <c r="BE105" i="3" s="1"/>
  <c r="AS105" i="3"/>
  <c r="AT105" i="3" s="1"/>
  <c r="AU105" i="3" s="1"/>
  <c r="AG105" i="3"/>
  <c r="Z105" i="3"/>
  <c r="Y105" i="3"/>
  <c r="X105" i="3"/>
  <c r="O105" i="3"/>
  <c r="S105" i="3" s="1"/>
  <c r="T105" i="3" s="1"/>
  <c r="J105" i="3"/>
  <c r="BG104" i="3"/>
  <c r="BD104" i="3"/>
  <c r="BE104" i="3" s="1"/>
  <c r="AS104" i="3"/>
  <c r="AT104" i="3" s="1"/>
  <c r="AU104" i="3" s="1"/>
  <c r="AG104" i="3"/>
  <c r="Z104" i="3"/>
  <c r="Y104" i="3"/>
  <c r="X104" i="3"/>
  <c r="O104" i="3"/>
  <c r="S104" i="3" s="1"/>
  <c r="T104" i="3" s="1"/>
  <c r="J104" i="3"/>
  <c r="BG103" i="3"/>
  <c r="BD103" i="3"/>
  <c r="BE103" i="3" s="1"/>
  <c r="AS103" i="3"/>
  <c r="AG103" i="3"/>
  <c r="AH103" i="3" s="1"/>
  <c r="AI103" i="3" s="1"/>
  <c r="Z103" i="3"/>
  <c r="Y103" i="3"/>
  <c r="X103" i="3"/>
  <c r="O103" i="3"/>
  <c r="S103" i="3" s="1"/>
  <c r="J103" i="3"/>
  <c r="BG102" i="3"/>
  <c r="BD102" i="3"/>
  <c r="BE102" i="3" s="1"/>
  <c r="AS102" i="3"/>
  <c r="AR102" i="3" s="1"/>
  <c r="AG102" i="3"/>
  <c r="AH102" i="3" s="1"/>
  <c r="AI102" i="3" s="1"/>
  <c r="Z102" i="3"/>
  <c r="Y102" i="3"/>
  <c r="X102" i="3"/>
  <c r="O102" i="3"/>
  <c r="S102" i="3" s="1"/>
  <c r="R102" i="3" s="1"/>
  <c r="Q102" i="3" s="1"/>
  <c r="J102" i="3"/>
  <c r="BG101" i="3"/>
  <c r="BD101" i="3"/>
  <c r="BE101" i="3" s="1"/>
  <c r="AS101" i="3"/>
  <c r="AG101" i="3"/>
  <c r="Z101" i="3"/>
  <c r="Y101" i="3"/>
  <c r="X101" i="3"/>
  <c r="O101" i="3"/>
  <c r="S101" i="3" s="1"/>
  <c r="J101" i="3"/>
  <c r="BG100" i="3"/>
  <c r="BD100" i="3"/>
  <c r="BE100" i="3" s="1"/>
  <c r="AS100" i="3"/>
  <c r="AR100" i="3" s="1"/>
  <c r="AG100" i="3"/>
  <c r="AF100" i="3" s="1"/>
  <c r="Z100" i="3"/>
  <c r="Y100" i="3"/>
  <c r="X100" i="3"/>
  <c r="O100" i="3"/>
  <c r="S100" i="3" s="1"/>
  <c r="T100" i="3" s="1"/>
  <c r="J100" i="3"/>
  <c r="BG99" i="3"/>
  <c r="BD99" i="3"/>
  <c r="BE99" i="3" s="1"/>
  <c r="AS99" i="3"/>
  <c r="AT99" i="3" s="1"/>
  <c r="AU99" i="3" s="1"/>
  <c r="AG99" i="3"/>
  <c r="AF99" i="3" s="1"/>
  <c r="Z99" i="3"/>
  <c r="Y99" i="3"/>
  <c r="X99" i="3"/>
  <c r="O99" i="3"/>
  <c r="S99" i="3" s="1"/>
  <c r="J99" i="3"/>
  <c r="BG98" i="3"/>
  <c r="BD98" i="3"/>
  <c r="BE98" i="3" s="1"/>
  <c r="AS98" i="3"/>
  <c r="AG98" i="3"/>
  <c r="AH98" i="3" s="1"/>
  <c r="AI98" i="3" s="1"/>
  <c r="Z98" i="3"/>
  <c r="Y98" i="3"/>
  <c r="X98" i="3"/>
  <c r="O98" i="3"/>
  <c r="S98" i="3" s="1"/>
  <c r="J98" i="3"/>
  <c r="BG97" i="3"/>
  <c r="BD97" i="3"/>
  <c r="BE97" i="3" s="1"/>
  <c r="AS97" i="3"/>
  <c r="AT97" i="3" s="1"/>
  <c r="AU97" i="3" s="1"/>
  <c r="AG97" i="3"/>
  <c r="Z97" i="3"/>
  <c r="Y97" i="3"/>
  <c r="X97" i="3"/>
  <c r="O97" i="3"/>
  <c r="S97" i="3" s="1"/>
  <c r="J97" i="3"/>
  <c r="BG96" i="3"/>
  <c r="BD96" i="3"/>
  <c r="BE96" i="3" s="1"/>
  <c r="AS96" i="3"/>
  <c r="AG96" i="3"/>
  <c r="AF96" i="3" s="1"/>
  <c r="Z96" i="3"/>
  <c r="Y96" i="3"/>
  <c r="X96" i="3"/>
  <c r="O96" i="3"/>
  <c r="S96" i="3" s="1"/>
  <c r="J96" i="3"/>
  <c r="BG95" i="3"/>
  <c r="BD95" i="3"/>
  <c r="BE95" i="3" s="1"/>
  <c r="AS95" i="3"/>
  <c r="AG95" i="3"/>
  <c r="AH95" i="3" s="1"/>
  <c r="AI95" i="3" s="1"/>
  <c r="Z95" i="3"/>
  <c r="Y95" i="3"/>
  <c r="X95" i="3"/>
  <c r="O95" i="3"/>
  <c r="S95" i="3" s="1"/>
  <c r="R95" i="3" s="1"/>
  <c r="Q95" i="3" s="1"/>
  <c r="J95" i="3"/>
  <c r="BG94" i="3"/>
  <c r="BD94" i="3"/>
  <c r="BE94" i="3" s="1"/>
  <c r="AS94" i="3"/>
  <c r="AR94" i="3" s="1"/>
  <c r="AG94" i="3"/>
  <c r="Z94" i="3"/>
  <c r="Y94" i="3"/>
  <c r="X94" i="3"/>
  <c r="O94" i="3"/>
  <c r="S94" i="3" s="1"/>
  <c r="T94" i="3" s="1"/>
  <c r="J94" i="3"/>
  <c r="BG93" i="3"/>
  <c r="BD93" i="3"/>
  <c r="BE93" i="3" s="1"/>
  <c r="AS93" i="3"/>
  <c r="AT93" i="3" s="1"/>
  <c r="AU93" i="3" s="1"/>
  <c r="AG93" i="3"/>
  <c r="Z93" i="3"/>
  <c r="Y93" i="3"/>
  <c r="X93" i="3"/>
  <c r="O93" i="3"/>
  <c r="S93" i="3" s="1"/>
  <c r="J93" i="3"/>
  <c r="BG92" i="3"/>
  <c r="BD92" i="3"/>
  <c r="BE92" i="3" s="1"/>
  <c r="AS92" i="3"/>
  <c r="AG92" i="3"/>
  <c r="AF92" i="3" s="1"/>
  <c r="Z92" i="3"/>
  <c r="Y92" i="3"/>
  <c r="X92" i="3"/>
  <c r="O92" i="3"/>
  <c r="S92" i="3" s="1"/>
  <c r="J92" i="3"/>
  <c r="BG91" i="3"/>
  <c r="BD91" i="3"/>
  <c r="BE91" i="3" s="1"/>
  <c r="AS91" i="3"/>
  <c r="AG91" i="3"/>
  <c r="AH91" i="3" s="1"/>
  <c r="AI91" i="3" s="1"/>
  <c r="Z91" i="3"/>
  <c r="Y91" i="3"/>
  <c r="X91" i="3"/>
  <c r="O91" i="3"/>
  <c r="S91" i="3" s="1"/>
  <c r="R91" i="3" s="1"/>
  <c r="Q91" i="3" s="1"/>
  <c r="J91" i="3"/>
  <c r="BG90" i="3"/>
  <c r="BD90" i="3"/>
  <c r="BE90" i="3" s="1"/>
  <c r="AS90" i="3"/>
  <c r="AR90" i="3" s="1"/>
  <c r="AG90" i="3"/>
  <c r="AH90" i="3" s="1"/>
  <c r="AI90" i="3" s="1"/>
  <c r="Z90" i="3"/>
  <c r="Y90" i="3"/>
  <c r="X90" i="3"/>
  <c r="O90" i="3"/>
  <c r="S90" i="3" s="1"/>
  <c r="T90" i="3" s="1"/>
  <c r="J90" i="3"/>
  <c r="BG89" i="3"/>
  <c r="BD89" i="3"/>
  <c r="BE89" i="3" s="1"/>
  <c r="AS89" i="3"/>
  <c r="AG89" i="3"/>
  <c r="Z89" i="3"/>
  <c r="Y89" i="3"/>
  <c r="X89" i="3"/>
  <c r="O89" i="3"/>
  <c r="S89" i="3" s="1"/>
  <c r="J89" i="3"/>
  <c r="BG88" i="3"/>
  <c r="BD88" i="3"/>
  <c r="BE88" i="3" s="1"/>
  <c r="AS88" i="3"/>
  <c r="AG88" i="3"/>
  <c r="AF88" i="3" s="1"/>
  <c r="Z88" i="3"/>
  <c r="Y88" i="3"/>
  <c r="X88" i="3"/>
  <c r="O88" i="3"/>
  <c r="S88" i="3" s="1"/>
  <c r="J88" i="3"/>
  <c r="BG87" i="3"/>
  <c r="BD87" i="3"/>
  <c r="BE87" i="3" s="1"/>
  <c r="AS87" i="3"/>
  <c r="AG87" i="3"/>
  <c r="AH87" i="3" s="1"/>
  <c r="AI87" i="3" s="1"/>
  <c r="Z87" i="3"/>
  <c r="Y87" i="3"/>
  <c r="X87" i="3"/>
  <c r="O87" i="3"/>
  <c r="S87" i="3" s="1"/>
  <c r="R87" i="3" s="1"/>
  <c r="Q87" i="3" s="1"/>
  <c r="J87" i="3"/>
  <c r="BG86" i="3"/>
  <c r="BD86" i="3"/>
  <c r="BE86" i="3" s="1"/>
  <c r="AS86" i="3"/>
  <c r="AR86" i="3" s="1"/>
  <c r="AG86" i="3"/>
  <c r="AH86" i="3" s="1"/>
  <c r="AI86" i="3" s="1"/>
  <c r="Z86" i="3"/>
  <c r="Y86" i="3"/>
  <c r="X86" i="3"/>
  <c r="O86" i="3"/>
  <c r="S86" i="3" s="1"/>
  <c r="T86" i="3" s="1"/>
  <c r="J86" i="3"/>
  <c r="BG85" i="3"/>
  <c r="BD85" i="3"/>
  <c r="BE85" i="3" s="1"/>
  <c r="AS85" i="3"/>
  <c r="AT85" i="3" s="1"/>
  <c r="AU85" i="3" s="1"/>
  <c r="AG85" i="3"/>
  <c r="Z85" i="3"/>
  <c r="Y85" i="3"/>
  <c r="X85" i="3"/>
  <c r="O85" i="3"/>
  <c r="S85" i="3" s="1"/>
  <c r="J85" i="3"/>
  <c r="BG84" i="3"/>
  <c r="BD84" i="3"/>
  <c r="BE84" i="3" s="1"/>
  <c r="AS84" i="3"/>
  <c r="AT84" i="3" s="1"/>
  <c r="AU84" i="3" s="1"/>
  <c r="AG84" i="3"/>
  <c r="AF84" i="3" s="1"/>
  <c r="Z84" i="3"/>
  <c r="Y84" i="3"/>
  <c r="X84" i="3"/>
  <c r="O84" i="3"/>
  <c r="S84" i="3" s="1"/>
  <c r="J84" i="3"/>
  <c r="BG83" i="3"/>
  <c r="BD83" i="3"/>
  <c r="BE83" i="3" s="1"/>
  <c r="AS83" i="3"/>
  <c r="AG83" i="3"/>
  <c r="AH83" i="3" s="1"/>
  <c r="AI83" i="3" s="1"/>
  <c r="Z83" i="3"/>
  <c r="Y83" i="3"/>
  <c r="X83" i="3"/>
  <c r="O83" i="3"/>
  <c r="S83" i="3" s="1"/>
  <c r="T83" i="3" s="1"/>
  <c r="J83" i="3"/>
  <c r="BG82" i="3"/>
  <c r="BD82" i="3"/>
  <c r="BE82" i="3" s="1"/>
  <c r="AS82" i="3"/>
  <c r="AT82" i="3" s="1"/>
  <c r="AU82" i="3" s="1"/>
  <c r="AG82" i="3"/>
  <c r="AH82" i="3" s="1"/>
  <c r="AI82" i="3" s="1"/>
  <c r="Z82" i="3"/>
  <c r="Y82" i="3"/>
  <c r="X82" i="3"/>
  <c r="O82" i="3"/>
  <c r="S82" i="3" s="1"/>
  <c r="T82" i="3" s="1"/>
  <c r="J82" i="3"/>
  <c r="BG81" i="3"/>
  <c r="BD81" i="3"/>
  <c r="BE81" i="3" s="1"/>
  <c r="AS81" i="3"/>
  <c r="AT81" i="3" s="1"/>
  <c r="AU81" i="3" s="1"/>
  <c r="AG81" i="3"/>
  <c r="Z81" i="3"/>
  <c r="Y81" i="3"/>
  <c r="X81" i="3"/>
  <c r="O81" i="3"/>
  <c r="S81" i="3" s="1"/>
  <c r="T81" i="3" s="1"/>
  <c r="J81" i="3"/>
  <c r="BG80" i="3"/>
  <c r="BD80" i="3"/>
  <c r="BE80" i="3" s="1"/>
  <c r="AS80" i="3"/>
  <c r="AT80" i="3" s="1"/>
  <c r="AU80" i="3" s="1"/>
  <c r="AG80" i="3"/>
  <c r="AH80" i="3" s="1"/>
  <c r="AI80" i="3" s="1"/>
  <c r="Z80" i="3"/>
  <c r="Y80" i="3"/>
  <c r="X80" i="3"/>
  <c r="O80" i="3"/>
  <c r="S80" i="3" s="1"/>
  <c r="J80" i="3"/>
  <c r="BG79" i="3"/>
  <c r="BD79" i="3"/>
  <c r="BE79" i="3" s="1"/>
  <c r="AS79" i="3"/>
  <c r="AG79" i="3"/>
  <c r="AH79" i="3" s="1"/>
  <c r="AI79" i="3" s="1"/>
  <c r="Z79" i="3"/>
  <c r="Y79" i="3"/>
  <c r="X79" i="3"/>
  <c r="O79" i="3"/>
  <c r="S79" i="3" s="1"/>
  <c r="J79" i="3"/>
  <c r="BG78" i="3"/>
  <c r="BD78" i="3"/>
  <c r="BE78" i="3" s="1"/>
  <c r="AS78" i="3"/>
  <c r="AG78" i="3"/>
  <c r="AH78" i="3" s="1"/>
  <c r="AI78" i="3" s="1"/>
  <c r="Z78" i="3"/>
  <c r="Y78" i="3"/>
  <c r="O78" i="3"/>
  <c r="S78" i="3" s="1"/>
  <c r="J78" i="3"/>
  <c r="BG77" i="3"/>
  <c r="BD77" i="3"/>
  <c r="BE77" i="3" s="1"/>
  <c r="AS77" i="3"/>
  <c r="AG77" i="3"/>
  <c r="AH77" i="3" s="1"/>
  <c r="AI77" i="3" s="1"/>
  <c r="Z77" i="3"/>
  <c r="Y77" i="3"/>
  <c r="X77" i="3"/>
  <c r="O77" i="3"/>
  <c r="S77" i="3" s="1"/>
  <c r="J77" i="3"/>
  <c r="BG76" i="3"/>
  <c r="BD76" i="3"/>
  <c r="BE76" i="3" s="1"/>
  <c r="AS76" i="3"/>
  <c r="AG76" i="3"/>
  <c r="Z76" i="3"/>
  <c r="Y76" i="3"/>
  <c r="X76" i="3"/>
  <c r="O76" i="3"/>
  <c r="S76" i="3" s="1"/>
  <c r="T76" i="3" s="1"/>
  <c r="J76" i="3"/>
  <c r="BG75" i="3"/>
  <c r="BD75" i="3"/>
  <c r="BE75" i="3" s="1"/>
  <c r="AS75" i="3"/>
  <c r="AT75" i="3" s="1"/>
  <c r="AU75" i="3" s="1"/>
  <c r="AG75" i="3"/>
  <c r="AH75" i="3" s="1"/>
  <c r="AI75" i="3" s="1"/>
  <c r="Z75" i="3"/>
  <c r="Y75" i="3"/>
  <c r="O75" i="3"/>
  <c r="S75" i="3" s="1"/>
  <c r="T75" i="3" s="1"/>
  <c r="J75" i="3"/>
  <c r="BG74" i="3"/>
  <c r="BD74" i="3"/>
  <c r="BE74" i="3" s="1"/>
  <c r="AS74" i="3"/>
  <c r="AT74" i="3" s="1"/>
  <c r="AU74" i="3" s="1"/>
  <c r="AG74" i="3"/>
  <c r="Z74" i="3"/>
  <c r="Y74" i="3"/>
  <c r="X74" i="3"/>
  <c r="O74" i="3"/>
  <c r="S74" i="3" s="1"/>
  <c r="J74" i="3"/>
  <c r="BG73" i="3"/>
  <c r="BD73" i="3"/>
  <c r="BE73" i="3" s="1"/>
  <c r="AS73" i="3"/>
  <c r="AT73" i="3" s="1"/>
  <c r="AU73" i="3" s="1"/>
  <c r="AG73" i="3"/>
  <c r="AH73" i="3" s="1"/>
  <c r="AI73" i="3" s="1"/>
  <c r="Z73" i="3"/>
  <c r="Y73" i="3"/>
  <c r="X73" i="3"/>
  <c r="O73" i="3"/>
  <c r="S73" i="3" s="1"/>
  <c r="J73" i="3"/>
  <c r="BG72" i="3"/>
  <c r="BD72" i="3"/>
  <c r="BE72" i="3" s="1"/>
  <c r="AS72" i="3"/>
  <c r="AG72" i="3"/>
  <c r="AH72" i="3" s="1"/>
  <c r="AI72" i="3" s="1"/>
  <c r="Z72" i="3"/>
  <c r="Y72" i="3"/>
  <c r="X72" i="3"/>
  <c r="O72" i="3"/>
  <c r="S72" i="3" s="1"/>
  <c r="J72" i="3"/>
  <c r="BG71" i="3"/>
  <c r="BD71" i="3"/>
  <c r="BE71" i="3" s="1"/>
  <c r="AS71" i="3"/>
  <c r="AG71" i="3"/>
  <c r="AH71" i="3" s="1"/>
  <c r="AI71" i="3" s="1"/>
  <c r="Z71" i="3"/>
  <c r="Y71" i="3"/>
  <c r="X71" i="3"/>
  <c r="O71" i="3"/>
  <c r="S71" i="3" s="1"/>
  <c r="T71" i="3" s="1"/>
  <c r="J71" i="3"/>
  <c r="BG70" i="3"/>
  <c r="BD70" i="3"/>
  <c r="BE70" i="3" s="1"/>
  <c r="AS70" i="3"/>
  <c r="AT70" i="3" s="1"/>
  <c r="AU70" i="3" s="1"/>
  <c r="AG70" i="3"/>
  <c r="AH70" i="3" s="1"/>
  <c r="AI70" i="3" s="1"/>
  <c r="Z70" i="3"/>
  <c r="Y70" i="3"/>
  <c r="X70" i="3"/>
  <c r="O70" i="3"/>
  <c r="S70" i="3" s="1"/>
  <c r="J70" i="3"/>
  <c r="BG69" i="3"/>
  <c r="BD69" i="3"/>
  <c r="BE69" i="3" s="1"/>
  <c r="AS69" i="3"/>
  <c r="AG69" i="3"/>
  <c r="AH69" i="3" s="1"/>
  <c r="AI69" i="3" s="1"/>
  <c r="Z69" i="3"/>
  <c r="Y69" i="3"/>
  <c r="X69" i="3"/>
  <c r="O69" i="3"/>
  <c r="S69" i="3" s="1"/>
  <c r="J69" i="3"/>
  <c r="BG68" i="3"/>
  <c r="BD68" i="3"/>
  <c r="BE68" i="3" s="1"/>
  <c r="AS68" i="3"/>
  <c r="AT68" i="3" s="1"/>
  <c r="AU68" i="3" s="1"/>
  <c r="AG68" i="3"/>
  <c r="Z68" i="3"/>
  <c r="X68" i="3"/>
  <c r="O68" i="3"/>
  <c r="S68" i="3" s="1"/>
  <c r="J68" i="3"/>
  <c r="BG67" i="3"/>
  <c r="BD67" i="3"/>
  <c r="BE67" i="3" s="1"/>
  <c r="AS67" i="3"/>
  <c r="AT67" i="3" s="1"/>
  <c r="AU67" i="3" s="1"/>
  <c r="AG67" i="3"/>
  <c r="AH67" i="3" s="1"/>
  <c r="AI67" i="3" s="1"/>
  <c r="Z67" i="3"/>
  <c r="Y67" i="3"/>
  <c r="X67" i="3"/>
  <c r="O67" i="3"/>
  <c r="S67" i="3" s="1"/>
  <c r="J67" i="3"/>
  <c r="BG66" i="3"/>
  <c r="BD66" i="3"/>
  <c r="BE66" i="3" s="1"/>
  <c r="AS66" i="3"/>
  <c r="AR66" i="3" s="1"/>
  <c r="AG66" i="3"/>
  <c r="AH66" i="3" s="1"/>
  <c r="AI66" i="3" s="1"/>
  <c r="Z66" i="3"/>
  <c r="Y66" i="3"/>
  <c r="X66" i="3"/>
  <c r="O66" i="3"/>
  <c r="S66" i="3" s="1"/>
  <c r="T66" i="3" s="1"/>
  <c r="J66" i="3"/>
  <c r="BG65" i="3"/>
  <c r="BD65" i="3"/>
  <c r="BE65" i="3" s="1"/>
  <c r="AS65" i="3"/>
  <c r="AT65" i="3" s="1"/>
  <c r="AU65" i="3" s="1"/>
  <c r="AG65" i="3"/>
  <c r="Z65" i="3"/>
  <c r="Y65" i="3"/>
  <c r="O65" i="3"/>
  <c r="S65" i="3" s="1"/>
  <c r="T65" i="3" s="1"/>
  <c r="J65" i="3"/>
  <c r="BG64" i="3"/>
  <c r="BD64" i="3"/>
  <c r="BE64" i="3" s="1"/>
  <c r="AS64" i="3"/>
  <c r="AT64" i="3" s="1"/>
  <c r="AU64" i="3" s="1"/>
  <c r="AG64" i="3"/>
  <c r="AH64" i="3" s="1"/>
  <c r="AI64" i="3" s="1"/>
  <c r="Z64" i="3"/>
  <c r="Y64" i="3"/>
  <c r="X64" i="3"/>
  <c r="O64" i="3"/>
  <c r="S64" i="3" s="1"/>
  <c r="J64" i="3"/>
  <c r="BG63" i="3"/>
  <c r="BD63" i="3"/>
  <c r="BE63" i="3" s="1"/>
  <c r="AS63" i="3"/>
  <c r="AR63" i="3" s="1"/>
  <c r="AG63" i="3"/>
  <c r="AH63" i="3" s="1"/>
  <c r="AI63" i="3" s="1"/>
  <c r="Z63" i="3"/>
  <c r="Y63" i="3"/>
  <c r="X63" i="3"/>
  <c r="O63" i="3"/>
  <c r="S63" i="3" s="1"/>
  <c r="J63" i="3"/>
  <c r="BG62" i="3"/>
  <c r="BD62" i="3"/>
  <c r="BE62" i="3" s="1"/>
  <c r="AS62" i="3"/>
  <c r="AG62" i="3"/>
  <c r="AH62" i="3" s="1"/>
  <c r="AI62" i="3" s="1"/>
  <c r="Z62" i="3"/>
  <c r="Y62" i="3"/>
  <c r="X62" i="3"/>
  <c r="O62" i="3"/>
  <c r="S62" i="3" s="1"/>
  <c r="J62" i="3"/>
  <c r="BG61" i="3"/>
  <c r="BD61" i="3"/>
  <c r="BE61" i="3" s="1"/>
  <c r="AS61" i="3"/>
  <c r="AT61" i="3" s="1"/>
  <c r="AU61" i="3" s="1"/>
  <c r="AG61" i="3"/>
  <c r="AH61" i="3" s="1"/>
  <c r="AI61" i="3" s="1"/>
  <c r="Z61" i="3"/>
  <c r="Y61" i="3"/>
  <c r="X61" i="3"/>
  <c r="O61" i="3"/>
  <c r="S61" i="3" s="1"/>
  <c r="T61" i="3" s="1"/>
  <c r="J61" i="3"/>
  <c r="BG60" i="3"/>
  <c r="BD60" i="3"/>
  <c r="BE60" i="3" s="1"/>
  <c r="AS60" i="3"/>
  <c r="AT60" i="3" s="1"/>
  <c r="AU60" i="3" s="1"/>
  <c r="AG60" i="3"/>
  <c r="AF60" i="3" s="1"/>
  <c r="Z60" i="3"/>
  <c r="Y60" i="3"/>
  <c r="X60" i="3"/>
  <c r="O60" i="3"/>
  <c r="S60" i="3" s="1"/>
  <c r="T60" i="3" s="1"/>
  <c r="J60" i="3"/>
  <c r="BG59" i="3"/>
  <c r="BD59" i="3"/>
  <c r="BE59" i="3" s="1"/>
  <c r="AS59" i="3"/>
  <c r="AT59" i="3" s="1"/>
  <c r="AU59" i="3" s="1"/>
  <c r="AG59" i="3"/>
  <c r="AH59" i="3" s="1"/>
  <c r="AI59" i="3" s="1"/>
  <c r="Z59" i="3"/>
  <c r="AB59" i="3" s="1"/>
  <c r="O59" i="3"/>
  <c r="S59" i="3" s="1"/>
  <c r="J59" i="3"/>
  <c r="BG58" i="3"/>
  <c r="BD58" i="3"/>
  <c r="BE58" i="3" s="1"/>
  <c r="AS58" i="3"/>
  <c r="AG58" i="3"/>
  <c r="AF58" i="3" s="1"/>
  <c r="Z58" i="3"/>
  <c r="Y58" i="3"/>
  <c r="X58" i="3"/>
  <c r="O58" i="3"/>
  <c r="S58" i="3" s="1"/>
  <c r="T58" i="3" s="1"/>
  <c r="J58" i="3"/>
  <c r="BG57" i="3"/>
  <c r="BD57" i="3"/>
  <c r="BE57" i="3" s="1"/>
  <c r="AS57" i="3"/>
  <c r="AT57" i="3" s="1"/>
  <c r="AU57" i="3" s="1"/>
  <c r="AG57" i="3"/>
  <c r="AH57" i="3" s="1"/>
  <c r="AI57" i="3" s="1"/>
  <c r="Z57" i="3"/>
  <c r="Y57" i="3"/>
  <c r="X57" i="3"/>
  <c r="O57" i="3"/>
  <c r="S57" i="3" s="1"/>
  <c r="J57" i="3"/>
  <c r="BG56" i="3"/>
  <c r="BD56" i="3"/>
  <c r="BE56" i="3" s="1"/>
  <c r="AS56" i="3"/>
  <c r="AR56" i="3" s="1"/>
  <c r="AG56" i="3"/>
  <c r="AH56" i="3" s="1"/>
  <c r="AI56" i="3" s="1"/>
  <c r="Z56" i="3"/>
  <c r="X56" i="3"/>
  <c r="O56" i="3"/>
  <c r="S56" i="3" s="1"/>
  <c r="T56" i="3" s="1"/>
  <c r="J56" i="3"/>
  <c r="BG55" i="3"/>
  <c r="BD55" i="3"/>
  <c r="BE55" i="3" s="1"/>
  <c r="AS55" i="3"/>
  <c r="AT55" i="3" s="1"/>
  <c r="AU55" i="3" s="1"/>
  <c r="AG55" i="3"/>
  <c r="Z55" i="3"/>
  <c r="Y55" i="3"/>
  <c r="X55" i="3"/>
  <c r="O55" i="3"/>
  <c r="S55" i="3" s="1"/>
  <c r="J55" i="3"/>
  <c r="BG54" i="3"/>
  <c r="BD54" i="3"/>
  <c r="BE54" i="3" s="1"/>
  <c r="AS54" i="3"/>
  <c r="AG54" i="3"/>
  <c r="AF54" i="3" s="1"/>
  <c r="Z54" i="3"/>
  <c r="Y54" i="3"/>
  <c r="X54" i="3"/>
  <c r="O54" i="3"/>
  <c r="S54" i="3" s="1"/>
  <c r="J54" i="3"/>
  <c r="BG53" i="3"/>
  <c r="BD53" i="3"/>
  <c r="BE53" i="3" s="1"/>
  <c r="AS53" i="3"/>
  <c r="AG53" i="3"/>
  <c r="AH53" i="3" s="1"/>
  <c r="AI53" i="3" s="1"/>
  <c r="Z53" i="3"/>
  <c r="Y53" i="3"/>
  <c r="X53" i="3"/>
  <c r="O53" i="3"/>
  <c r="S53" i="3" s="1"/>
  <c r="J53" i="3"/>
  <c r="BG52" i="3"/>
  <c r="BD52" i="3"/>
  <c r="BE52" i="3" s="1"/>
  <c r="AS52" i="3"/>
  <c r="AR52" i="3" s="1"/>
  <c r="AG52" i="3"/>
  <c r="AH52" i="3" s="1"/>
  <c r="AI52" i="3" s="1"/>
  <c r="Z52" i="3"/>
  <c r="Y52" i="3"/>
  <c r="O52" i="3"/>
  <c r="S52" i="3" s="1"/>
  <c r="J52" i="3"/>
  <c r="BG51" i="3"/>
  <c r="BD51" i="3"/>
  <c r="BE51" i="3" s="1"/>
  <c r="AS51" i="3"/>
  <c r="AT51" i="3" s="1"/>
  <c r="AU51" i="3" s="1"/>
  <c r="AG51" i="3"/>
  <c r="Z51" i="3"/>
  <c r="Y51" i="3"/>
  <c r="X51" i="3"/>
  <c r="O51" i="3"/>
  <c r="S51" i="3" s="1"/>
  <c r="T51" i="3" s="1"/>
  <c r="J51" i="3"/>
  <c r="BG50" i="3"/>
  <c r="BD50" i="3"/>
  <c r="BE50" i="3" s="1"/>
  <c r="AS50" i="3"/>
  <c r="AT50" i="3" s="1"/>
  <c r="AU50" i="3" s="1"/>
  <c r="AG50" i="3"/>
  <c r="Z50" i="3"/>
  <c r="Y50" i="3"/>
  <c r="X50" i="3"/>
  <c r="O50" i="3"/>
  <c r="S50" i="3" s="1"/>
  <c r="T50" i="3" s="1"/>
  <c r="J50" i="3"/>
  <c r="BG49" i="3"/>
  <c r="BD49" i="3"/>
  <c r="BE49" i="3" s="1"/>
  <c r="AS49" i="3"/>
  <c r="AG49" i="3"/>
  <c r="Z49" i="3"/>
  <c r="Y49" i="3"/>
  <c r="X49" i="3"/>
  <c r="O49" i="3"/>
  <c r="S49" i="3" s="1"/>
  <c r="J49" i="3"/>
  <c r="BG48" i="3"/>
  <c r="BD48" i="3"/>
  <c r="BE48" i="3" s="1"/>
  <c r="AS48" i="3"/>
  <c r="AG48" i="3"/>
  <c r="AH48" i="3" s="1"/>
  <c r="AI48" i="3" s="1"/>
  <c r="Z48" i="3"/>
  <c r="Y48" i="3"/>
  <c r="X48" i="3"/>
  <c r="O48" i="3"/>
  <c r="S48" i="3" s="1"/>
  <c r="J48" i="3"/>
  <c r="BG47" i="3"/>
  <c r="BD47" i="3"/>
  <c r="BE47" i="3" s="1"/>
  <c r="AS47" i="3"/>
  <c r="AT47" i="3" s="1"/>
  <c r="AU47" i="3" s="1"/>
  <c r="AG47" i="3"/>
  <c r="Z47" i="3"/>
  <c r="Y47" i="3"/>
  <c r="X47" i="3"/>
  <c r="O47" i="3"/>
  <c r="S47" i="3" s="1"/>
  <c r="T47" i="3" s="1"/>
  <c r="J47" i="3"/>
  <c r="BG46" i="3"/>
  <c r="BD46" i="3"/>
  <c r="BE46" i="3" s="1"/>
  <c r="AS46" i="3"/>
  <c r="AG46" i="3"/>
  <c r="Z46" i="3"/>
  <c r="Y46" i="3"/>
  <c r="X46" i="3"/>
  <c r="O46" i="3"/>
  <c r="S46" i="3" s="1"/>
  <c r="J46" i="3"/>
  <c r="BG45" i="3"/>
  <c r="BD45" i="3"/>
  <c r="BE45" i="3" s="1"/>
  <c r="AS45" i="3"/>
  <c r="AT45" i="3" s="1"/>
  <c r="AU45" i="3" s="1"/>
  <c r="AG45" i="3"/>
  <c r="AH45" i="3" s="1"/>
  <c r="AI45" i="3" s="1"/>
  <c r="Z45" i="3"/>
  <c r="Y45" i="3"/>
  <c r="X45" i="3"/>
  <c r="O45" i="3"/>
  <c r="S45" i="3" s="1"/>
  <c r="R45" i="3" s="1"/>
  <c r="Q45" i="3" s="1"/>
  <c r="J45" i="3"/>
  <c r="BG44" i="3"/>
  <c r="BD44" i="3"/>
  <c r="BE44" i="3" s="1"/>
  <c r="AS44" i="3"/>
  <c r="AT44" i="3" s="1"/>
  <c r="AU44" i="3" s="1"/>
  <c r="AG44" i="3"/>
  <c r="Z44" i="3"/>
  <c r="Y44" i="3"/>
  <c r="X44" i="3"/>
  <c r="O44" i="3"/>
  <c r="S44" i="3" s="1"/>
  <c r="T44" i="3" s="1"/>
  <c r="J44" i="3"/>
  <c r="BG43" i="3"/>
  <c r="BD43" i="3"/>
  <c r="BE43" i="3" s="1"/>
  <c r="AS43" i="3"/>
  <c r="AT43" i="3" s="1"/>
  <c r="AU43" i="3" s="1"/>
  <c r="AG43" i="3"/>
  <c r="Z43" i="3"/>
  <c r="Y43" i="3"/>
  <c r="X43" i="3"/>
  <c r="O43" i="3"/>
  <c r="S43" i="3" s="1"/>
  <c r="R43" i="3" s="1"/>
  <c r="Q43" i="3" s="1"/>
  <c r="J43" i="3"/>
  <c r="BG42" i="3"/>
  <c r="BD42" i="3"/>
  <c r="BE42" i="3" s="1"/>
  <c r="AS42" i="3"/>
  <c r="AG42" i="3"/>
  <c r="Z42" i="3"/>
  <c r="Y42" i="3"/>
  <c r="O42" i="3"/>
  <c r="S42" i="3" s="1"/>
  <c r="J42" i="3"/>
  <c r="BG41" i="3"/>
  <c r="BD41" i="3"/>
  <c r="BE41" i="3" s="1"/>
  <c r="AS41" i="3"/>
  <c r="AR41" i="3" s="1"/>
  <c r="AG41" i="3"/>
  <c r="Z41" i="3"/>
  <c r="Y41" i="3"/>
  <c r="X41" i="3"/>
  <c r="O41" i="3"/>
  <c r="S41" i="3" s="1"/>
  <c r="J41" i="3"/>
  <c r="BG40" i="3"/>
  <c r="BD40" i="3"/>
  <c r="BE40" i="3" s="1"/>
  <c r="AS40" i="3"/>
  <c r="AG40" i="3"/>
  <c r="AH40" i="3" s="1"/>
  <c r="AI40" i="3" s="1"/>
  <c r="Z40" i="3"/>
  <c r="Y40" i="3"/>
  <c r="X40" i="3"/>
  <c r="O40" i="3"/>
  <c r="S40" i="3" s="1"/>
  <c r="R40" i="3" s="1"/>
  <c r="Q40" i="3" s="1"/>
  <c r="J40" i="3"/>
  <c r="BG39" i="3"/>
  <c r="BD39" i="3"/>
  <c r="BE39" i="3" s="1"/>
  <c r="AS39" i="3"/>
  <c r="AR39" i="3" s="1"/>
  <c r="AG39" i="3"/>
  <c r="AF39" i="3" s="1"/>
  <c r="Z39" i="3"/>
  <c r="Y39" i="3"/>
  <c r="X39" i="3"/>
  <c r="O39" i="3"/>
  <c r="S39" i="3" s="1"/>
  <c r="T39" i="3" s="1"/>
  <c r="J39" i="3"/>
  <c r="BG38" i="3"/>
  <c r="BD38" i="3"/>
  <c r="BE38" i="3" s="1"/>
  <c r="AS38" i="3"/>
  <c r="AG38" i="3"/>
  <c r="Z38" i="3"/>
  <c r="Y38" i="3"/>
  <c r="X38" i="3"/>
  <c r="O38" i="3"/>
  <c r="S38" i="3" s="1"/>
  <c r="J38" i="3"/>
  <c r="BG37" i="3"/>
  <c r="BD37" i="3"/>
  <c r="BE37" i="3" s="1"/>
  <c r="AS37" i="3"/>
  <c r="AG37" i="3"/>
  <c r="AH37" i="3" s="1"/>
  <c r="AI37" i="3" s="1"/>
  <c r="Z37" i="3"/>
  <c r="Y37" i="3"/>
  <c r="X37" i="3"/>
  <c r="O37" i="3"/>
  <c r="S37" i="3" s="1"/>
  <c r="J37" i="3"/>
  <c r="BG36" i="3"/>
  <c r="BD36" i="3"/>
  <c r="BE36" i="3" s="1"/>
  <c r="AS36" i="3"/>
  <c r="AG36" i="3"/>
  <c r="Z36" i="3"/>
  <c r="Y36" i="3"/>
  <c r="X36" i="3"/>
  <c r="O36" i="3"/>
  <c r="S36" i="3" s="1"/>
  <c r="R36" i="3" s="1"/>
  <c r="Q36" i="3" s="1"/>
  <c r="J36" i="3"/>
  <c r="BG35" i="3"/>
  <c r="BD35" i="3"/>
  <c r="BE35" i="3" s="1"/>
  <c r="AS35" i="3"/>
  <c r="AG35" i="3"/>
  <c r="Z35" i="3"/>
  <c r="Y35" i="3"/>
  <c r="X35" i="3"/>
  <c r="O35" i="3"/>
  <c r="S35" i="3" s="1"/>
  <c r="J35" i="3"/>
  <c r="BG34" i="3"/>
  <c r="BD34" i="3"/>
  <c r="BE34" i="3" s="1"/>
  <c r="AS34" i="3"/>
  <c r="AT34" i="3" s="1"/>
  <c r="AU34" i="3" s="1"/>
  <c r="AG34" i="3"/>
  <c r="AF34" i="3" s="1"/>
  <c r="AB34" i="3"/>
  <c r="AC34" i="3" s="1"/>
  <c r="AD34" i="3" s="1"/>
  <c r="O34" i="3"/>
  <c r="S34" i="3" s="1"/>
  <c r="T34" i="3" s="1"/>
  <c r="J34" i="3"/>
  <c r="BG33" i="3"/>
  <c r="BD33" i="3"/>
  <c r="BE33" i="3" s="1"/>
  <c r="AS33" i="3"/>
  <c r="AT33" i="3" s="1"/>
  <c r="AU33" i="3" s="1"/>
  <c r="AG33" i="3"/>
  <c r="AF33" i="3" s="1"/>
  <c r="Z33" i="3"/>
  <c r="Y33" i="3"/>
  <c r="X33" i="3"/>
  <c r="O33" i="3"/>
  <c r="S33" i="3" s="1"/>
  <c r="R33" i="3" s="1"/>
  <c r="Q33" i="3" s="1"/>
  <c r="J33" i="3"/>
  <c r="BG32" i="3"/>
  <c r="BD32" i="3"/>
  <c r="BE32" i="3" s="1"/>
  <c r="AS32" i="3"/>
  <c r="AG32" i="3"/>
  <c r="Z32" i="3"/>
  <c r="Y32" i="3"/>
  <c r="X32" i="3"/>
  <c r="O32" i="3"/>
  <c r="S32" i="3" s="1"/>
  <c r="J32" i="3"/>
  <c r="BG31" i="3"/>
  <c r="BD31" i="3"/>
  <c r="BE31" i="3" s="1"/>
  <c r="AS31" i="3"/>
  <c r="AR31" i="3" s="1"/>
  <c r="AG31" i="3"/>
  <c r="AH31" i="3" s="1"/>
  <c r="AI31" i="3" s="1"/>
  <c r="Z31" i="3"/>
  <c r="Y31" i="3"/>
  <c r="X31" i="3"/>
  <c r="O31" i="3"/>
  <c r="S31" i="3" s="1"/>
  <c r="T31" i="3" s="1"/>
  <c r="J31" i="3"/>
  <c r="BG30" i="3"/>
  <c r="BD30" i="3"/>
  <c r="BE30" i="3" s="1"/>
  <c r="AS30" i="3"/>
  <c r="AG30" i="3"/>
  <c r="AF30" i="3" s="1"/>
  <c r="Z30" i="3"/>
  <c r="Y30" i="3"/>
  <c r="X30" i="3"/>
  <c r="O30" i="3"/>
  <c r="S30" i="3" s="1"/>
  <c r="T30" i="3" s="1"/>
  <c r="J30" i="3"/>
  <c r="BG29" i="3"/>
  <c r="BD29" i="3"/>
  <c r="BE29" i="3" s="1"/>
  <c r="AS29" i="3"/>
  <c r="AR29" i="3" s="1"/>
  <c r="AG29" i="3"/>
  <c r="Z29" i="3"/>
  <c r="X29" i="3"/>
  <c r="O29" i="3"/>
  <c r="S29" i="3" s="1"/>
  <c r="J29" i="3"/>
  <c r="BG28" i="3"/>
  <c r="BD28" i="3"/>
  <c r="BE28" i="3" s="1"/>
  <c r="AS28" i="3"/>
  <c r="AR28" i="3" s="1"/>
  <c r="AG28" i="3"/>
  <c r="Z28" i="3"/>
  <c r="Y28" i="3"/>
  <c r="X28" i="3"/>
  <c r="O28" i="3"/>
  <c r="S28" i="3" s="1"/>
  <c r="T28" i="3" s="1"/>
  <c r="J28" i="3"/>
  <c r="BG27" i="3"/>
  <c r="BD27" i="3"/>
  <c r="BE27" i="3" s="1"/>
  <c r="AS27" i="3"/>
  <c r="AT27" i="3" s="1"/>
  <c r="AU27" i="3" s="1"/>
  <c r="AG27" i="3"/>
  <c r="Z27" i="3"/>
  <c r="Y27" i="3"/>
  <c r="O27" i="3"/>
  <c r="S27" i="3" s="1"/>
  <c r="T27" i="3" s="1"/>
  <c r="J27" i="3"/>
  <c r="BG26" i="3"/>
  <c r="BD26" i="3"/>
  <c r="BE26" i="3" s="1"/>
  <c r="AS26" i="3"/>
  <c r="AT26" i="3" s="1"/>
  <c r="AU26" i="3" s="1"/>
  <c r="AG26" i="3"/>
  <c r="Z26" i="3"/>
  <c r="Y26" i="3"/>
  <c r="X26" i="3"/>
  <c r="O26" i="3"/>
  <c r="S26" i="3" s="1"/>
  <c r="J26" i="3"/>
  <c r="BG25" i="3"/>
  <c r="BD25" i="3"/>
  <c r="BE25" i="3" s="1"/>
  <c r="AS25" i="3"/>
  <c r="AG25" i="3"/>
  <c r="Z25" i="3"/>
  <c r="Y25" i="3"/>
  <c r="X25" i="3"/>
  <c r="O25" i="3"/>
  <c r="S25" i="3" s="1"/>
  <c r="J25" i="3"/>
  <c r="BG24" i="3"/>
  <c r="BD24" i="3"/>
  <c r="BE24" i="3" s="1"/>
  <c r="AS24" i="3"/>
  <c r="AR24" i="3" s="1"/>
  <c r="AG24" i="3"/>
  <c r="AH24" i="3" s="1"/>
  <c r="AI24" i="3" s="1"/>
  <c r="Z24" i="3"/>
  <c r="Y24" i="3"/>
  <c r="O24" i="3"/>
  <c r="S24" i="3" s="1"/>
  <c r="J24" i="3"/>
  <c r="BG23" i="3"/>
  <c r="BD23" i="3"/>
  <c r="BE23" i="3" s="1"/>
  <c r="AS23" i="3"/>
  <c r="AR23" i="3" s="1"/>
  <c r="AG23" i="3"/>
  <c r="AH23" i="3" s="1"/>
  <c r="AI23" i="3" s="1"/>
  <c r="Z23" i="3"/>
  <c r="Y23" i="3"/>
  <c r="X23" i="3"/>
  <c r="O23" i="3"/>
  <c r="S23" i="3" s="1"/>
  <c r="T23" i="3" s="1"/>
  <c r="J23" i="3"/>
  <c r="BG22" i="3"/>
  <c r="BD22" i="3"/>
  <c r="BE22" i="3" s="1"/>
  <c r="AS22" i="3"/>
  <c r="AT22" i="3" s="1"/>
  <c r="AU22" i="3" s="1"/>
  <c r="AG22" i="3"/>
  <c r="AH22" i="3" s="1"/>
  <c r="AI22" i="3" s="1"/>
  <c r="Z22" i="3"/>
  <c r="Y22" i="3"/>
  <c r="X22" i="3"/>
  <c r="O22" i="3"/>
  <c r="S22" i="3" s="1"/>
  <c r="J22" i="3"/>
  <c r="BG21" i="3"/>
  <c r="BD21" i="3"/>
  <c r="BE21" i="3" s="1"/>
  <c r="AS21" i="3"/>
  <c r="AT21" i="3" s="1"/>
  <c r="AU21" i="3" s="1"/>
  <c r="AH21" i="3"/>
  <c r="AI21" i="3" s="1"/>
  <c r="AG21" i="3"/>
  <c r="AF21" i="3" s="1"/>
  <c r="Z21" i="3"/>
  <c r="Y21" i="3"/>
  <c r="X21" i="3"/>
  <c r="O21" i="3"/>
  <c r="S21" i="3" s="1"/>
  <c r="T21" i="3" s="1"/>
  <c r="J21" i="3"/>
  <c r="BG20" i="3"/>
  <c r="BD20" i="3"/>
  <c r="BE20" i="3" s="1"/>
  <c r="AS20" i="3"/>
  <c r="AT20" i="3" s="1"/>
  <c r="AU20" i="3" s="1"/>
  <c r="AG20" i="3"/>
  <c r="AH20" i="3" s="1"/>
  <c r="AI20" i="3" s="1"/>
  <c r="Z20" i="3"/>
  <c r="Y20" i="3"/>
  <c r="X20" i="3"/>
  <c r="S20" i="3"/>
  <c r="T20" i="3" s="1"/>
  <c r="O20" i="3"/>
  <c r="J20" i="3"/>
  <c r="BG19" i="3"/>
  <c r="BD19" i="3"/>
  <c r="BE19" i="3" s="1"/>
  <c r="AS19" i="3"/>
  <c r="AT19" i="3" s="1"/>
  <c r="AU19" i="3" s="1"/>
  <c r="AG19" i="3"/>
  <c r="AH19" i="3" s="1"/>
  <c r="AI19" i="3" s="1"/>
  <c r="Z19" i="3"/>
  <c r="Y19" i="3"/>
  <c r="X19" i="3"/>
  <c r="O19" i="3"/>
  <c r="S19" i="3" s="1"/>
  <c r="T19" i="3" s="1"/>
  <c r="J19" i="3"/>
  <c r="BG18" i="3"/>
  <c r="BD18" i="3"/>
  <c r="BE18" i="3" s="1"/>
  <c r="AS18" i="3"/>
  <c r="AT18" i="3" s="1"/>
  <c r="AU18" i="3" s="1"/>
  <c r="AG18" i="3"/>
  <c r="AH18" i="3" s="1"/>
  <c r="AI18" i="3" s="1"/>
  <c r="Z18" i="3"/>
  <c r="AB18" i="3" s="1"/>
  <c r="O18" i="3"/>
  <c r="S18" i="3" s="1"/>
  <c r="T18" i="3" s="1"/>
  <c r="J18" i="3"/>
  <c r="BG17" i="3"/>
  <c r="BD17" i="3"/>
  <c r="BE17" i="3" s="1"/>
  <c r="AS17" i="3"/>
  <c r="AT17" i="3" s="1"/>
  <c r="AU17" i="3" s="1"/>
  <c r="AG17" i="3"/>
  <c r="AH17" i="3" s="1"/>
  <c r="AI17" i="3" s="1"/>
  <c r="Z17" i="3"/>
  <c r="Y17" i="3"/>
  <c r="X17" i="3"/>
  <c r="O17" i="3"/>
  <c r="S17" i="3" s="1"/>
  <c r="J17" i="3"/>
  <c r="BG16" i="3"/>
  <c r="BD16" i="3"/>
  <c r="BE16" i="3" s="1"/>
  <c r="AS16" i="3"/>
  <c r="AR16" i="3" s="1"/>
  <c r="AG16" i="3"/>
  <c r="AH16" i="3" s="1"/>
  <c r="AI16" i="3" s="1"/>
  <c r="Z16" i="3"/>
  <c r="Y16" i="3"/>
  <c r="X16" i="3"/>
  <c r="O16" i="3"/>
  <c r="S16" i="3" s="1"/>
  <c r="J16" i="3"/>
  <c r="BG15" i="3"/>
  <c r="BD15" i="3"/>
  <c r="BE15" i="3" s="1"/>
  <c r="AS15" i="3"/>
  <c r="AT15" i="3" s="1"/>
  <c r="AU15" i="3" s="1"/>
  <c r="AG15" i="3"/>
  <c r="AH15" i="3" s="1"/>
  <c r="AI15" i="3" s="1"/>
  <c r="Z15" i="3"/>
  <c r="Y15" i="3"/>
  <c r="X15" i="3"/>
  <c r="O15" i="3"/>
  <c r="S15" i="3" s="1"/>
  <c r="J15" i="3"/>
  <c r="BG14" i="3"/>
  <c r="BD14" i="3"/>
  <c r="BE14" i="3" s="1"/>
  <c r="AS14" i="3"/>
  <c r="AR14" i="3" s="1"/>
  <c r="AG14" i="3"/>
  <c r="AH14" i="3" s="1"/>
  <c r="AI14" i="3" s="1"/>
  <c r="Z14" i="3"/>
  <c r="Y14" i="3"/>
  <c r="X14" i="3"/>
  <c r="O14" i="3"/>
  <c r="S14" i="3" s="1"/>
  <c r="T14" i="3" s="1"/>
  <c r="J14" i="3"/>
  <c r="BG13" i="3"/>
  <c r="BD13" i="3"/>
  <c r="BE13" i="3" s="1"/>
  <c r="AS13" i="3"/>
  <c r="AT13" i="3" s="1"/>
  <c r="AU13" i="3" s="1"/>
  <c r="AG13" i="3"/>
  <c r="AH13" i="3" s="1"/>
  <c r="AI13" i="3" s="1"/>
  <c r="Z13" i="3"/>
  <c r="Y13" i="3"/>
  <c r="X13" i="3"/>
  <c r="O13" i="3"/>
  <c r="S13" i="3" s="1"/>
  <c r="J13" i="3"/>
  <c r="BG12" i="3"/>
  <c r="BD12" i="3"/>
  <c r="BE12" i="3" s="1"/>
  <c r="AS12" i="3"/>
  <c r="AT12" i="3" s="1"/>
  <c r="AU12" i="3" s="1"/>
  <c r="AG12" i="3"/>
  <c r="AF12" i="3" s="1"/>
  <c r="Z12" i="3"/>
  <c r="Y12" i="3"/>
  <c r="X12" i="3"/>
  <c r="O12" i="3"/>
  <c r="S12" i="3" s="1"/>
  <c r="J12" i="3"/>
  <c r="BG11" i="3"/>
  <c r="BD11" i="3"/>
  <c r="BE11" i="3" s="1"/>
  <c r="AS11" i="3"/>
  <c r="AT11" i="3" s="1"/>
  <c r="AU11" i="3" s="1"/>
  <c r="AG11" i="3"/>
  <c r="AH11" i="3" s="1"/>
  <c r="AI11" i="3" s="1"/>
  <c r="Z11" i="3"/>
  <c r="Y11" i="3"/>
  <c r="X11" i="3"/>
  <c r="O11" i="3"/>
  <c r="S11" i="3" s="1"/>
  <c r="J11" i="3"/>
  <c r="BG10" i="3"/>
  <c r="BD10" i="3"/>
  <c r="BE10" i="3" s="1"/>
  <c r="AS10" i="3"/>
  <c r="AT10" i="3" s="1"/>
  <c r="AU10" i="3" s="1"/>
  <c r="AG10" i="3"/>
  <c r="AH10" i="3" s="1"/>
  <c r="AI10" i="3" s="1"/>
  <c r="Z10" i="3"/>
  <c r="Y10" i="3"/>
  <c r="O10" i="3"/>
  <c r="S10" i="3" s="1"/>
  <c r="J10" i="3"/>
  <c r="BG9" i="3"/>
  <c r="BD9" i="3"/>
  <c r="BE9" i="3" s="1"/>
  <c r="AS9" i="3"/>
  <c r="AT9" i="3" s="1"/>
  <c r="AU9" i="3" s="1"/>
  <c r="AG9" i="3"/>
  <c r="AH9" i="3" s="1"/>
  <c r="AI9" i="3" s="1"/>
  <c r="Z9" i="3"/>
  <c r="Y9" i="3"/>
  <c r="X9" i="3"/>
  <c r="O9" i="3"/>
  <c r="S9" i="3" s="1"/>
  <c r="T9" i="3" s="1"/>
  <c r="J9" i="3"/>
  <c r="BG8" i="3"/>
  <c r="BD8" i="3"/>
  <c r="BE8" i="3" s="1"/>
  <c r="AS8" i="3"/>
  <c r="AT8" i="3" s="1"/>
  <c r="AU8" i="3" s="1"/>
  <c r="AG8" i="3"/>
  <c r="AH8" i="3" s="1"/>
  <c r="AI8" i="3" s="1"/>
  <c r="Z8" i="3"/>
  <c r="Y8" i="3"/>
  <c r="X8" i="3"/>
  <c r="O8" i="3"/>
  <c r="S8" i="3" s="1"/>
  <c r="J8" i="3"/>
  <c r="BG7" i="3"/>
  <c r="BD7" i="3"/>
  <c r="BE7" i="3" s="1"/>
  <c r="AS7" i="3"/>
  <c r="AT7" i="3" s="1"/>
  <c r="AU7" i="3" s="1"/>
  <c r="AG7" i="3"/>
  <c r="AH7" i="3" s="1"/>
  <c r="AI7" i="3" s="1"/>
  <c r="Z7" i="3"/>
  <c r="Y7" i="3"/>
  <c r="X7" i="3"/>
  <c r="O7" i="3"/>
  <c r="S7" i="3" s="1"/>
  <c r="J7" i="3"/>
  <c r="BG6" i="3"/>
  <c r="BD6" i="3"/>
  <c r="BE6" i="3" s="1"/>
  <c r="AS6" i="3"/>
  <c r="AT6" i="3" s="1"/>
  <c r="AU6" i="3" s="1"/>
  <c r="AG6" i="3"/>
  <c r="AH6" i="3" s="1"/>
  <c r="AI6" i="3" s="1"/>
  <c r="Z6" i="3"/>
  <c r="Y6" i="3"/>
  <c r="X6" i="3"/>
  <c r="O6" i="3"/>
  <c r="S6" i="3" s="1"/>
  <c r="J6" i="3"/>
  <c r="BG5" i="3"/>
  <c r="BD5" i="3"/>
  <c r="BE5" i="3" s="1"/>
  <c r="AS5" i="3"/>
  <c r="AT5" i="3" s="1"/>
  <c r="AU5" i="3" s="1"/>
  <c r="AG5" i="3"/>
  <c r="AH5" i="3" s="1"/>
  <c r="AI5" i="3" s="1"/>
  <c r="Z5" i="3"/>
  <c r="Y5" i="3"/>
  <c r="X5" i="3"/>
  <c r="O5" i="3"/>
  <c r="S5" i="3" s="1"/>
  <c r="T5" i="3" s="1"/>
  <c r="J5" i="3"/>
  <c r="AQ4" i="3"/>
  <c r="AP4" i="3"/>
  <c r="AO4" i="3"/>
  <c r="AN4" i="3"/>
  <c r="AM4" i="3"/>
  <c r="AL4" i="3"/>
  <c r="AK4" i="3"/>
  <c r="AJ4" i="3"/>
  <c r="Z1" i="3"/>
  <c r="AA1" i="3" s="1"/>
  <c r="AR239" i="3" l="1"/>
  <c r="AT100" i="3"/>
  <c r="AU100" i="3" s="1"/>
  <c r="AB123" i="3"/>
  <c r="AC123" i="3" s="1"/>
  <c r="AD123" i="3" s="1"/>
  <c r="AH211" i="3"/>
  <c r="AI211" i="3" s="1"/>
  <c r="AR206" i="3"/>
  <c r="AT331" i="3"/>
  <c r="AU331" i="3" s="1"/>
  <c r="AF20" i="3"/>
  <c r="AF309" i="3"/>
  <c r="AB347" i="3"/>
  <c r="AC347" i="3" s="1"/>
  <c r="AD347" i="3" s="1"/>
  <c r="AR321" i="3"/>
  <c r="AR346" i="3"/>
  <c r="AR5" i="3"/>
  <c r="R20" i="3"/>
  <c r="Q20" i="3" s="1"/>
  <c r="AT226" i="3"/>
  <c r="AU226" i="3" s="1"/>
  <c r="AB27" i="3"/>
  <c r="AC27" i="3" s="1"/>
  <c r="AD27" i="3" s="1"/>
  <c r="AB340" i="3"/>
  <c r="AC340" i="3" s="1"/>
  <c r="AD340" i="3" s="1"/>
  <c r="AF173" i="3"/>
  <c r="AH177" i="3"/>
  <c r="AI177" i="3" s="1"/>
  <c r="AB81" i="3"/>
  <c r="AC81" i="3" s="1"/>
  <c r="AD81" i="3" s="1"/>
  <c r="AR124" i="3"/>
  <c r="AB187" i="3"/>
  <c r="AA187" i="3" s="1"/>
  <c r="AB295" i="3"/>
  <c r="AA295" i="3" s="1"/>
  <c r="AR338" i="3"/>
  <c r="AB29" i="3"/>
  <c r="AA29" i="3" s="1"/>
  <c r="AR84" i="3"/>
  <c r="AF129" i="3"/>
  <c r="AR163" i="3"/>
  <c r="AR177" i="3"/>
  <c r="R195" i="3"/>
  <c r="Q195" i="3" s="1"/>
  <c r="AH238" i="3"/>
  <c r="AI238" i="3" s="1"/>
  <c r="AR286" i="3"/>
  <c r="T317" i="3"/>
  <c r="AR67" i="3"/>
  <c r="AF70" i="3"/>
  <c r="AR118" i="3"/>
  <c r="AF151" i="3"/>
  <c r="AH201" i="3"/>
  <c r="AI201" i="3" s="1"/>
  <c r="AF232" i="3"/>
  <c r="AR47" i="3"/>
  <c r="AH60" i="3"/>
  <c r="AI60" i="3" s="1"/>
  <c r="AF310" i="3"/>
  <c r="AB341" i="3"/>
  <c r="AR342" i="3"/>
  <c r="AB298" i="3"/>
  <c r="AC298" i="3" s="1"/>
  <c r="AD298" i="3" s="1"/>
  <c r="AH317" i="3"/>
  <c r="AI317" i="3" s="1"/>
  <c r="AB135" i="3"/>
  <c r="AC135" i="3" s="1"/>
  <c r="AD135" i="3" s="1"/>
  <c r="AB149" i="3"/>
  <c r="AC149" i="3" s="1"/>
  <c r="AD149" i="3" s="1"/>
  <c r="R164" i="3"/>
  <c r="Q164" i="3" s="1"/>
  <c r="AH169" i="3"/>
  <c r="AI169" i="3" s="1"/>
  <c r="AF45" i="3"/>
  <c r="AF57" i="3"/>
  <c r="AR80" i="3"/>
  <c r="AH110" i="3"/>
  <c r="AI110" i="3" s="1"/>
  <c r="AB133" i="3"/>
  <c r="AA133" i="3" s="1"/>
  <c r="AR139" i="3"/>
  <c r="R199" i="3"/>
  <c r="Q199" i="3" s="1"/>
  <c r="AH200" i="3"/>
  <c r="AI200" i="3" s="1"/>
  <c r="AT202" i="3"/>
  <c r="AU202" i="3" s="1"/>
  <c r="AH208" i="3"/>
  <c r="AI208" i="3" s="1"/>
  <c r="AH239" i="3"/>
  <c r="AI239" i="3" s="1"/>
  <c r="AH259" i="3"/>
  <c r="AI259" i="3" s="1"/>
  <c r="AB302" i="3"/>
  <c r="AC302" i="3" s="1"/>
  <c r="AD302" i="3" s="1"/>
  <c r="AR312" i="3"/>
  <c r="AR315" i="3"/>
  <c r="AF318" i="3"/>
  <c r="AR324" i="3"/>
  <c r="AR97" i="3"/>
  <c r="AB168" i="3"/>
  <c r="AC168" i="3" s="1"/>
  <c r="AD168" i="3" s="1"/>
  <c r="AB221" i="3"/>
  <c r="AA221" i="3" s="1"/>
  <c r="AF223" i="3"/>
  <c r="AB238" i="3"/>
  <c r="AC238" i="3" s="1"/>
  <c r="AD238" i="3" s="1"/>
  <c r="AR269" i="3"/>
  <c r="AB14" i="3"/>
  <c r="AC14" i="3" s="1"/>
  <c r="AD14" i="3" s="1"/>
  <c r="AB43" i="3"/>
  <c r="AC43" i="3" s="1"/>
  <c r="AD43" i="3" s="1"/>
  <c r="AB105" i="3"/>
  <c r="AA105" i="3" s="1"/>
  <c r="AB116" i="3"/>
  <c r="AC116" i="3" s="1"/>
  <c r="AD116" i="3" s="1"/>
  <c r="AF126" i="3"/>
  <c r="AB130" i="3"/>
  <c r="AA130" i="3" s="1"/>
  <c r="AF140" i="3"/>
  <c r="AF143" i="3"/>
  <c r="AF153" i="3"/>
  <c r="AH206" i="3"/>
  <c r="AI206" i="3" s="1"/>
  <c r="AB214" i="3"/>
  <c r="AA214" i="3" s="1"/>
  <c r="AB215" i="3"/>
  <c r="AC215" i="3" s="1"/>
  <c r="AD215" i="3" s="1"/>
  <c r="T286" i="3"/>
  <c r="AB303" i="3"/>
  <c r="AC303" i="3" s="1"/>
  <c r="AD303" i="3" s="1"/>
  <c r="AB55" i="3"/>
  <c r="AC55" i="3" s="1"/>
  <c r="AD55" i="3" s="1"/>
  <c r="AF61" i="3"/>
  <c r="AF64" i="3"/>
  <c r="AR104" i="3"/>
  <c r="AR115" i="3"/>
  <c r="AR129" i="3"/>
  <c r="AB8" i="3"/>
  <c r="AC8" i="3" s="1"/>
  <c r="AD8" i="3" s="1"/>
  <c r="AH159" i="3"/>
  <c r="AI159" i="3" s="1"/>
  <c r="AT174" i="3"/>
  <c r="AU174" i="3" s="1"/>
  <c r="AT189" i="3"/>
  <c r="AU189" i="3" s="1"/>
  <c r="AT195" i="3"/>
  <c r="AU195" i="3" s="1"/>
  <c r="AB197" i="3"/>
  <c r="AR201" i="3"/>
  <c r="R223" i="3"/>
  <c r="Q223" i="3" s="1"/>
  <c r="AT223" i="3"/>
  <c r="AU223" i="3" s="1"/>
  <c r="AR308" i="3"/>
  <c r="AF314" i="3"/>
  <c r="AR319" i="3"/>
  <c r="AB26" i="3"/>
  <c r="AC26" i="3" s="1"/>
  <c r="AD26" i="3" s="1"/>
  <c r="AB52" i="3"/>
  <c r="AH58" i="3"/>
  <c r="AI58" i="3" s="1"/>
  <c r="AR82" i="3"/>
  <c r="AR85" i="3"/>
  <c r="AB93" i="3"/>
  <c r="AC93" i="3" s="1"/>
  <c r="AD93" i="3" s="1"/>
  <c r="T135" i="3"/>
  <c r="AT140" i="3"/>
  <c r="AU140" i="3" s="1"/>
  <c r="AF144" i="3"/>
  <c r="AH147" i="3"/>
  <c r="AI147" i="3" s="1"/>
  <c r="AR159" i="3"/>
  <c r="AF163" i="3"/>
  <c r="AF165" i="3"/>
  <c r="AF175" i="3"/>
  <c r="AF190" i="3"/>
  <c r="AF235" i="3"/>
  <c r="AB246" i="3"/>
  <c r="AA246" i="3" s="1"/>
  <c r="AR254" i="3"/>
  <c r="AF271" i="3"/>
  <c r="AB272" i="3"/>
  <c r="AA272" i="3" s="1"/>
  <c r="AR282" i="3"/>
  <c r="AB312" i="3"/>
  <c r="AA312" i="3" s="1"/>
  <c r="AB7" i="3"/>
  <c r="AC7" i="3" s="1"/>
  <c r="AD7" i="3" s="1"/>
  <c r="AB89" i="3"/>
  <c r="AC89" i="3" s="1"/>
  <c r="AD89" i="3" s="1"/>
  <c r="AH114" i="3"/>
  <c r="AI114" i="3" s="1"/>
  <c r="AT126" i="3"/>
  <c r="AU126" i="3" s="1"/>
  <c r="R145" i="3"/>
  <c r="Q145" i="3" s="1"/>
  <c r="AH204" i="3"/>
  <c r="AI204" i="3" s="1"/>
  <c r="AB213" i="3"/>
  <c r="AA213" i="3" s="1"/>
  <c r="AB217" i="3"/>
  <c r="AC217" i="3" s="1"/>
  <c r="AD217" i="3" s="1"/>
  <c r="AT262" i="3"/>
  <c r="AU262" i="3" s="1"/>
  <c r="AB310" i="3"/>
  <c r="AC310" i="3" s="1"/>
  <c r="AD310" i="3" s="1"/>
  <c r="AT311" i="3"/>
  <c r="AU311" i="3" s="1"/>
  <c r="AB11" i="3"/>
  <c r="AC11" i="3" s="1"/>
  <c r="AD11" i="3" s="1"/>
  <c r="R166" i="3"/>
  <c r="Q166" i="3" s="1"/>
  <c r="AF171" i="3"/>
  <c r="AR173" i="3"/>
  <c r="AB176" i="3"/>
  <c r="AA176" i="3" s="1"/>
  <c r="AF180" i="3"/>
  <c r="AT196" i="3"/>
  <c r="AU196" i="3" s="1"/>
  <c r="AB203" i="3"/>
  <c r="AC203" i="3" s="1"/>
  <c r="AD203" i="3" s="1"/>
  <c r="AF245" i="3"/>
  <c r="AB268" i="3"/>
  <c r="AC268" i="3" s="1"/>
  <c r="AD268" i="3" s="1"/>
  <c r="AR284" i="3"/>
  <c r="AR293" i="3"/>
  <c r="AB294" i="3"/>
  <c r="AC294" i="3" s="1"/>
  <c r="AD294" i="3" s="1"/>
  <c r="R328" i="3"/>
  <c r="Q328" i="3" s="1"/>
  <c r="AR7" i="3"/>
  <c r="AF11" i="3"/>
  <c r="AF14" i="3"/>
  <c r="AR18" i="3"/>
  <c r="AR43" i="3"/>
  <c r="AR45" i="3"/>
  <c r="AB46" i="3"/>
  <c r="AC46" i="3" s="1"/>
  <c r="AD46" i="3" s="1"/>
  <c r="AF52" i="3"/>
  <c r="AB53" i="3"/>
  <c r="AA53" i="3" s="1"/>
  <c r="AF56" i="3"/>
  <c r="AR73" i="3"/>
  <c r="AB78" i="3"/>
  <c r="AC78" i="3" s="1"/>
  <c r="AD78" i="3" s="1"/>
  <c r="AB84" i="3"/>
  <c r="AC84" i="3" s="1"/>
  <c r="AD84" i="3" s="1"/>
  <c r="AB100" i="3"/>
  <c r="AC100" i="3" s="1"/>
  <c r="AD100" i="3" s="1"/>
  <c r="AB106" i="3"/>
  <c r="AA106" i="3" s="1"/>
  <c r="AB126" i="3"/>
  <c r="AA126" i="3" s="1"/>
  <c r="AR157" i="3"/>
  <c r="AR178" i="3"/>
  <c r="AB179" i="3"/>
  <c r="AF187" i="3"/>
  <c r="AF195" i="3"/>
  <c r="AF207" i="3"/>
  <c r="AB212" i="3"/>
  <c r="AA212" i="3" s="1"/>
  <c r="AB249" i="3"/>
  <c r="AC249" i="3" s="1"/>
  <c r="AD249" i="3" s="1"/>
  <c r="AT296" i="3"/>
  <c r="AU296" i="3" s="1"/>
  <c r="AH299" i="3"/>
  <c r="AI299" i="3" s="1"/>
  <c r="AR327" i="3"/>
  <c r="AR272" i="3"/>
  <c r="R277" i="3"/>
  <c r="Q277" i="3" s="1"/>
  <c r="AR291" i="3"/>
  <c r="AF315" i="3"/>
  <c r="AF19" i="3"/>
  <c r="R34" i="3"/>
  <c r="Q34" i="3" s="1"/>
  <c r="AF37" i="3"/>
  <c r="T45" i="3"/>
  <c r="AF59" i="3"/>
  <c r="AF66" i="3"/>
  <c r="AB85" i="3"/>
  <c r="AC85" i="3" s="1"/>
  <c r="AD85" i="3" s="1"/>
  <c r="AF90" i="3"/>
  <c r="AH100" i="3"/>
  <c r="AI100" i="3" s="1"/>
  <c r="AR109" i="3"/>
  <c r="AR122" i="3"/>
  <c r="AR128" i="3"/>
  <c r="AR147" i="3"/>
  <c r="AR153" i="3"/>
  <c r="AH155" i="3"/>
  <c r="AI155" i="3" s="1"/>
  <c r="AB170" i="3"/>
  <c r="AA170" i="3" s="1"/>
  <c r="R180" i="3"/>
  <c r="Q180" i="3" s="1"/>
  <c r="AF193" i="3"/>
  <c r="AF256" i="3"/>
  <c r="AH264" i="3"/>
  <c r="AI264" i="3" s="1"/>
  <c r="AB265" i="3"/>
  <c r="AC265" i="3" s="1"/>
  <c r="AD265" i="3" s="1"/>
  <c r="AB277" i="3"/>
  <c r="AC277" i="3" s="1"/>
  <c r="AD277" i="3" s="1"/>
  <c r="AF313" i="3"/>
  <c r="AH325" i="3"/>
  <c r="AI325" i="3" s="1"/>
  <c r="AB326" i="3"/>
  <c r="AA326" i="3" s="1"/>
  <c r="AB329" i="3"/>
  <c r="AC329" i="3" s="1"/>
  <c r="AD329" i="3" s="1"/>
  <c r="AB129" i="3"/>
  <c r="AA129" i="3" s="1"/>
  <c r="AF138" i="3"/>
  <c r="AR143" i="3"/>
  <c r="AF145" i="3"/>
  <c r="AR155" i="3"/>
  <c r="AR172" i="3"/>
  <c r="AF181" i="3"/>
  <c r="AF184" i="3"/>
  <c r="AB204" i="3"/>
  <c r="AF228" i="3"/>
  <c r="AF249" i="3"/>
  <c r="AF262" i="3"/>
  <c r="AF269" i="3"/>
  <c r="AF283" i="3"/>
  <c r="AB307" i="3"/>
  <c r="AA307" i="3" s="1"/>
  <c r="AB324" i="3"/>
  <c r="AA324" i="3" s="1"/>
  <c r="AR336" i="3"/>
  <c r="AB346" i="3"/>
  <c r="AC346" i="3" s="1"/>
  <c r="AD346" i="3" s="1"/>
  <c r="AF9" i="3"/>
  <c r="AB10" i="3"/>
  <c r="AC10" i="3" s="1"/>
  <c r="AD10" i="3" s="1"/>
  <c r="AR12" i="3"/>
  <c r="AR59" i="3"/>
  <c r="AT63" i="3"/>
  <c r="AU63" i="3" s="1"/>
  <c r="AF82" i="3"/>
  <c r="AB88" i="3"/>
  <c r="AA88" i="3" s="1"/>
  <c r="AR93" i="3"/>
  <c r="R94" i="3"/>
  <c r="Q94" i="3" s="1"/>
  <c r="AF95" i="3"/>
  <c r="AB117" i="3"/>
  <c r="AC117" i="3" s="1"/>
  <c r="AD117" i="3" s="1"/>
  <c r="AR123" i="3"/>
  <c r="AF131" i="3"/>
  <c r="AB146" i="3"/>
  <c r="AC146" i="3" s="1"/>
  <c r="AD146" i="3" s="1"/>
  <c r="AF196" i="3"/>
  <c r="AR240" i="3"/>
  <c r="AT243" i="3"/>
  <c r="AU243" i="3" s="1"/>
  <c r="R268" i="3"/>
  <c r="Q268" i="3" s="1"/>
  <c r="AR271" i="3"/>
  <c r="AR289" i="3"/>
  <c r="AB327" i="3"/>
  <c r="AA327" i="3" s="1"/>
  <c r="T8" i="3"/>
  <c r="R8" i="3"/>
  <c r="Q8" i="3" s="1"/>
  <c r="AH105" i="3"/>
  <c r="AI105" i="3" s="1"/>
  <c r="AF105" i="3"/>
  <c r="AH166" i="3"/>
  <c r="AI166" i="3" s="1"/>
  <c r="AF166" i="3"/>
  <c r="AR334" i="3"/>
  <c r="AT334" i="3"/>
  <c r="AU334" i="3" s="1"/>
  <c r="AR335" i="3"/>
  <c r="AT335" i="3"/>
  <c r="AU335" i="3" s="1"/>
  <c r="AT31" i="3"/>
  <c r="AU31" i="3" s="1"/>
  <c r="AB36" i="3"/>
  <c r="AA36" i="3" s="1"/>
  <c r="AT39" i="3"/>
  <c r="AU39" i="3" s="1"/>
  <c r="AB50" i="3"/>
  <c r="AC50" i="3" s="1"/>
  <c r="AD50" i="3" s="1"/>
  <c r="AH76" i="3"/>
  <c r="AI76" i="3" s="1"/>
  <c r="AF76" i="3"/>
  <c r="AH117" i="3"/>
  <c r="AI117" i="3" s="1"/>
  <c r="AH130" i="3"/>
  <c r="AI130" i="3" s="1"/>
  <c r="AH142" i="3"/>
  <c r="AI142" i="3" s="1"/>
  <c r="AF142" i="3"/>
  <c r="AT145" i="3"/>
  <c r="AU145" i="3" s="1"/>
  <c r="AT166" i="3"/>
  <c r="AU166" i="3" s="1"/>
  <c r="AR166" i="3"/>
  <c r="AT176" i="3"/>
  <c r="AU176" i="3" s="1"/>
  <c r="AR176" i="3"/>
  <c r="T184" i="3"/>
  <c r="R215" i="3"/>
  <c r="Q215" i="3" s="1"/>
  <c r="T215" i="3"/>
  <c r="AH217" i="3"/>
  <c r="AI217" i="3" s="1"/>
  <c r="AF217" i="3"/>
  <c r="T276" i="3"/>
  <c r="T293" i="3"/>
  <c r="R293" i="3"/>
  <c r="Q293" i="3" s="1"/>
  <c r="AB306" i="3"/>
  <c r="AA306" i="3" s="1"/>
  <c r="R331" i="3"/>
  <c r="Q331" i="3" s="1"/>
  <c r="T331" i="3"/>
  <c r="AH135" i="3"/>
  <c r="AI135" i="3" s="1"/>
  <c r="AF135" i="3"/>
  <c r="AF176" i="3"/>
  <c r="AH176" i="3"/>
  <c r="AI176" i="3" s="1"/>
  <c r="AB6" i="3"/>
  <c r="AC6" i="3" s="1"/>
  <c r="AD6" i="3" s="1"/>
  <c r="AR9" i="3"/>
  <c r="AH12" i="3"/>
  <c r="AI12" i="3" s="1"/>
  <c r="AB17" i="3"/>
  <c r="AA17" i="3" s="1"/>
  <c r="AT23" i="3"/>
  <c r="AU23" i="3" s="1"/>
  <c r="AB24" i="3"/>
  <c r="AC24" i="3" s="1"/>
  <c r="AD24" i="3" s="1"/>
  <c r="AB28" i="3"/>
  <c r="AC28" i="3" s="1"/>
  <c r="AD28" i="3" s="1"/>
  <c r="AT29" i="3"/>
  <c r="AU29" i="3" s="1"/>
  <c r="R39" i="3"/>
  <c r="Q39" i="3" s="1"/>
  <c r="AB57" i="3"/>
  <c r="AC57" i="3" s="1"/>
  <c r="AD57" i="3" s="1"/>
  <c r="AB65" i="3"/>
  <c r="AC65" i="3" s="1"/>
  <c r="AD65" i="3" s="1"/>
  <c r="AF71" i="3"/>
  <c r="AF80" i="3"/>
  <c r="AH99" i="3"/>
  <c r="AI99" i="3" s="1"/>
  <c r="AF106" i="3"/>
  <c r="AF109" i="3"/>
  <c r="AT111" i="3"/>
  <c r="AU111" i="3" s="1"/>
  <c r="AR111" i="3"/>
  <c r="AB125" i="3"/>
  <c r="AC125" i="3" s="1"/>
  <c r="AD125" i="3" s="1"/>
  <c r="AR130" i="3"/>
  <c r="AT130" i="3"/>
  <c r="AU130" i="3" s="1"/>
  <c r="AB153" i="3"/>
  <c r="AA153" i="3" s="1"/>
  <c r="AH160" i="3"/>
  <c r="AI160" i="3" s="1"/>
  <c r="AF160" i="3"/>
  <c r="AB161" i="3"/>
  <c r="AC161" i="3" s="1"/>
  <c r="AD161" i="3" s="1"/>
  <c r="AF167" i="3"/>
  <c r="AR169" i="3"/>
  <c r="AF179" i="3"/>
  <c r="T203" i="3"/>
  <c r="R203" i="3"/>
  <c r="Q203" i="3" s="1"/>
  <c r="AR212" i="3"/>
  <c r="AH214" i="3"/>
  <c r="AI214" i="3" s="1"/>
  <c r="R243" i="3"/>
  <c r="Q243" i="3" s="1"/>
  <c r="T243" i="3"/>
  <c r="AR251" i="3"/>
  <c r="T265" i="3"/>
  <c r="R265" i="3"/>
  <c r="Q265" i="3" s="1"/>
  <c r="AB271" i="3"/>
  <c r="AC271" i="3" s="1"/>
  <c r="AD271" i="3" s="1"/>
  <c r="AH294" i="3"/>
  <c r="AI294" i="3" s="1"/>
  <c r="AH300" i="3"/>
  <c r="AI300" i="3" s="1"/>
  <c r="AF300" i="3"/>
  <c r="AT332" i="3"/>
  <c r="AU332" i="3" s="1"/>
  <c r="AR332" i="3"/>
  <c r="AF29" i="3"/>
  <c r="AH29" i="3"/>
  <c r="AI29" i="3" s="1"/>
  <c r="AH74" i="3"/>
  <c r="AI74" i="3" s="1"/>
  <c r="AF74" i="3"/>
  <c r="AT53" i="3"/>
  <c r="AU53" i="3" s="1"/>
  <c r="AR53" i="3"/>
  <c r="AT56" i="3"/>
  <c r="AU56" i="3" s="1"/>
  <c r="AH65" i="3"/>
  <c r="AI65" i="3" s="1"/>
  <c r="AF65" i="3"/>
  <c r="AB66" i="3"/>
  <c r="AA66" i="3" s="1"/>
  <c r="AT71" i="3"/>
  <c r="AU71" i="3" s="1"/>
  <c r="AR71" i="3"/>
  <c r="AB114" i="3"/>
  <c r="AC114" i="3" s="1"/>
  <c r="AD114" i="3" s="1"/>
  <c r="AB220" i="3"/>
  <c r="AC220" i="3" s="1"/>
  <c r="AD220" i="3" s="1"/>
  <c r="AR221" i="3"/>
  <c r="AT221" i="3"/>
  <c r="AU221" i="3" s="1"/>
  <c r="AR230" i="3"/>
  <c r="AB240" i="3"/>
  <c r="AC240" i="3" s="1"/>
  <c r="AD240" i="3" s="1"/>
  <c r="AF242" i="3"/>
  <c r="AH242" i="3"/>
  <c r="AI242" i="3" s="1"/>
  <c r="AF250" i="3"/>
  <c r="AR281" i="3"/>
  <c r="AT281" i="3"/>
  <c r="AU281" i="3" s="1"/>
  <c r="AB288" i="3"/>
  <c r="AA288" i="3" s="1"/>
  <c r="AR348" i="3"/>
  <c r="AT348" i="3"/>
  <c r="AU348" i="3" s="1"/>
  <c r="R46" i="3"/>
  <c r="Q46" i="3" s="1"/>
  <c r="T46" i="3"/>
  <c r="AT101" i="3"/>
  <c r="AU101" i="3" s="1"/>
  <c r="AR101" i="3"/>
  <c r="AB15" i="3"/>
  <c r="AC15" i="3" s="1"/>
  <c r="AD15" i="3" s="1"/>
  <c r="AF17" i="3"/>
  <c r="AR22" i="3"/>
  <c r="AH30" i="3"/>
  <c r="AI30" i="3" s="1"/>
  <c r="AR44" i="3"/>
  <c r="AF63" i="3"/>
  <c r="AF75" i="3"/>
  <c r="AF78" i="3"/>
  <c r="AB96" i="3"/>
  <c r="AC96" i="3" s="1"/>
  <c r="AD96" i="3" s="1"/>
  <c r="AF98" i="3"/>
  <c r="AH125" i="3"/>
  <c r="AI125" i="3" s="1"/>
  <c r="AF125" i="3"/>
  <c r="AR127" i="3"/>
  <c r="T142" i="3"/>
  <c r="R142" i="3"/>
  <c r="Q142" i="3" s="1"/>
  <c r="AT154" i="3"/>
  <c r="AU154" i="3" s="1"/>
  <c r="AR154" i="3"/>
  <c r="AF157" i="3"/>
  <c r="AT161" i="3"/>
  <c r="AU161" i="3" s="1"/>
  <c r="AR161" i="3"/>
  <c r="AC185" i="3"/>
  <c r="AD185" i="3" s="1"/>
  <c r="AA185" i="3"/>
  <c r="AT187" i="3"/>
  <c r="AU187" i="3" s="1"/>
  <c r="AR187" i="3"/>
  <c r="AT242" i="3"/>
  <c r="AU242" i="3" s="1"/>
  <c r="AR242" i="3"/>
  <c r="R251" i="3"/>
  <c r="Q251" i="3" s="1"/>
  <c r="T251" i="3"/>
  <c r="AR323" i="3"/>
  <c r="AT323" i="3"/>
  <c r="AU323" i="3" s="1"/>
  <c r="AF331" i="3"/>
  <c r="AH331" i="3"/>
  <c r="AI331" i="3" s="1"/>
  <c r="AT165" i="3"/>
  <c r="AU165" i="3" s="1"/>
  <c r="AF234" i="3"/>
  <c r="AH234" i="3"/>
  <c r="AI234" i="3" s="1"/>
  <c r="AH276" i="3"/>
  <c r="AI276" i="3" s="1"/>
  <c r="AB64" i="3"/>
  <c r="AC64" i="3" s="1"/>
  <c r="AD64" i="3" s="1"/>
  <c r="AH81" i="3"/>
  <c r="AI81" i="3" s="1"/>
  <c r="BH81" i="3" s="1"/>
  <c r="BI81" i="3" s="1"/>
  <c r="BB81" i="3" s="1"/>
  <c r="AF81" i="3"/>
  <c r="T101" i="3"/>
  <c r="R101" i="3"/>
  <c r="Q101" i="3" s="1"/>
  <c r="AT107" i="3"/>
  <c r="AU107" i="3" s="1"/>
  <c r="AR107" i="3"/>
  <c r="AB111" i="3"/>
  <c r="AA111" i="3" s="1"/>
  <c r="R115" i="3"/>
  <c r="Q115" i="3" s="1"/>
  <c r="T115" i="3"/>
  <c r="T160" i="3"/>
  <c r="R160" i="3"/>
  <c r="Q160" i="3" s="1"/>
  <c r="AF13" i="3"/>
  <c r="AT14" i="3"/>
  <c r="AU14" i="3" s="1"/>
  <c r="AT28" i="3"/>
  <c r="AU28" i="3" s="1"/>
  <c r="AH33" i="3"/>
  <c r="AI33" i="3" s="1"/>
  <c r="R50" i="3"/>
  <c r="Q50" i="3" s="1"/>
  <c r="AR51" i="3"/>
  <c r="AF73" i="3"/>
  <c r="AB76" i="3"/>
  <c r="AC76" i="3" s="1"/>
  <c r="AD76" i="3" s="1"/>
  <c r="AT78" i="3"/>
  <c r="AU78" i="3" s="1"/>
  <c r="AR78" i="3"/>
  <c r="AF86" i="3"/>
  <c r="AB90" i="3"/>
  <c r="AA90" i="3" s="1"/>
  <c r="AB92" i="3"/>
  <c r="AA92" i="3" s="1"/>
  <c r="AR119" i="3"/>
  <c r="AR132" i="3"/>
  <c r="R137" i="3"/>
  <c r="Q137" i="3" s="1"/>
  <c r="T137" i="3"/>
  <c r="R156" i="3"/>
  <c r="Q156" i="3" s="1"/>
  <c r="AR162" i="3"/>
  <c r="AF164" i="3"/>
  <c r="T165" i="3"/>
  <c r="R181" i="3"/>
  <c r="Q181" i="3" s="1"/>
  <c r="T181" i="3"/>
  <c r="AR185" i="3"/>
  <c r="AR203" i="3"/>
  <c r="AR205" i="3"/>
  <c r="AB208" i="3"/>
  <c r="AA208" i="3" s="1"/>
  <c r="AH220" i="3"/>
  <c r="AI220" i="3" s="1"/>
  <c r="AF220" i="3"/>
  <c r="AT248" i="3"/>
  <c r="AU248" i="3" s="1"/>
  <c r="AB275" i="3"/>
  <c r="AA275" i="3" s="1"/>
  <c r="AH288" i="3"/>
  <c r="AI288" i="3" s="1"/>
  <c r="AF288" i="3"/>
  <c r="AH291" i="3"/>
  <c r="AI291" i="3" s="1"/>
  <c r="AR307" i="3"/>
  <c r="AT307" i="3"/>
  <c r="AU307" i="3" s="1"/>
  <c r="AB131" i="3"/>
  <c r="AC131" i="3" s="1"/>
  <c r="AD131" i="3" s="1"/>
  <c r="AB152" i="3"/>
  <c r="AC152" i="3" s="1"/>
  <c r="AD152" i="3" s="1"/>
  <c r="AB193" i="3"/>
  <c r="AC193" i="3" s="1"/>
  <c r="AD193" i="3" s="1"/>
  <c r="AB195" i="3"/>
  <c r="AA195" i="3" s="1"/>
  <c r="AB232" i="3"/>
  <c r="AA232" i="3" s="1"/>
  <c r="AB236" i="3"/>
  <c r="AA236" i="3" s="1"/>
  <c r="AB254" i="3"/>
  <c r="AC254" i="3" s="1"/>
  <c r="AD254" i="3" s="1"/>
  <c r="AB261" i="3"/>
  <c r="AB284" i="3"/>
  <c r="AC284" i="3" s="1"/>
  <c r="AD284" i="3" s="1"/>
  <c r="AB286" i="3"/>
  <c r="AC286" i="3" s="1"/>
  <c r="AD286" i="3" s="1"/>
  <c r="AB344" i="3"/>
  <c r="AC344" i="3" s="1"/>
  <c r="AD344" i="3" s="1"/>
  <c r="AB67" i="3"/>
  <c r="AC67" i="3" s="1"/>
  <c r="AD67" i="3" s="1"/>
  <c r="AB97" i="3"/>
  <c r="AC97" i="3" s="1"/>
  <c r="AD97" i="3" s="1"/>
  <c r="AB110" i="3"/>
  <c r="AA110" i="3" s="1"/>
  <c r="AT164" i="3"/>
  <c r="AU164" i="3" s="1"/>
  <c r="AT188" i="3"/>
  <c r="AU188" i="3" s="1"/>
  <c r="T197" i="3"/>
  <c r="AT198" i="3"/>
  <c r="AU198" i="3" s="1"/>
  <c r="AB199" i="3"/>
  <c r="AC199" i="3" s="1"/>
  <c r="AD199" i="3" s="1"/>
  <c r="BH199" i="3" s="1"/>
  <c r="BI199" i="3" s="1"/>
  <c r="BB199" i="3" s="1"/>
  <c r="AT214" i="3"/>
  <c r="AU214" i="3" s="1"/>
  <c r="AT216" i="3"/>
  <c r="AU216" i="3" s="1"/>
  <c r="AT255" i="3"/>
  <c r="AU255" i="3" s="1"/>
  <c r="AB256" i="3"/>
  <c r="AC256" i="3" s="1"/>
  <c r="AD256" i="3" s="1"/>
  <c r="AB279" i="3"/>
  <c r="AA279" i="3" s="1"/>
  <c r="AB290" i="3"/>
  <c r="AC290" i="3" s="1"/>
  <c r="AD290" i="3" s="1"/>
  <c r="AB316" i="3"/>
  <c r="AC316" i="3" s="1"/>
  <c r="AD316" i="3" s="1"/>
  <c r="T327" i="3"/>
  <c r="AB336" i="3"/>
  <c r="AC336" i="3" s="1"/>
  <c r="AD336" i="3" s="1"/>
  <c r="BH336" i="3" s="1"/>
  <c r="BI336" i="3" s="1"/>
  <c r="BB336" i="3" s="1"/>
  <c r="AB339" i="3"/>
  <c r="AA339" i="3" s="1"/>
  <c r="AB136" i="3"/>
  <c r="AA136" i="3" s="1"/>
  <c r="AB147" i="3"/>
  <c r="AA147" i="3" s="1"/>
  <c r="AB157" i="3"/>
  <c r="AC157" i="3" s="1"/>
  <c r="AD157" i="3" s="1"/>
  <c r="AB167" i="3"/>
  <c r="AC167" i="3" s="1"/>
  <c r="AD167" i="3" s="1"/>
  <c r="AB207" i="3"/>
  <c r="AA207" i="3" s="1"/>
  <c r="AB264" i="3"/>
  <c r="AC264" i="3" s="1"/>
  <c r="AD264" i="3" s="1"/>
  <c r="AB291" i="3"/>
  <c r="AC291" i="3" s="1"/>
  <c r="AD291" i="3" s="1"/>
  <c r="AB75" i="3"/>
  <c r="AC75" i="3" s="1"/>
  <c r="AD75" i="3" s="1"/>
  <c r="BH75" i="3" s="1"/>
  <c r="BI75" i="3" s="1"/>
  <c r="BB75" i="3" s="1"/>
  <c r="AB128" i="3"/>
  <c r="AA128" i="3" s="1"/>
  <c r="AB139" i="3"/>
  <c r="AC139" i="3" s="1"/>
  <c r="AD139" i="3" s="1"/>
  <c r="AH152" i="3"/>
  <c r="AI152" i="3" s="1"/>
  <c r="AT156" i="3"/>
  <c r="AU156" i="3" s="1"/>
  <c r="AT158" i="3"/>
  <c r="AU158" i="3" s="1"/>
  <c r="AB172" i="3"/>
  <c r="AC172" i="3" s="1"/>
  <c r="AD172" i="3" s="1"/>
  <c r="AB174" i="3"/>
  <c r="AA174" i="3" s="1"/>
  <c r="AB181" i="3"/>
  <c r="AA181" i="3" s="1"/>
  <c r="AT182" i="3"/>
  <c r="AU182" i="3" s="1"/>
  <c r="AF185" i="3"/>
  <c r="T190" i="3"/>
  <c r="AR191" i="3"/>
  <c r="AF199" i="3"/>
  <c r="R200" i="3"/>
  <c r="Q200" i="3" s="1"/>
  <c r="AF219" i="3"/>
  <c r="AT222" i="3"/>
  <c r="AU222" i="3" s="1"/>
  <c r="AB223" i="3"/>
  <c r="AC223" i="3" s="1"/>
  <c r="AD223" i="3" s="1"/>
  <c r="AB225" i="3"/>
  <c r="AC225" i="3" s="1"/>
  <c r="AD225" i="3" s="1"/>
  <c r="AH230" i="3"/>
  <c r="AI230" i="3" s="1"/>
  <c r="AR234" i="3"/>
  <c r="AB235" i="3"/>
  <c r="AC235" i="3" s="1"/>
  <c r="AD235" i="3" s="1"/>
  <c r="BH235" i="3" s="1"/>
  <c r="BI235" i="3" s="1"/>
  <c r="BB235" i="3" s="1"/>
  <c r="AH236" i="3"/>
  <c r="AI236" i="3" s="1"/>
  <c r="AT258" i="3"/>
  <c r="AU258" i="3" s="1"/>
  <c r="AB293" i="3"/>
  <c r="AA293" i="3" s="1"/>
  <c r="AT316" i="3"/>
  <c r="AU316" i="3" s="1"/>
  <c r="AB321" i="3"/>
  <c r="AA321" i="3" s="1"/>
  <c r="AT333" i="3"/>
  <c r="AU333" i="3" s="1"/>
  <c r="AT345" i="3"/>
  <c r="AU345" i="3" s="1"/>
  <c r="AB186" i="3"/>
  <c r="AA186" i="3" s="1"/>
  <c r="AB218" i="3"/>
  <c r="AA218" i="3" s="1"/>
  <c r="AB250" i="3"/>
  <c r="AA250" i="3" s="1"/>
  <c r="AB257" i="3"/>
  <c r="AA257" i="3" s="1"/>
  <c r="AT265" i="3"/>
  <c r="AU265" i="3" s="1"/>
  <c r="AB278" i="3"/>
  <c r="AA278" i="3" s="1"/>
  <c r="AT279" i="3"/>
  <c r="AU279" i="3" s="1"/>
  <c r="AB285" i="3"/>
  <c r="AC285" i="3" s="1"/>
  <c r="AD285" i="3" s="1"/>
  <c r="R300" i="3"/>
  <c r="Q300" i="3" s="1"/>
  <c r="AF301" i="3"/>
  <c r="AB309" i="3"/>
  <c r="AA309" i="3" s="1"/>
  <c r="AF319" i="3"/>
  <c r="AF321" i="3"/>
  <c r="AF327" i="3"/>
  <c r="AF329" i="3"/>
  <c r="R330" i="3"/>
  <c r="Q330" i="3" s="1"/>
  <c r="AB335" i="3"/>
  <c r="AC335" i="3" s="1"/>
  <c r="AD335" i="3" s="1"/>
  <c r="AB305" i="3"/>
  <c r="AC305" i="3" s="1"/>
  <c r="AD305" i="3" s="1"/>
  <c r="AB333" i="3"/>
  <c r="AC333" i="3" s="1"/>
  <c r="AD333" i="3" s="1"/>
  <c r="AB348" i="3"/>
  <c r="AC348" i="3" s="1"/>
  <c r="AD348" i="3" s="1"/>
  <c r="T10" i="3"/>
  <c r="R10" i="3"/>
  <c r="Q10" i="3" s="1"/>
  <c r="T35" i="3"/>
  <c r="R35" i="3"/>
  <c r="Q35" i="3" s="1"/>
  <c r="T12" i="3"/>
  <c r="R12" i="3"/>
  <c r="Q12" i="3" s="1"/>
  <c r="T16" i="3"/>
  <c r="R16" i="3"/>
  <c r="Q16" i="3" s="1"/>
  <c r="AC18" i="3"/>
  <c r="AD18" i="3" s="1"/>
  <c r="BH18" i="3" s="1"/>
  <c r="BI18" i="3" s="1"/>
  <c r="BB18" i="3" s="1"/>
  <c r="AA18" i="3"/>
  <c r="AF10" i="3"/>
  <c r="AR13" i="3"/>
  <c r="AB16" i="3"/>
  <c r="AC16" i="3" s="1"/>
  <c r="AD16" i="3" s="1"/>
  <c r="R23" i="3"/>
  <c r="Q23" i="3" s="1"/>
  <c r="AH36" i="3"/>
  <c r="AI36" i="3" s="1"/>
  <c r="AF36" i="3"/>
  <c r="AT38" i="3"/>
  <c r="AU38" i="3" s="1"/>
  <c r="AR38" i="3"/>
  <c r="AF41" i="3"/>
  <c r="AH41" i="3"/>
  <c r="AI41" i="3" s="1"/>
  <c r="AT48" i="3"/>
  <c r="AU48" i="3" s="1"/>
  <c r="AR48" i="3"/>
  <c r="T54" i="3"/>
  <c r="R54" i="3"/>
  <c r="Q54" i="3" s="1"/>
  <c r="AT77" i="3"/>
  <c r="AU77" i="3" s="1"/>
  <c r="AR77" i="3"/>
  <c r="AT88" i="3"/>
  <c r="AU88" i="3" s="1"/>
  <c r="AR88" i="3"/>
  <c r="T98" i="3"/>
  <c r="R98" i="3"/>
  <c r="Q98" i="3" s="1"/>
  <c r="AF113" i="3"/>
  <c r="AH113" i="3"/>
  <c r="AI113" i="3" s="1"/>
  <c r="AH46" i="3"/>
  <c r="AI46" i="3" s="1"/>
  <c r="AF46" i="3"/>
  <c r="AT62" i="3"/>
  <c r="AU62" i="3" s="1"/>
  <c r="AR62" i="3"/>
  <c r="R117" i="3"/>
  <c r="Q117" i="3" s="1"/>
  <c r="T117" i="3"/>
  <c r="AB23" i="3"/>
  <c r="AC23" i="3" s="1"/>
  <c r="AD23" i="3" s="1"/>
  <c r="AF26" i="3"/>
  <c r="AH26" i="3"/>
  <c r="AI26" i="3" s="1"/>
  <c r="AH42" i="3"/>
  <c r="AI42" i="3" s="1"/>
  <c r="AF42" i="3"/>
  <c r="AH49" i="3"/>
  <c r="AI49" i="3" s="1"/>
  <c r="AF49" i="3"/>
  <c r="AF51" i="3"/>
  <c r="AH51" i="3"/>
  <c r="AI51" i="3" s="1"/>
  <c r="R126" i="3"/>
  <c r="Q126" i="3" s="1"/>
  <c r="T126" i="3"/>
  <c r="AF104" i="3"/>
  <c r="AH104" i="3"/>
  <c r="AI104" i="3" s="1"/>
  <c r="AR10" i="3"/>
  <c r="AR11" i="3"/>
  <c r="AB13" i="3"/>
  <c r="AA13" i="3" s="1"/>
  <c r="AF16" i="3"/>
  <c r="AR21" i="3"/>
  <c r="AB25" i="3"/>
  <c r="AC25" i="3" s="1"/>
  <c r="AD25" i="3" s="1"/>
  <c r="AT30" i="3"/>
  <c r="AU30" i="3" s="1"/>
  <c r="AR30" i="3"/>
  <c r="AF32" i="3"/>
  <c r="AH32" i="3"/>
  <c r="AI32" i="3" s="1"/>
  <c r="AR42" i="3"/>
  <c r="AT42" i="3"/>
  <c r="AU42" i="3" s="1"/>
  <c r="AF44" i="3"/>
  <c r="AH44" i="3"/>
  <c r="AI44" i="3" s="1"/>
  <c r="AT49" i="3"/>
  <c r="AU49" i="3" s="1"/>
  <c r="AR49" i="3"/>
  <c r="T57" i="3"/>
  <c r="R57" i="3"/>
  <c r="Q57" i="3" s="1"/>
  <c r="AB60" i="3"/>
  <c r="AC60" i="3" s="1"/>
  <c r="AD60" i="3" s="1"/>
  <c r="AT69" i="3"/>
  <c r="AU69" i="3" s="1"/>
  <c r="AR69" i="3"/>
  <c r="AB77" i="3"/>
  <c r="AR89" i="3"/>
  <c r="AT89" i="3"/>
  <c r="AU89" i="3" s="1"/>
  <c r="T109" i="3"/>
  <c r="AB5" i="3"/>
  <c r="AA5" i="3" s="1"/>
  <c r="AB12" i="3"/>
  <c r="AC12" i="3" s="1"/>
  <c r="AD12" i="3" s="1"/>
  <c r="AR32" i="3"/>
  <c r="AT32" i="3"/>
  <c r="AU32" i="3" s="1"/>
  <c r="AH47" i="3"/>
  <c r="AI47" i="3" s="1"/>
  <c r="AF47" i="3"/>
  <c r="R64" i="3"/>
  <c r="Q64" i="3" s="1"/>
  <c r="T64" i="3"/>
  <c r="T68" i="3"/>
  <c r="R68" i="3"/>
  <c r="Q68" i="3" s="1"/>
  <c r="AT72" i="3"/>
  <c r="AU72" i="3" s="1"/>
  <c r="AR72" i="3"/>
  <c r="AT76" i="3"/>
  <c r="AU76" i="3" s="1"/>
  <c r="AR76" i="3"/>
  <c r="AR114" i="3"/>
  <c r="AT114" i="3"/>
  <c r="AU114" i="3" s="1"/>
  <c r="AF15" i="3"/>
  <c r="R19" i="3"/>
  <c r="Q19" i="3" s="1"/>
  <c r="AR19" i="3"/>
  <c r="AB22" i="3"/>
  <c r="AF23" i="3"/>
  <c r="AT24" i="3"/>
  <c r="AU24" i="3" s="1"/>
  <c r="AH27" i="3"/>
  <c r="AI27" i="3" s="1"/>
  <c r="AF27" i="3"/>
  <c r="AA43" i="3"/>
  <c r="AR54" i="3"/>
  <c r="AT54" i="3"/>
  <c r="AU54" i="3" s="1"/>
  <c r="T74" i="3"/>
  <c r="R74" i="3"/>
  <c r="Q74" i="3" s="1"/>
  <c r="T78" i="3"/>
  <c r="R78" i="3"/>
  <c r="Q78" i="3" s="1"/>
  <c r="AR79" i="3"/>
  <c r="AT79" i="3"/>
  <c r="AU79" i="3" s="1"/>
  <c r="T95" i="3"/>
  <c r="AH25" i="3"/>
  <c r="AI25" i="3" s="1"/>
  <c r="AF25" i="3"/>
  <c r="R32" i="3"/>
  <c r="Q32" i="3" s="1"/>
  <c r="T32" i="3"/>
  <c r="AH43" i="3"/>
  <c r="AI43" i="3" s="1"/>
  <c r="AF43" i="3"/>
  <c r="R70" i="3"/>
  <c r="Q70" i="3" s="1"/>
  <c r="T70" i="3"/>
  <c r="AB74" i="3"/>
  <c r="AC74" i="3" s="1"/>
  <c r="AD74" i="3" s="1"/>
  <c r="AF5" i="3"/>
  <c r="AF7" i="3"/>
  <c r="AB9" i="3"/>
  <c r="AA9" i="3" s="1"/>
  <c r="R14" i="3"/>
  <c r="Q14" i="3" s="1"/>
  <c r="AR15" i="3"/>
  <c r="AT16" i="3"/>
  <c r="AU16" i="3" s="1"/>
  <c r="AB19" i="3"/>
  <c r="AC19" i="3" s="1"/>
  <c r="AD19" i="3" s="1"/>
  <c r="BH19" i="3" s="1"/>
  <c r="BI19" i="3" s="1"/>
  <c r="BB19" i="3" s="1"/>
  <c r="AT25" i="3"/>
  <c r="AU25" i="3" s="1"/>
  <c r="AR25" i="3"/>
  <c r="AF28" i="3"/>
  <c r="AH28" i="3"/>
  <c r="AI28" i="3" s="1"/>
  <c r="AB32" i="3"/>
  <c r="AT35" i="3"/>
  <c r="AU35" i="3" s="1"/>
  <c r="AR35" i="3"/>
  <c r="AB37" i="3"/>
  <c r="AC37" i="3" s="1"/>
  <c r="AD37" i="3" s="1"/>
  <c r="AB49" i="3"/>
  <c r="AA49" i="3" s="1"/>
  <c r="AH50" i="3"/>
  <c r="AI50" i="3" s="1"/>
  <c r="AF50" i="3"/>
  <c r="AB51" i="3"/>
  <c r="AC51" i="3" s="1"/>
  <c r="AD51" i="3" s="1"/>
  <c r="AH55" i="3"/>
  <c r="AI55" i="3" s="1"/>
  <c r="AF55" i="3"/>
  <c r="AT58" i="3"/>
  <c r="AU58" i="3" s="1"/>
  <c r="AR58" i="3"/>
  <c r="AH68" i="3"/>
  <c r="AI68" i="3" s="1"/>
  <c r="AF68" i="3"/>
  <c r="AB70" i="3"/>
  <c r="AC70" i="3" s="1"/>
  <c r="AD70" i="3" s="1"/>
  <c r="R81" i="3"/>
  <c r="Q81" i="3" s="1"/>
  <c r="AT103" i="3"/>
  <c r="AU103" i="3" s="1"/>
  <c r="AR103" i="3"/>
  <c r="AH174" i="3"/>
  <c r="AI174" i="3" s="1"/>
  <c r="AF174" i="3"/>
  <c r="AR179" i="3"/>
  <c r="AT179" i="3"/>
  <c r="AU179" i="3" s="1"/>
  <c r="AF197" i="3"/>
  <c r="AH197" i="3"/>
  <c r="AI197" i="3" s="1"/>
  <c r="R204" i="3"/>
  <c r="Q204" i="3" s="1"/>
  <c r="T204" i="3"/>
  <c r="T218" i="3"/>
  <c r="R218" i="3"/>
  <c r="Q218" i="3" s="1"/>
  <c r="T237" i="3"/>
  <c r="R237" i="3"/>
  <c r="Q237" i="3" s="1"/>
  <c r="AR257" i="3"/>
  <c r="AT257" i="3"/>
  <c r="AU257" i="3" s="1"/>
  <c r="AT264" i="3"/>
  <c r="AU264" i="3" s="1"/>
  <c r="AR264" i="3"/>
  <c r="AB40" i="3"/>
  <c r="AC40" i="3" s="1"/>
  <c r="AD40" i="3" s="1"/>
  <c r="AB47" i="3"/>
  <c r="AC47" i="3" s="1"/>
  <c r="AD47" i="3" s="1"/>
  <c r="AB63" i="3"/>
  <c r="AC63" i="3" s="1"/>
  <c r="AD63" i="3" s="1"/>
  <c r="AB68" i="3"/>
  <c r="AC68" i="3" s="1"/>
  <c r="AD68" i="3" s="1"/>
  <c r="AB71" i="3"/>
  <c r="AC71" i="3" s="1"/>
  <c r="AD71" i="3" s="1"/>
  <c r="AB80" i="3"/>
  <c r="AC80" i="3" s="1"/>
  <c r="AD80" i="3" s="1"/>
  <c r="AF91" i="3"/>
  <c r="AB103" i="3"/>
  <c r="AA103" i="3" s="1"/>
  <c r="AF112" i="3"/>
  <c r="AB115" i="3"/>
  <c r="AT120" i="3"/>
  <c r="AU120" i="3" s="1"/>
  <c r="T121" i="3"/>
  <c r="AB122" i="3"/>
  <c r="AH123" i="3"/>
  <c r="AI123" i="3" s="1"/>
  <c r="AR125" i="3"/>
  <c r="AH127" i="3"/>
  <c r="AI127" i="3" s="1"/>
  <c r="AB132" i="3"/>
  <c r="AA132" i="3" s="1"/>
  <c r="AF134" i="3"/>
  <c r="AF136" i="3"/>
  <c r="AR144" i="3"/>
  <c r="T155" i="3"/>
  <c r="R155" i="3"/>
  <c r="Q155" i="3" s="1"/>
  <c r="AR167" i="3"/>
  <c r="AT167" i="3"/>
  <c r="AU167" i="3" s="1"/>
  <c r="R169" i="3"/>
  <c r="Q169" i="3" s="1"/>
  <c r="T169" i="3"/>
  <c r="AB171" i="3"/>
  <c r="AC171" i="3" s="1"/>
  <c r="AD171" i="3" s="1"/>
  <c r="AR183" i="3"/>
  <c r="AT183" i="3"/>
  <c r="AU183" i="3" s="1"/>
  <c r="R189" i="3"/>
  <c r="Q189" i="3" s="1"/>
  <c r="T189" i="3"/>
  <c r="AR194" i="3"/>
  <c r="AT194" i="3"/>
  <c r="AU194" i="3" s="1"/>
  <c r="AB101" i="3"/>
  <c r="AA101" i="3" s="1"/>
  <c r="T129" i="3"/>
  <c r="R146" i="3"/>
  <c r="Q146" i="3" s="1"/>
  <c r="AF186" i="3"/>
  <c r="AH186" i="3"/>
  <c r="AI186" i="3" s="1"/>
  <c r="AT209" i="3"/>
  <c r="AU209" i="3" s="1"/>
  <c r="AR209" i="3"/>
  <c r="R323" i="3"/>
  <c r="Q323" i="3" s="1"/>
  <c r="T323" i="3"/>
  <c r="R329" i="3"/>
  <c r="Q329" i="3" s="1"/>
  <c r="T329" i="3"/>
  <c r="T334" i="3"/>
  <c r="R334" i="3"/>
  <c r="Q334" i="3" s="1"/>
  <c r="AB21" i="3"/>
  <c r="AC21" i="3" s="1"/>
  <c r="AD21" i="3" s="1"/>
  <c r="BH21" i="3" s="1"/>
  <c r="BI21" i="3" s="1"/>
  <c r="BB21" i="3" s="1"/>
  <c r="AB31" i="3"/>
  <c r="AC31" i="3" s="1"/>
  <c r="AD31" i="3" s="1"/>
  <c r="AB42" i="3"/>
  <c r="AA42" i="3" s="1"/>
  <c r="AB54" i="3"/>
  <c r="AC54" i="3" s="1"/>
  <c r="AD54" i="3" s="1"/>
  <c r="AB58" i="3"/>
  <c r="AA58" i="3" s="1"/>
  <c r="AB73" i="3"/>
  <c r="AC73" i="3" s="1"/>
  <c r="AD73" i="3" s="1"/>
  <c r="AB79" i="3"/>
  <c r="AC79" i="3" s="1"/>
  <c r="AD79" i="3" s="1"/>
  <c r="AB83" i="3"/>
  <c r="AC83" i="3" s="1"/>
  <c r="AD83" i="3" s="1"/>
  <c r="AB86" i="3"/>
  <c r="AA86" i="3" s="1"/>
  <c r="AT94" i="3"/>
  <c r="AU94" i="3" s="1"/>
  <c r="AB102" i="3"/>
  <c r="AA102" i="3" s="1"/>
  <c r="T107" i="3"/>
  <c r="R108" i="3"/>
  <c r="Q108" i="3" s="1"/>
  <c r="T113" i="3"/>
  <c r="AB119" i="3"/>
  <c r="R120" i="3"/>
  <c r="Q120" i="3" s="1"/>
  <c r="AB121" i="3"/>
  <c r="AC121" i="3" s="1"/>
  <c r="AD121" i="3" s="1"/>
  <c r="AF132" i="3"/>
  <c r="AB137" i="3"/>
  <c r="AC137" i="3" s="1"/>
  <c r="AD137" i="3" s="1"/>
  <c r="AF141" i="3"/>
  <c r="R143" i="3"/>
  <c r="Q143" i="3" s="1"/>
  <c r="T144" i="3"/>
  <c r="AF156" i="3"/>
  <c r="AH156" i="3"/>
  <c r="AI156" i="3" s="1"/>
  <c r="AF168" i="3"/>
  <c r="AH168" i="3"/>
  <c r="AI168" i="3" s="1"/>
  <c r="AR170" i="3"/>
  <c r="AT170" i="3"/>
  <c r="AU170" i="3" s="1"/>
  <c r="R201" i="3"/>
  <c r="Q201" i="3" s="1"/>
  <c r="T201" i="3"/>
  <c r="R222" i="3"/>
  <c r="Q222" i="3" s="1"/>
  <c r="T222" i="3"/>
  <c r="T250" i="3"/>
  <c r="R250" i="3"/>
  <c r="Q250" i="3" s="1"/>
  <c r="T232" i="3"/>
  <c r="R232" i="3"/>
  <c r="Q232" i="3" s="1"/>
  <c r="AR252" i="3"/>
  <c r="AT252" i="3"/>
  <c r="AU252" i="3" s="1"/>
  <c r="AH254" i="3"/>
  <c r="AI254" i="3" s="1"/>
  <c r="AF254" i="3"/>
  <c r="AB33" i="3"/>
  <c r="AC33" i="3" s="1"/>
  <c r="AD33" i="3" s="1"/>
  <c r="AB56" i="3"/>
  <c r="AA56" i="3" s="1"/>
  <c r="R60" i="3"/>
  <c r="Q60" i="3" s="1"/>
  <c r="AR61" i="3"/>
  <c r="AB62" i="3"/>
  <c r="AC62" i="3" s="1"/>
  <c r="AD62" i="3" s="1"/>
  <c r="AR68" i="3"/>
  <c r="AB69" i="3"/>
  <c r="AC69" i="3" s="1"/>
  <c r="AD69" i="3" s="1"/>
  <c r="AB72" i="3"/>
  <c r="AC72" i="3" s="1"/>
  <c r="AD72" i="3" s="1"/>
  <c r="AB82" i="3"/>
  <c r="AA82" i="3" s="1"/>
  <c r="AB95" i="3"/>
  <c r="AA95" i="3" s="1"/>
  <c r="AB99" i="3"/>
  <c r="AA99" i="3" s="1"/>
  <c r="AF102" i="3"/>
  <c r="AB104" i="3"/>
  <c r="AC104" i="3" s="1"/>
  <c r="AD104" i="3" s="1"/>
  <c r="AR110" i="3"/>
  <c r="AT116" i="3"/>
  <c r="AU116" i="3" s="1"/>
  <c r="AF121" i="3"/>
  <c r="AH122" i="3"/>
  <c r="AI122" i="3" s="1"/>
  <c r="AF133" i="3"/>
  <c r="T134" i="3"/>
  <c r="AR134" i="3"/>
  <c r="AT142" i="3"/>
  <c r="AU142" i="3" s="1"/>
  <c r="T148" i="3"/>
  <c r="R153" i="3"/>
  <c r="Q153" i="3" s="1"/>
  <c r="T153" i="3"/>
  <c r="T161" i="3"/>
  <c r="R161" i="3"/>
  <c r="Q161" i="3" s="1"/>
  <c r="AR180" i="3"/>
  <c r="AT180" i="3"/>
  <c r="AU180" i="3" s="1"/>
  <c r="R209" i="3"/>
  <c r="Q209" i="3" s="1"/>
  <c r="T209" i="3"/>
  <c r="R219" i="3"/>
  <c r="Q219" i="3" s="1"/>
  <c r="T219" i="3"/>
  <c r="AH231" i="3"/>
  <c r="AI231" i="3" s="1"/>
  <c r="AF231" i="3"/>
  <c r="T236" i="3"/>
  <c r="R236" i="3"/>
  <c r="Q236" i="3" s="1"/>
  <c r="AF237" i="3"/>
  <c r="AH237" i="3"/>
  <c r="AI237" i="3" s="1"/>
  <c r="AF241" i="3"/>
  <c r="AH241" i="3"/>
  <c r="AI241" i="3" s="1"/>
  <c r="T196" i="3"/>
  <c r="R196" i="3"/>
  <c r="Q196" i="3" s="1"/>
  <c r="AR204" i="3"/>
  <c r="AT204" i="3"/>
  <c r="AU204" i="3" s="1"/>
  <c r="T214" i="3"/>
  <c r="R214" i="3"/>
  <c r="Q214" i="3" s="1"/>
  <c r="AB20" i="3"/>
  <c r="AA20" i="3" s="1"/>
  <c r="AB38" i="3"/>
  <c r="AC38" i="3" s="1"/>
  <c r="AD38" i="3" s="1"/>
  <c r="AB45" i="3"/>
  <c r="AC45" i="3" s="1"/>
  <c r="AD45" i="3" s="1"/>
  <c r="AB48" i="3"/>
  <c r="AC48" i="3" s="1"/>
  <c r="AD48" i="3" s="1"/>
  <c r="AB61" i="3"/>
  <c r="AC61" i="3" s="1"/>
  <c r="AD61" i="3" s="1"/>
  <c r="BH61" i="3" s="1"/>
  <c r="BI61" i="3" s="1"/>
  <c r="BB61" i="3" s="1"/>
  <c r="AB87" i="3"/>
  <c r="AA87" i="3" s="1"/>
  <c r="AB91" i="3"/>
  <c r="AC91" i="3" s="1"/>
  <c r="AD91" i="3" s="1"/>
  <c r="AH92" i="3"/>
  <c r="AI92" i="3" s="1"/>
  <c r="AH96" i="3"/>
  <c r="AI96" i="3" s="1"/>
  <c r="AB98" i="3"/>
  <c r="AA98" i="3" s="1"/>
  <c r="T111" i="3"/>
  <c r="R116" i="3"/>
  <c r="Q116" i="3" s="1"/>
  <c r="AF119" i="3"/>
  <c r="AH128" i="3"/>
  <c r="AI128" i="3" s="1"/>
  <c r="T133" i="3"/>
  <c r="AH137" i="3"/>
  <c r="AI137" i="3" s="1"/>
  <c r="AH139" i="3"/>
  <c r="AI139" i="3" s="1"/>
  <c r="T141" i="3"/>
  <c r="AT141" i="3"/>
  <c r="AU141" i="3" s="1"/>
  <c r="AH146" i="3"/>
  <c r="AI146" i="3" s="1"/>
  <c r="R147" i="3"/>
  <c r="Q147" i="3" s="1"/>
  <c r="AR208" i="3"/>
  <c r="AT208" i="3"/>
  <c r="AU208" i="3" s="1"/>
  <c r="T216" i="3"/>
  <c r="R216" i="3"/>
  <c r="Q216" i="3" s="1"/>
  <c r="T221" i="3"/>
  <c r="R221" i="3"/>
  <c r="Q221" i="3" s="1"/>
  <c r="R239" i="3"/>
  <c r="Q239" i="3" s="1"/>
  <c r="T239" i="3"/>
  <c r="T245" i="3"/>
  <c r="R245" i="3"/>
  <c r="Q245" i="3" s="1"/>
  <c r="AB160" i="3"/>
  <c r="AA160" i="3" s="1"/>
  <c r="AB164" i="3"/>
  <c r="AC164" i="3" s="1"/>
  <c r="AD164" i="3" s="1"/>
  <c r="AB165" i="3"/>
  <c r="AC165" i="3" s="1"/>
  <c r="AD165" i="3" s="1"/>
  <c r="AB224" i="3"/>
  <c r="AC224" i="3" s="1"/>
  <c r="AD224" i="3" s="1"/>
  <c r="AB227" i="3"/>
  <c r="AR238" i="3"/>
  <c r="R241" i="3"/>
  <c r="Q241" i="3" s="1"/>
  <c r="AB243" i="3"/>
  <c r="AC243" i="3" s="1"/>
  <c r="AD243" i="3" s="1"/>
  <c r="AH260" i="3"/>
  <c r="AI260" i="3" s="1"/>
  <c r="AF260" i="3"/>
  <c r="AF284" i="3"/>
  <c r="AH284" i="3"/>
  <c r="AI284" i="3" s="1"/>
  <c r="AF290" i="3"/>
  <c r="AH290" i="3"/>
  <c r="AI290" i="3" s="1"/>
  <c r="AR295" i="3"/>
  <c r="AT295" i="3"/>
  <c r="AU295" i="3" s="1"/>
  <c r="AR304" i="3"/>
  <c r="AT304" i="3"/>
  <c r="AU304" i="3" s="1"/>
  <c r="AT349" i="3"/>
  <c r="AU349" i="3" s="1"/>
  <c r="AR349" i="3"/>
  <c r="AB138" i="3"/>
  <c r="AB142" i="3"/>
  <c r="AC142" i="3" s="1"/>
  <c r="AD142" i="3" s="1"/>
  <c r="AB143" i="3"/>
  <c r="AC143" i="3" s="1"/>
  <c r="AD143" i="3" s="1"/>
  <c r="BH143" i="3" s="1"/>
  <c r="BI143" i="3" s="1"/>
  <c r="BB143" i="3" s="1"/>
  <c r="AB150" i="3"/>
  <c r="AA150" i="3" s="1"/>
  <c r="AF161" i="3"/>
  <c r="AF162" i="3"/>
  <c r="AB166" i="3"/>
  <c r="AA166" i="3" s="1"/>
  <c r="T170" i="3"/>
  <c r="AF172" i="3"/>
  <c r="AB175" i="3"/>
  <c r="AC175" i="3" s="1"/>
  <c r="AD175" i="3" s="1"/>
  <c r="AB180" i="3"/>
  <c r="AA180" i="3" s="1"/>
  <c r="AB184" i="3"/>
  <c r="AC184" i="3" s="1"/>
  <c r="AD184" i="3" s="1"/>
  <c r="AB188" i="3"/>
  <c r="AA188" i="3" s="1"/>
  <c r="AF191" i="3"/>
  <c r="AB194" i="3"/>
  <c r="AC194" i="3" s="1"/>
  <c r="AD194" i="3" s="1"/>
  <c r="AR197" i="3"/>
  <c r="AT200" i="3"/>
  <c r="AU200" i="3" s="1"/>
  <c r="AB201" i="3"/>
  <c r="R207" i="3"/>
  <c r="Q207" i="3" s="1"/>
  <c r="AH210" i="3"/>
  <c r="AI210" i="3" s="1"/>
  <c r="AH216" i="3"/>
  <c r="AI216" i="3" s="1"/>
  <c r="AH218" i="3"/>
  <c r="AI218" i="3" s="1"/>
  <c r="AH226" i="3"/>
  <c r="AI226" i="3" s="1"/>
  <c r="R231" i="3"/>
  <c r="Q231" i="3" s="1"/>
  <c r="AT231" i="3"/>
  <c r="AU231" i="3" s="1"/>
  <c r="AH233" i="3"/>
  <c r="AI233" i="3" s="1"/>
  <c r="R235" i="3"/>
  <c r="Q235" i="3" s="1"/>
  <c r="AF246" i="3"/>
  <c r="AF253" i="3"/>
  <c r="R269" i="3"/>
  <c r="Q269" i="3" s="1"/>
  <c r="T269" i="3"/>
  <c r="AR300" i="3"/>
  <c r="AT300" i="3"/>
  <c r="AU300" i="3" s="1"/>
  <c r="AR326" i="3"/>
  <c r="AT326" i="3"/>
  <c r="AU326" i="3" s="1"/>
  <c r="AF328" i="3"/>
  <c r="AH328" i="3"/>
  <c r="AI328" i="3" s="1"/>
  <c r="AB178" i="3"/>
  <c r="AA178" i="3" s="1"/>
  <c r="AR193" i="3"/>
  <c r="AR210" i="3"/>
  <c r="R211" i="3"/>
  <c r="Q211" i="3" s="1"/>
  <c r="AF213" i="3"/>
  <c r="AF215" i="3"/>
  <c r="AF224" i="3"/>
  <c r="AB230" i="3"/>
  <c r="AC230" i="3" s="1"/>
  <c r="AD230" i="3" s="1"/>
  <c r="AR233" i="3"/>
  <c r="AR235" i="3"/>
  <c r="AB242" i="3"/>
  <c r="AA242" i="3" s="1"/>
  <c r="AT247" i="3"/>
  <c r="AU247" i="3" s="1"/>
  <c r="AT274" i="3"/>
  <c r="AU274" i="3" s="1"/>
  <c r="AR274" i="3"/>
  <c r="R288" i="3"/>
  <c r="Q288" i="3" s="1"/>
  <c r="T288" i="3"/>
  <c r="T345" i="3"/>
  <c r="R345" i="3"/>
  <c r="Q345" i="3" s="1"/>
  <c r="AB169" i="3"/>
  <c r="AC169" i="3" s="1"/>
  <c r="AD169" i="3" s="1"/>
  <c r="AB200" i="3"/>
  <c r="AC200" i="3" s="1"/>
  <c r="AD200" i="3" s="1"/>
  <c r="AH202" i="3"/>
  <c r="AI202" i="3" s="1"/>
  <c r="R246" i="3"/>
  <c r="Q246" i="3" s="1"/>
  <c r="AT287" i="3"/>
  <c r="AU287" i="3" s="1"/>
  <c r="AR287" i="3"/>
  <c r="AR292" i="3"/>
  <c r="AT292" i="3"/>
  <c r="AU292" i="3" s="1"/>
  <c r="AF323" i="3"/>
  <c r="AH323" i="3"/>
  <c r="AI323" i="3" s="1"/>
  <c r="R342" i="3"/>
  <c r="Q342" i="3" s="1"/>
  <c r="T342" i="3"/>
  <c r="AB156" i="3"/>
  <c r="AC156" i="3" s="1"/>
  <c r="AD156" i="3" s="1"/>
  <c r="AB182" i="3"/>
  <c r="AT192" i="3"/>
  <c r="AU192" i="3" s="1"/>
  <c r="AH198" i="3"/>
  <c r="AI198" i="3" s="1"/>
  <c r="AF209" i="3"/>
  <c r="AT211" i="3"/>
  <c r="AU211" i="3" s="1"/>
  <c r="AR213" i="3"/>
  <c r="AR215" i="3"/>
  <c r="AT218" i="3"/>
  <c r="AU218" i="3" s="1"/>
  <c r="AH221" i="3"/>
  <c r="AI221" i="3" s="1"/>
  <c r="AH225" i="3"/>
  <c r="AI225" i="3" s="1"/>
  <c r="R227" i="3"/>
  <c r="Q227" i="3" s="1"/>
  <c r="AT227" i="3"/>
  <c r="AU227" i="3" s="1"/>
  <c r="T229" i="3"/>
  <c r="AT232" i="3"/>
  <c r="AU232" i="3" s="1"/>
  <c r="T233" i="3"/>
  <c r="AB237" i="3"/>
  <c r="AA237" i="3" s="1"/>
  <c r="AB244" i="3"/>
  <c r="AR246" i="3"/>
  <c r="T247" i="3"/>
  <c r="AR253" i="3"/>
  <c r="T279" i="3"/>
  <c r="R279" i="3"/>
  <c r="Q279" i="3" s="1"/>
  <c r="R284" i="3"/>
  <c r="Q284" i="3" s="1"/>
  <c r="T284" i="3"/>
  <c r="AH285" i="3"/>
  <c r="AI285" i="3" s="1"/>
  <c r="AF285" i="3"/>
  <c r="R326" i="3"/>
  <c r="Q326" i="3" s="1"/>
  <c r="T326" i="3"/>
  <c r="T337" i="3"/>
  <c r="R337" i="3"/>
  <c r="Q337" i="3" s="1"/>
  <c r="AB151" i="3"/>
  <c r="AC151" i="3" s="1"/>
  <c r="AD151" i="3" s="1"/>
  <c r="AB159" i="3"/>
  <c r="AC159" i="3" s="1"/>
  <c r="AD159" i="3" s="1"/>
  <c r="T162" i="3"/>
  <c r="AR171" i="3"/>
  <c r="T172" i="3"/>
  <c r="T176" i="3"/>
  <c r="AF178" i="3"/>
  <c r="AH188" i="3"/>
  <c r="AI188" i="3" s="1"/>
  <c r="AH194" i="3"/>
  <c r="AI194" i="3" s="1"/>
  <c r="AB196" i="3"/>
  <c r="AA196" i="3" s="1"/>
  <c r="AF203" i="3"/>
  <c r="AB216" i="3"/>
  <c r="AC216" i="3" s="1"/>
  <c r="AD216" i="3" s="1"/>
  <c r="R224" i="3"/>
  <c r="Q224" i="3" s="1"/>
  <c r="AB228" i="3"/>
  <c r="AC228" i="3" s="1"/>
  <c r="AD228" i="3" s="1"/>
  <c r="AB229" i="3"/>
  <c r="AC229" i="3" s="1"/>
  <c r="AD229" i="3" s="1"/>
  <c r="AB231" i="3"/>
  <c r="AA231" i="3" s="1"/>
  <c r="AH267" i="3"/>
  <c r="AI267" i="3" s="1"/>
  <c r="AF267" i="3"/>
  <c r="T272" i="3"/>
  <c r="R272" i="3"/>
  <c r="Q272" i="3" s="1"/>
  <c r="T322" i="3"/>
  <c r="R322" i="3"/>
  <c r="Q322" i="3" s="1"/>
  <c r="T332" i="3"/>
  <c r="R332" i="3"/>
  <c r="Q332" i="3" s="1"/>
  <c r="AB162" i="3"/>
  <c r="AA162" i="3" s="1"/>
  <c r="AB192" i="3"/>
  <c r="AA192" i="3" s="1"/>
  <c r="AB211" i="3"/>
  <c r="AC211" i="3" s="1"/>
  <c r="AD211" i="3" s="1"/>
  <c r="AB219" i="3"/>
  <c r="AC219" i="3" s="1"/>
  <c r="AD219" i="3" s="1"/>
  <c r="AB251" i="3"/>
  <c r="AC251" i="3" s="1"/>
  <c r="AD251" i="3" s="1"/>
  <c r="AF252" i="3"/>
  <c r="AH252" i="3"/>
  <c r="AI252" i="3" s="1"/>
  <c r="AB253" i="3"/>
  <c r="AC253" i="3" s="1"/>
  <c r="AD253" i="3" s="1"/>
  <c r="R258" i="3"/>
  <c r="Q258" i="3" s="1"/>
  <c r="T258" i="3"/>
  <c r="AF277" i="3"/>
  <c r="AH277" i="3"/>
  <c r="AI277" i="3" s="1"/>
  <c r="T287" i="3"/>
  <c r="R287" i="3"/>
  <c r="Q287" i="3" s="1"/>
  <c r="T292" i="3"/>
  <c r="R292" i="3"/>
  <c r="Q292" i="3" s="1"/>
  <c r="R296" i="3"/>
  <c r="Q296" i="3" s="1"/>
  <c r="T296" i="3"/>
  <c r="AR301" i="3"/>
  <c r="AT301" i="3"/>
  <c r="AU301" i="3" s="1"/>
  <c r="AF311" i="3"/>
  <c r="AH311" i="3"/>
  <c r="AI311" i="3" s="1"/>
  <c r="AT317" i="3"/>
  <c r="AU317" i="3" s="1"/>
  <c r="AR317" i="3"/>
  <c r="AB320" i="3"/>
  <c r="AA320" i="3" s="1"/>
  <c r="AB322" i="3"/>
  <c r="AA322" i="3" s="1"/>
  <c r="AR341" i="3"/>
  <c r="AT341" i="3"/>
  <c r="AU341" i="3" s="1"/>
  <c r="AF278" i="3"/>
  <c r="AR288" i="3"/>
  <c r="AF298" i="3"/>
  <c r="AB317" i="3"/>
  <c r="AC317" i="3" s="1"/>
  <c r="AD317" i="3" s="1"/>
  <c r="AB349" i="3"/>
  <c r="AC349" i="3" s="1"/>
  <c r="AD349" i="3" s="1"/>
  <c r="AH266" i="3"/>
  <c r="AI266" i="3" s="1"/>
  <c r="AT268" i="3"/>
  <c r="AU268" i="3" s="1"/>
  <c r="AB282" i="3"/>
  <c r="AA282" i="3" s="1"/>
  <c r="AB308" i="3"/>
  <c r="AA308" i="3" s="1"/>
  <c r="AB318" i="3"/>
  <c r="AC318" i="3" s="1"/>
  <c r="AD318" i="3" s="1"/>
  <c r="AB247" i="3"/>
  <c r="AC247" i="3" s="1"/>
  <c r="AD247" i="3" s="1"/>
  <c r="AB260" i="3"/>
  <c r="AC260" i="3" s="1"/>
  <c r="AD260" i="3" s="1"/>
  <c r="AB267" i="3"/>
  <c r="AC267" i="3" s="1"/>
  <c r="AD267" i="3" s="1"/>
  <c r="AB269" i="3"/>
  <c r="AA269" i="3" s="1"/>
  <c r="AT273" i="3"/>
  <c r="AU273" i="3" s="1"/>
  <c r="AB274" i="3"/>
  <c r="AC274" i="3" s="1"/>
  <c r="AD274" i="3" s="1"/>
  <c r="AF275" i="3"/>
  <c r="AR276" i="3"/>
  <c r="AR280" i="3"/>
  <c r="AF282" i="3"/>
  <c r="R285" i="3"/>
  <c r="Q285" i="3" s="1"/>
  <c r="R289" i="3"/>
  <c r="Q289" i="3" s="1"/>
  <c r="R299" i="3"/>
  <c r="Q299" i="3" s="1"/>
  <c r="R304" i="3"/>
  <c r="Q304" i="3" s="1"/>
  <c r="AR320" i="3"/>
  <c r="AF322" i="3"/>
  <c r="AB332" i="3"/>
  <c r="AA332" i="3" s="1"/>
  <c r="AT337" i="3"/>
  <c r="AU337" i="3" s="1"/>
  <c r="AB259" i="3"/>
  <c r="AC259" i="3" s="1"/>
  <c r="AD259" i="3" s="1"/>
  <c r="AB263" i="3"/>
  <c r="AC263" i="3" s="1"/>
  <c r="AD263" i="3" s="1"/>
  <c r="R273" i="3"/>
  <c r="Q273" i="3" s="1"/>
  <c r="AF274" i="3"/>
  <c r="AR278" i="3"/>
  <c r="AF279" i="3"/>
  <c r="AF286" i="3"/>
  <c r="AB289" i="3"/>
  <c r="AF295" i="3"/>
  <c r="AR297" i="3"/>
  <c r="AB301" i="3"/>
  <c r="AC301" i="3" s="1"/>
  <c r="AD301" i="3" s="1"/>
  <c r="AB304" i="3"/>
  <c r="AC304" i="3" s="1"/>
  <c r="AD304" i="3" s="1"/>
  <c r="T313" i="3"/>
  <c r="AR313" i="3"/>
  <c r="AB325" i="3"/>
  <c r="AC325" i="3" s="1"/>
  <c r="AD325" i="3" s="1"/>
  <c r="AB337" i="3"/>
  <c r="AC337" i="3" s="1"/>
  <c r="AD337" i="3" s="1"/>
  <c r="AB262" i="3"/>
  <c r="AC262" i="3" s="1"/>
  <c r="AD262" i="3" s="1"/>
  <c r="AB276" i="3"/>
  <c r="AC276" i="3" s="1"/>
  <c r="AD276" i="3" s="1"/>
  <c r="AB281" i="3"/>
  <c r="AH287" i="3"/>
  <c r="AI287" i="3" s="1"/>
  <c r="AH293" i="3"/>
  <c r="AI293" i="3" s="1"/>
  <c r="AB299" i="3"/>
  <c r="AA299" i="3" s="1"/>
  <c r="T309" i="3"/>
  <c r="AR309" i="3"/>
  <c r="AB313" i="3"/>
  <c r="AC313" i="3" s="1"/>
  <c r="AD313" i="3" s="1"/>
  <c r="AB314" i="3"/>
  <c r="AC314" i="3" s="1"/>
  <c r="AD314" i="3" s="1"/>
  <c r="AT330" i="3"/>
  <c r="AU330" i="3" s="1"/>
  <c r="AB258" i="3"/>
  <c r="AA258" i="3" s="1"/>
  <c r="AB273" i="3"/>
  <c r="AB283" i="3"/>
  <c r="AA283" i="3" s="1"/>
  <c r="AB297" i="3"/>
  <c r="T24" i="3"/>
  <c r="R24" i="3"/>
  <c r="Q24" i="3" s="1"/>
  <c r="R26" i="3"/>
  <c r="Q26" i="3" s="1"/>
  <c r="T26" i="3"/>
  <c r="T15" i="3"/>
  <c r="R15" i="3"/>
  <c r="Q15" i="3" s="1"/>
  <c r="T22" i="3"/>
  <c r="R22" i="3"/>
  <c r="Q22" i="3" s="1"/>
  <c r="T25" i="3"/>
  <c r="R25" i="3"/>
  <c r="Q25" i="3" s="1"/>
  <c r="T6" i="3"/>
  <c r="R6" i="3"/>
  <c r="Q6" i="3" s="1"/>
  <c r="T29" i="3"/>
  <c r="R29" i="3"/>
  <c r="Q29" i="3" s="1"/>
  <c r="AC36" i="3"/>
  <c r="AD36" i="3" s="1"/>
  <c r="T13" i="3"/>
  <c r="R13" i="3"/>
  <c r="Q13" i="3" s="1"/>
  <c r="T7" i="3"/>
  <c r="R7" i="3"/>
  <c r="Q7" i="3" s="1"/>
  <c r="T11" i="3"/>
  <c r="BH11" i="3" s="1"/>
  <c r="BI11" i="3" s="1"/>
  <c r="BB11" i="3" s="1"/>
  <c r="R11" i="3"/>
  <c r="Q11" i="3" s="1"/>
  <c r="T17" i="3"/>
  <c r="R17" i="3"/>
  <c r="Q17" i="3" s="1"/>
  <c r="T33" i="3"/>
  <c r="AA34" i="3"/>
  <c r="AR37" i="3"/>
  <c r="AT37" i="3"/>
  <c r="AU37" i="3" s="1"/>
  <c r="T40" i="3"/>
  <c r="AB41" i="3"/>
  <c r="R42" i="3"/>
  <c r="Q42" i="3" s="1"/>
  <c r="T42" i="3"/>
  <c r="R44" i="3"/>
  <c r="Q44" i="3" s="1"/>
  <c r="T52" i="3"/>
  <c r="R52" i="3"/>
  <c r="Q52" i="3" s="1"/>
  <c r="AA59" i="3"/>
  <c r="AC59" i="3"/>
  <c r="AD59" i="3" s="1"/>
  <c r="R67" i="3"/>
  <c r="Q67" i="3" s="1"/>
  <c r="T67" i="3"/>
  <c r="T85" i="3"/>
  <c r="R85" i="3"/>
  <c r="Q85" i="3" s="1"/>
  <c r="AR6" i="3"/>
  <c r="AF8" i="3"/>
  <c r="AB35" i="3"/>
  <c r="AH38" i="3"/>
  <c r="AI38" i="3" s="1"/>
  <c r="AF38" i="3"/>
  <c r="AB44" i="3"/>
  <c r="AA52" i="3"/>
  <c r="AC52" i="3"/>
  <c r="AD52" i="3" s="1"/>
  <c r="T79" i="3"/>
  <c r="R79" i="3"/>
  <c r="Q79" i="3" s="1"/>
  <c r="AR17" i="3"/>
  <c r="R18" i="3"/>
  <c r="Q18" i="3" s="1"/>
  <c r="AF18" i="3"/>
  <c r="AR20" i="3"/>
  <c r="R21" i="3"/>
  <c r="Q21" i="3" s="1"/>
  <c r="AF22" i="3"/>
  <c r="AR27" i="3"/>
  <c r="R28" i="3"/>
  <c r="Q28" i="3" s="1"/>
  <c r="R30" i="3"/>
  <c r="Q30" i="3" s="1"/>
  <c r="AR33" i="3"/>
  <c r="T49" i="3"/>
  <c r="R49" i="3"/>
  <c r="Q49" i="3" s="1"/>
  <c r="R84" i="3"/>
  <c r="Q84" i="3" s="1"/>
  <c r="T84" i="3"/>
  <c r="R38" i="3"/>
  <c r="Q38" i="3" s="1"/>
  <c r="T38" i="3"/>
  <c r="T43" i="3"/>
  <c r="T62" i="3"/>
  <c r="R62" i="3"/>
  <c r="Q62" i="3" s="1"/>
  <c r="T69" i="3"/>
  <c r="R69" i="3"/>
  <c r="Q69" i="3" s="1"/>
  <c r="T72" i="3"/>
  <c r="R72" i="3"/>
  <c r="Q72" i="3" s="1"/>
  <c r="AB30" i="3"/>
  <c r="R31" i="3"/>
  <c r="Q31" i="3" s="1"/>
  <c r="AF31" i="3"/>
  <c r="AH34" i="3"/>
  <c r="AI34" i="3" s="1"/>
  <c r="BH34" i="3" s="1"/>
  <c r="BI34" i="3" s="1"/>
  <c r="BB34" i="3" s="1"/>
  <c r="AB39" i="3"/>
  <c r="R53" i="3"/>
  <c r="Q53" i="3" s="1"/>
  <c r="T53" i="3"/>
  <c r="R5" i="3"/>
  <c r="Q5" i="3" s="1"/>
  <c r="AF6" i="3"/>
  <c r="AR8" i="3"/>
  <c r="R9" i="3"/>
  <c r="Q9" i="3" s="1"/>
  <c r="AF24" i="3"/>
  <c r="AR26" i="3"/>
  <c r="R27" i="3"/>
  <c r="Q27" i="3" s="1"/>
  <c r="AR34" i="3"/>
  <c r="T36" i="3"/>
  <c r="AT36" i="3"/>
  <c r="AU36" i="3" s="1"/>
  <c r="AR36" i="3"/>
  <c r="AF40" i="3"/>
  <c r="T48" i="3"/>
  <c r="R48" i="3"/>
  <c r="Q48" i="3" s="1"/>
  <c r="T55" i="3"/>
  <c r="R55" i="3"/>
  <c r="Q55" i="3" s="1"/>
  <c r="T80" i="3"/>
  <c r="R80" i="3"/>
  <c r="Q80" i="3" s="1"/>
  <c r="T93" i="3"/>
  <c r="R93" i="3"/>
  <c r="Q93" i="3" s="1"/>
  <c r="AF35" i="3"/>
  <c r="AH35" i="3"/>
  <c r="AI35" i="3" s="1"/>
  <c r="T37" i="3"/>
  <c r="R37" i="3"/>
  <c r="Q37" i="3" s="1"/>
  <c r="T41" i="3"/>
  <c r="R41" i="3"/>
  <c r="Q41" i="3" s="1"/>
  <c r="R88" i="3"/>
  <c r="Q88" i="3" s="1"/>
  <c r="T88" i="3"/>
  <c r="T89" i="3"/>
  <c r="R89" i="3"/>
  <c r="Q89" i="3" s="1"/>
  <c r="AT40" i="3"/>
  <c r="AU40" i="3" s="1"/>
  <c r="AR40" i="3"/>
  <c r="AT46" i="3"/>
  <c r="AU46" i="3" s="1"/>
  <c r="AR46" i="3"/>
  <c r="T59" i="3"/>
  <c r="R59" i="3"/>
  <c r="Q59" i="3" s="1"/>
  <c r="T63" i="3"/>
  <c r="R63" i="3"/>
  <c r="Q63" i="3" s="1"/>
  <c r="T73" i="3"/>
  <c r="R73" i="3"/>
  <c r="Q73" i="3" s="1"/>
  <c r="R77" i="3"/>
  <c r="Q77" i="3" s="1"/>
  <c r="T77" i="3"/>
  <c r="AR95" i="3"/>
  <c r="AT95" i="3"/>
  <c r="AU95" i="3" s="1"/>
  <c r="AF97" i="3"/>
  <c r="AH97" i="3"/>
  <c r="AI97" i="3" s="1"/>
  <c r="AH39" i="3"/>
  <c r="AI39" i="3" s="1"/>
  <c r="AT41" i="3"/>
  <c r="AU41" i="3" s="1"/>
  <c r="AT52" i="3"/>
  <c r="AU52" i="3" s="1"/>
  <c r="AF53" i="3"/>
  <c r="AH54" i="3"/>
  <c r="AI54" i="3" s="1"/>
  <c r="AR55" i="3"/>
  <c r="R56" i="3"/>
  <c r="Q56" i="3" s="1"/>
  <c r="AR65" i="3"/>
  <c r="R66" i="3"/>
  <c r="Q66" i="3" s="1"/>
  <c r="AT66" i="3"/>
  <c r="AU66" i="3" s="1"/>
  <c r="AF67" i="3"/>
  <c r="AR75" i="3"/>
  <c r="R76" i="3"/>
  <c r="Q76" i="3" s="1"/>
  <c r="AF77" i="3"/>
  <c r="R83" i="3"/>
  <c r="Q83" i="3" s="1"/>
  <c r="AF83" i="3"/>
  <c r="AH84" i="3"/>
  <c r="AI84" i="3" s="1"/>
  <c r="AF85" i="3"/>
  <c r="AH85" i="3"/>
  <c r="AI85" i="3" s="1"/>
  <c r="R86" i="3"/>
  <c r="Q86" i="3" s="1"/>
  <c r="AF87" i="3"/>
  <c r="AH88" i="3"/>
  <c r="AI88" i="3" s="1"/>
  <c r="AF89" i="3"/>
  <c r="AH89" i="3"/>
  <c r="AI89" i="3" s="1"/>
  <c r="R90" i="3"/>
  <c r="Q90" i="3" s="1"/>
  <c r="AH94" i="3"/>
  <c r="AI94" i="3" s="1"/>
  <c r="AF94" i="3"/>
  <c r="R96" i="3"/>
  <c r="Q96" i="3" s="1"/>
  <c r="T96" i="3"/>
  <c r="AT96" i="3"/>
  <c r="AU96" i="3" s="1"/>
  <c r="AR96" i="3"/>
  <c r="R100" i="3"/>
  <c r="Q100" i="3" s="1"/>
  <c r="R105" i="3"/>
  <c r="Q105" i="3" s="1"/>
  <c r="R106" i="3"/>
  <c r="Q106" i="3" s="1"/>
  <c r="T119" i="3"/>
  <c r="R119" i="3"/>
  <c r="Q119" i="3" s="1"/>
  <c r="T97" i="3"/>
  <c r="R97" i="3"/>
  <c r="Q97" i="3" s="1"/>
  <c r="R103" i="3"/>
  <c r="Q103" i="3" s="1"/>
  <c r="T103" i="3"/>
  <c r="T87" i="3"/>
  <c r="T91" i="3"/>
  <c r="AR91" i="3"/>
  <c r="AT91" i="3"/>
  <c r="AU91" i="3" s="1"/>
  <c r="AR98" i="3"/>
  <c r="AT98" i="3"/>
  <c r="AU98" i="3" s="1"/>
  <c r="R99" i="3"/>
  <c r="Q99" i="3" s="1"/>
  <c r="T99" i="3"/>
  <c r="R47" i="3"/>
  <c r="Q47" i="3" s="1"/>
  <c r="AF48" i="3"/>
  <c r="AR50" i="3"/>
  <c r="R51" i="3"/>
  <c r="Q51" i="3" s="1"/>
  <c r="AR57" i="3"/>
  <c r="R58" i="3"/>
  <c r="Q58" i="3" s="1"/>
  <c r="AR60" i="3"/>
  <c r="R61" i="3"/>
  <c r="Q61" i="3" s="1"/>
  <c r="AF62" i="3"/>
  <c r="AR64" i="3"/>
  <c r="R65" i="3"/>
  <c r="Q65" i="3" s="1"/>
  <c r="AF69" i="3"/>
  <c r="AR70" i="3"/>
  <c r="R71" i="3"/>
  <c r="Q71" i="3" s="1"/>
  <c r="AF72" i="3"/>
  <c r="AR74" i="3"/>
  <c r="R75" i="3"/>
  <c r="Q75" i="3" s="1"/>
  <c r="AF79" i="3"/>
  <c r="AA81" i="3"/>
  <c r="AR81" i="3"/>
  <c r="R82" i="3"/>
  <c r="Q82" i="3" s="1"/>
  <c r="R92" i="3"/>
  <c r="Q92" i="3" s="1"/>
  <c r="T92" i="3"/>
  <c r="AB94" i="3"/>
  <c r="AR83" i="3"/>
  <c r="AT83" i="3"/>
  <c r="AU83" i="3" s="1"/>
  <c r="AR87" i="3"/>
  <c r="AT87" i="3"/>
  <c r="AU87" i="3" s="1"/>
  <c r="AT92" i="3"/>
  <c r="AU92" i="3" s="1"/>
  <c r="AR92" i="3"/>
  <c r="AH108" i="3"/>
  <c r="AI108" i="3" s="1"/>
  <c r="AF108" i="3"/>
  <c r="AT86" i="3"/>
  <c r="AU86" i="3" s="1"/>
  <c r="AT90" i="3"/>
  <c r="AU90" i="3" s="1"/>
  <c r="T110" i="3"/>
  <c r="R110" i="3"/>
  <c r="Q110" i="3" s="1"/>
  <c r="AF93" i="3"/>
  <c r="AH93" i="3"/>
  <c r="AI93" i="3" s="1"/>
  <c r="AH101" i="3"/>
  <c r="AI101" i="3" s="1"/>
  <c r="AF101" i="3"/>
  <c r="T102" i="3"/>
  <c r="AR106" i="3"/>
  <c r="AH107" i="3"/>
  <c r="AI107" i="3" s="1"/>
  <c r="AF107" i="3"/>
  <c r="AT108" i="3"/>
  <c r="AU108" i="3" s="1"/>
  <c r="AF111" i="3"/>
  <c r="R112" i="3"/>
  <c r="Q112" i="3" s="1"/>
  <c r="AT112" i="3"/>
  <c r="AU112" i="3" s="1"/>
  <c r="AT117" i="3"/>
  <c r="AU117" i="3" s="1"/>
  <c r="AR117" i="3"/>
  <c r="T123" i="3"/>
  <c r="R123" i="3"/>
  <c r="Q123" i="3" s="1"/>
  <c r="R124" i="3"/>
  <c r="Q124" i="3" s="1"/>
  <c r="R127" i="3"/>
  <c r="Q127" i="3" s="1"/>
  <c r="T127" i="3"/>
  <c r="T128" i="3"/>
  <c r="R128" i="3"/>
  <c r="Q128" i="3" s="1"/>
  <c r="T168" i="3"/>
  <c r="R168" i="3"/>
  <c r="Q168" i="3" s="1"/>
  <c r="AR175" i="3"/>
  <c r="AT175" i="3"/>
  <c r="AU175" i="3" s="1"/>
  <c r="T179" i="3"/>
  <c r="R179" i="3"/>
  <c r="Q179" i="3" s="1"/>
  <c r="AR99" i="3"/>
  <c r="AF103" i="3"/>
  <c r="AR105" i="3"/>
  <c r="AB108" i="3"/>
  <c r="AB112" i="3"/>
  <c r="AR133" i="3"/>
  <c r="AT133" i="3"/>
  <c r="AU133" i="3" s="1"/>
  <c r="AR150" i="3"/>
  <c r="AT150" i="3"/>
  <c r="AU150" i="3" s="1"/>
  <c r="AH182" i="3"/>
  <c r="AI182" i="3" s="1"/>
  <c r="AF182" i="3"/>
  <c r="AH116" i="3"/>
  <c r="AI116" i="3" s="1"/>
  <c r="AF116" i="3"/>
  <c r="T118" i="3"/>
  <c r="R118" i="3"/>
  <c r="Q118" i="3" s="1"/>
  <c r="AF120" i="3"/>
  <c r="AH120" i="3"/>
  <c r="AI120" i="3" s="1"/>
  <c r="R131" i="3"/>
  <c r="Q131" i="3" s="1"/>
  <c r="T131" i="3"/>
  <c r="AT131" i="3"/>
  <c r="AU131" i="3" s="1"/>
  <c r="AR131" i="3"/>
  <c r="R178" i="3"/>
  <c r="Q178" i="3" s="1"/>
  <c r="T178" i="3"/>
  <c r="R104" i="3"/>
  <c r="Q104" i="3" s="1"/>
  <c r="AB107" i="3"/>
  <c r="AB118" i="3"/>
  <c r="AA123" i="3"/>
  <c r="T136" i="3"/>
  <c r="R136" i="3"/>
  <c r="Q136" i="3" s="1"/>
  <c r="AR146" i="3"/>
  <c r="AT146" i="3"/>
  <c r="AU146" i="3" s="1"/>
  <c r="AT102" i="3"/>
  <c r="AU102" i="3" s="1"/>
  <c r="AB109" i="3"/>
  <c r="AB113" i="3"/>
  <c r="AR113" i="3"/>
  <c r="AB148" i="3"/>
  <c r="R154" i="3"/>
  <c r="Q154" i="3" s="1"/>
  <c r="T154" i="3"/>
  <c r="AT160" i="3"/>
  <c r="AU160" i="3" s="1"/>
  <c r="AR160" i="3"/>
  <c r="R182" i="3"/>
  <c r="Q182" i="3" s="1"/>
  <c r="T182" i="3"/>
  <c r="T114" i="3"/>
  <c r="R114" i="3"/>
  <c r="Q114" i="3" s="1"/>
  <c r="AF124" i="3"/>
  <c r="AH124" i="3"/>
  <c r="AI124" i="3" s="1"/>
  <c r="R173" i="3"/>
  <c r="Q173" i="3" s="1"/>
  <c r="T173" i="3"/>
  <c r="T208" i="3"/>
  <c r="R208" i="3"/>
  <c r="Q208" i="3" s="1"/>
  <c r="AB120" i="3"/>
  <c r="T130" i="3"/>
  <c r="R130" i="3"/>
  <c r="Q130" i="3" s="1"/>
  <c r="AT138" i="3"/>
  <c r="AU138" i="3" s="1"/>
  <c r="AR138" i="3"/>
  <c r="AF118" i="3"/>
  <c r="AH118" i="3"/>
  <c r="AI118" i="3" s="1"/>
  <c r="AT121" i="3"/>
  <c r="AU121" i="3" s="1"/>
  <c r="AR121" i="3"/>
  <c r="T122" i="3"/>
  <c r="R122" i="3"/>
  <c r="Q122" i="3" s="1"/>
  <c r="T132" i="3"/>
  <c r="R132" i="3"/>
  <c r="Q132" i="3" s="1"/>
  <c r="T149" i="3"/>
  <c r="R149" i="3"/>
  <c r="Q149" i="3" s="1"/>
  <c r="AR207" i="3"/>
  <c r="AT207" i="3"/>
  <c r="AU207" i="3" s="1"/>
  <c r="R125" i="3"/>
  <c r="Q125" i="3" s="1"/>
  <c r="AA139" i="3"/>
  <c r="AC179" i="3"/>
  <c r="AD179" i="3" s="1"/>
  <c r="AA179" i="3"/>
  <c r="T188" i="3"/>
  <c r="R188" i="3"/>
  <c r="Q188" i="3" s="1"/>
  <c r="AH243" i="3"/>
  <c r="AI243" i="3" s="1"/>
  <c r="AF243" i="3"/>
  <c r="AR244" i="3"/>
  <c r="AT244" i="3"/>
  <c r="AU244" i="3" s="1"/>
  <c r="AF115" i="3"/>
  <c r="AB124" i="3"/>
  <c r="AB140" i="3"/>
  <c r="AB144" i="3"/>
  <c r="AH149" i="3"/>
  <c r="AI149" i="3" s="1"/>
  <c r="AF149" i="3"/>
  <c r="AH150" i="3"/>
  <c r="AI150" i="3" s="1"/>
  <c r="AF150" i="3"/>
  <c r="T157" i="3"/>
  <c r="R157" i="3"/>
  <c r="Q157" i="3" s="1"/>
  <c r="AR181" i="3"/>
  <c r="AB191" i="3"/>
  <c r="AB241" i="3"/>
  <c r="AB127" i="3"/>
  <c r="AB134" i="3"/>
  <c r="T138" i="3"/>
  <c r="R138" i="3"/>
  <c r="Q138" i="3" s="1"/>
  <c r="AT148" i="3"/>
  <c r="AU148" i="3" s="1"/>
  <c r="AR148" i="3"/>
  <c r="T185" i="3"/>
  <c r="R185" i="3"/>
  <c r="Q185" i="3" s="1"/>
  <c r="AB190" i="3"/>
  <c r="R205" i="3"/>
  <c r="Q205" i="3" s="1"/>
  <c r="T205" i="3"/>
  <c r="AT184" i="3"/>
  <c r="AU184" i="3" s="1"/>
  <c r="AR184" i="3"/>
  <c r="T139" i="3"/>
  <c r="R139" i="3"/>
  <c r="Q139" i="3" s="1"/>
  <c r="R150" i="3"/>
  <c r="Q150" i="3" s="1"/>
  <c r="AT151" i="3"/>
  <c r="AU151" i="3" s="1"/>
  <c r="AR151" i="3"/>
  <c r="T159" i="3"/>
  <c r="T163" i="3"/>
  <c r="AH170" i="3"/>
  <c r="AI170" i="3" s="1"/>
  <c r="AB183" i="3"/>
  <c r="AA204" i="3"/>
  <c r="AC204" i="3"/>
  <c r="AD204" i="3" s="1"/>
  <c r="AH229" i="3"/>
  <c r="AI229" i="3" s="1"/>
  <c r="T152" i="3"/>
  <c r="R152" i="3"/>
  <c r="Q152" i="3" s="1"/>
  <c r="R167" i="3"/>
  <c r="Q167" i="3" s="1"/>
  <c r="T167" i="3"/>
  <c r="AH189" i="3"/>
  <c r="AI189" i="3" s="1"/>
  <c r="AF189" i="3"/>
  <c r="T198" i="3"/>
  <c r="R198" i="3"/>
  <c r="Q198" i="3" s="1"/>
  <c r="AB210" i="3"/>
  <c r="AR220" i="3"/>
  <c r="AB158" i="3"/>
  <c r="R174" i="3"/>
  <c r="Q174" i="3" s="1"/>
  <c r="T174" i="3"/>
  <c r="R187" i="3"/>
  <c r="Q187" i="3" s="1"/>
  <c r="T187" i="3"/>
  <c r="AR135" i="3"/>
  <c r="AT137" i="3"/>
  <c r="AU137" i="3" s="1"/>
  <c r="AR137" i="3"/>
  <c r="AR149" i="3"/>
  <c r="AT152" i="3"/>
  <c r="AU152" i="3" s="1"/>
  <c r="AR152" i="3"/>
  <c r="AF158" i="3"/>
  <c r="AB163" i="3"/>
  <c r="AR168" i="3"/>
  <c r="T171" i="3"/>
  <c r="R171" i="3"/>
  <c r="Q171" i="3" s="1"/>
  <c r="AB173" i="3"/>
  <c r="AF183" i="3"/>
  <c r="T186" i="3"/>
  <c r="R186" i="3"/>
  <c r="Q186" i="3" s="1"/>
  <c r="T192" i="3"/>
  <c r="R192" i="3"/>
  <c r="Q192" i="3" s="1"/>
  <c r="T194" i="3"/>
  <c r="R194" i="3"/>
  <c r="Q194" i="3" s="1"/>
  <c r="AB202" i="3"/>
  <c r="AB209" i="3"/>
  <c r="T226" i="3"/>
  <c r="R226" i="3"/>
  <c r="Q226" i="3" s="1"/>
  <c r="AT260" i="3"/>
  <c r="AU260" i="3" s="1"/>
  <c r="AR260" i="3"/>
  <c r="AT136" i="3"/>
  <c r="AU136" i="3" s="1"/>
  <c r="R140" i="3"/>
  <c r="Q140" i="3" s="1"/>
  <c r="AH148" i="3"/>
  <c r="AI148" i="3" s="1"/>
  <c r="R158" i="3"/>
  <c r="Q158" i="3" s="1"/>
  <c r="T177" i="3"/>
  <c r="AR186" i="3"/>
  <c r="AT186" i="3"/>
  <c r="AU186" i="3" s="1"/>
  <c r="AC197" i="3"/>
  <c r="AD197" i="3" s="1"/>
  <c r="AA197" i="3"/>
  <c r="T217" i="3"/>
  <c r="R217" i="3"/>
  <c r="Q217" i="3" s="1"/>
  <c r="R225" i="3"/>
  <c r="Q225" i="3" s="1"/>
  <c r="T225" i="3"/>
  <c r="T253" i="3"/>
  <c r="R253" i="3"/>
  <c r="Q253" i="3" s="1"/>
  <c r="AB141" i="3"/>
  <c r="AB145" i="3"/>
  <c r="T151" i="3"/>
  <c r="AB155" i="3"/>
  <c r="T175" i="3"/>
  <c r="R175" i="3"/>
  <c r="Q175" i="3" s="1"/>
  <c r="AB177" i="3"/>
  <c r="R183" i="3"/>
  <c r="Q183" i="3" s="1"/>
  <c r="AH205" i="3"/>
  <c r="AI205" i="3" s="1"/>
  <c r="T206" i="3"/>
  <c r="R206" i="3"/>
  <c r="Q206" i="3" s="1"/>
  <c r="AF212" i="3"/>
  <c r="AR217" i="3"/>
  <c r="AR190" i="3"/>
  <c r="AT190" i="3"/>
  <c r="AU190" i="3" s="1"/>
  <c r="R191" i="3"/>
  <c r="Q191" i="3" s="1"/>
  <c r="T191" i="3"/>
  <c r="AR199" i="3"/>
  <c r="AB206" i="3"/>
  <c r="T213" i="3"/>
  <c r="R213" i="3"/>
  <c r="Q213" i="3" s="1"/>
  <c r="AR228" i="3"/>
  <c r="AT228" i="3"/>
  <c r="AU228" i="3" s="1"/>
  <c r="R249" i="3"/>
  <c r="Q249" i="3" s="1"/>
  <c r="T249" i="3"/>
  <c r="AB198" i="3"/>
  <c r="AB205" i="3"/>
  <c r="T193" i="3"/>
  <c r="T202" i="3"/>
  <c r="R202" i="3"/>
  <c r="Q202" i="3" s="1"/>
  <c r="T212" i="3"/>
  <c r="T220" i="3"/>
  <c r="R220" i="3"/>
  <c r="Q220" i="3" s="1"/>
  <c r="AH247" i="3"/>
  <c r="AI247" i="3" s="1"/>
  <c r="AF247" i="3"/>
  <c r="AT256" i="3"/>
  <c r="AU256" i="3" s="1"/>
  <c r="AR256" i="3"/>
  <c r="AB189" i="3"/>
  <c r="T210" i="3"/>
  <c r="R210" i="3"/>
  <c r="Q210" i="3" s="1"/>
  <c r="AR236" i="3"/>
  <c r="AT236" i="3"/>
  <c r="AU236" i="3" s="1"/>
  <c r="AF255" i="3"/>
  <c r="AH255" i="3"/>
  <c r="AI255" i="3" s="1"/>
  <c r="AR229" i="3"/>
  <c r="AB233" i="3"/>
  <c r="T234" i="3"/>
  <c r="R234" i="3"/>
  <c r="Q234" i="3" s="1"/>
  <c r="AR219" i="3"/>
  <c r="AF222" i="3"/>
  <c r="AB226" i="3"/>
  <c r="AF227" i="3"/>
  <c r="R228" i="3"/>
  <c r="Q228" i="3" s="1"/>
  <c r="AB234" i="3"/>
  <c r="T252" i="3"/>
  <c r="R252" i="3"/>
  <c r="Q252" i="3" s="1"/>
  <c r="T263" i="3"/>
  <c r="R263" i="3"/>
  <c r="Q263" i="3" s="1"/>
  <c r="AB270" i="3"/>
  <c r="AT290" i="3"/>
  <c r="AU290" i="3" s="1"/>
  <c r="AB222" i="3"/>
  <c r="AT224" i="3"/>
  <c r="AU224" i="3" s="1"/>
  <c r="AR225" i="3"/>
  <c r="R230" i="3"/>
  <c r="Q230" i="3" s="1"/>
  <c r="AB239" i="3"/>
  <c r="T242" i="3"/>
  <c r="R242" i="3"/>
  <c r="Q242" i="3" s="1"/>
  <c r="T244" i="3"/>
  <c r="R244" i="3"/>
  <c r="Q244" i="3" s="1"/>
  <c r="T266" i="3"/>
  <c r="R266" i="3"/>
  <c r="Q266" i="3" s="1"/>
  <c r="T238" i="3"/>
  <c r="R238" i="3"/>
  <c r="Q238" i="3" s="1"/>
  <c r="T240" i="3"/>
  <c r="R240" i="3"/>
  <c r="Q240" i="3" s="1"/>
  <c r="AB245" i="3"/>
  <c r="AR237" i="3"/>
  <c r="AF240" i="3"/>
  <c r="AR241" i="3"/>
  <c r="AF244" i="3"/>
  <c r="AR245" i="3"/>
  <c r="AF248" i="3"/>
  <c r="AB252" i="3"/>
  <c r="R257" i="3"/>
  <c r="Q257" i="3" s="1"/>
  <c r="AB266" i="3"/>
  <c r="AR267" i="3"/>
  <c r="T297" i="3"/>
  <c r="R297" i="3"/>
  <c r="Q297" i="3" s="1"/>
  <c r="T340" i="3"/>
  <c r="R340" i="3"/>
  <c r="Q340" i="3" s="1"/>
  <c r="AF258" i="3"/>
  <c r="R261" i="3"/>
  <c r="Q261" i="3" s="1"/>
  <c r="T271" i="3"/>
  <c r="R271" i="3"/>
  <c r="Q271" i="3" s="1"/>
  <c r="T301" i="3"/>
  <c r="R301" i="3"/>
  <c r="Q301" i="3" s="1"/>
  <c r="R248" i="3"/>
  <c r="Q248" i="3" s="1"/>
  <c r="T254" i="3"/>
  <c r="T256" i="3"/>
  <c r="R256" i="3"/>
  <c r="Q256" i="3" s="1"/>
  <c r="AH270" i="3"/>
  <c r="AI270" i="3" s="1"/>
  <c r="AR294" i="3"/>
  <c r="AT294" i="3"/>
  <c r="AU294" i="3" s="1"/>
  <c r="AR249" i="3"/>
  <c r="AT250" i="3"/>
  <c r="AU250" i="3" s="1"/>
  <c r="AF251" i="3"/>
  <c r="T255" i="3"/>
  <c r="R255" i="3"/>
  <c r="Q255" i="3" s="1"/>
  <c r="T260" i="3"/>
  <c r="R260" i="3"/>
  <c r="Q260" i="3" s="1"/>
  <c r="AT261" i="3"/>
  <c r="AU261" i="3" s="1"/>
  <c r="AH263" i="3"/>
  <c r="AI263" i="3" s="1"/>
  <c r="R278" i="3"/>
  <c r="Q278" i="3" s="1"/>
  <c r="AT325" i="3"/>
  <c r="AU325" i="3" s="1"/>
  <c r="AR325" i="3"/>
  <c r="AB248" i="3"/>
  <c r="AB255" i="3"/>
  <c r="T264" i="3"/>
  <c r="R264" i="3"/>
  <c r="Q264" i="3" s="1"/>
  <c r="T274" i="3"/>
  <c r="R274" i="3"/>
  <c r="Q274" i="3" s="1"/>
  <c r="R275" i="3"/>
  <c r="Q275" i="3" s="1"/>
  <c r="T282" i="3"/>
  <c r="R282" i="3"/>
  <c r="Q282" i="3" s="1"/>
  <c r="R283" i="3"/>
  <c r="Q283" i="3" s="1"/>
  <c r="AF292" i="3"/>
  <c r="T259" i="3"/>
  <c r="R259" i="3"/>
  <c r="Q259" i="3" s="1"/>
  <c r="T262" i="3"/>
  <c r="T267" i="3"/>
  <c r="R267" i="3"/>
  <c r="Q267" i="3" s="1"/>
  <c r="T270" i="3"/>
  <c r="R270" i="3"/>
  <c r="Q270" i="3" s="1"/>
  <c r="AB287" i="3"/>
  <c r="R291" i="3"/>
  <c r="Q291" i="3" s="1"/>
  <c r="T291" i="3"/>
  <c r="AH297" i="3"/>
  <c r="AI297" i="3" s="1"/>
  <c r="AF297" i="3"/>
  <c r="T295" i="3"/>
  <c r="R295" i="3"/>
  <c r="Q295" i="3" s="1"/>
  <c r="AR310" i="3"/>
  <c r="AT310" i="3"/>
  <c r="AU310" i="3" s="1"/>
  <c r="AR318" i="3"/>
  <c r="AT318" i="3"/>
  <c r="AU318" i="3" s="1"/>
  <c r="AF257" i="3"/>
  <c r="AR259" i="3"/>
  <c r="AF261" i="3"/>
  <c r="AR263" i="3"/>
  <c r="AF265" i="3"/>
  <c r="AR266" i="3"/>
  <c r="AF268" i="3"/>
  <c r="AR270" i="3"/>
  <c r="AF272" i="3"/>
  <c r="AR277" i="3"/>
  <c r="AF280" i="3"/>
  <c r="AR285" i="3"/>
  <c r="AF289" i="3"/>
  <c r="AB292" i="3"/>
  <c r="T310" i="3"/>
  <c r="R310" i="3"/>
  <c r="Q310" i="3" s="1"/>
  <c r="T344" i="3"/>
  <c r="R290" i="3"/>
  <c r="Q290" i="3" s="1"/>
  <c r="R298" i="3"/>
  <c r="Q298" i="3" s="1"/>
  <c r="T298" i="3"/>
  <c r="AA341" i="3"/>
  <c r="AC341" i="3"/>
  <c r="AD341" i="3" s="1"/>
  <c r="AH273" i="3"/>
  <c r="AI273" i="3" s="1"/>
  <c r="AT275" i="3"/>
  <c r="AU275" i="3" s="1"/>
  <c r="T280" i="3"/>
  <c r="R281" i="3"/>
  <c r="Q281" i="3" s="1"/>
  <c r="AH281" i="3"/>
  <c r="AI281" i="3" s="1"/>
  <c r="AT283" i="3"/>
  <c r="AU283" i="3" s="1"/>
  <c r="AF296" i="3"/>
  <c r="AR299" i="3"/>
  <c r="AF306" i="3"/>
  <c r="AH306" i="3"/>
  <c r="AI306" i="3" s="1"/>
  <c r="AB280" i="3"/>
  <c r="R294" i="3"/>
  <c r="Q294" i="3" s="1"/>
  <c r="AB296" i="3"/>
  <c r="AH302" i="3"/>
  <c r="AI302" i="3" s="1"/>
  <c r="AF302" i="3"/>
  <c r="AF303" i="3"/>
  <c r="AH303" i="3"/>
  <c r="AI303" i="3" s="1"/>
  <c r="T306" i="3"/>
  <c r="R306" i="3"/>
  <c r="Q306" i="3" s="1"/>
  <c r="T312" i="3"/>
  <c r="R312" i="3"/>
  <c r="Q312" i="3" s="1"/>
  <c r="AR339" i="3"/>
  <c r="T303" i="3"/>
  <c r="R303" i="3"/>
  <c r="Q303" i="3" s="1"/>
  <c r="T320" i="3"/>
  <c r="R320" i="3"/>
  <c r="Q320" i="3" s="1"/>
  <c r="AF324" i="3"/>
  <c r="AH324" i="3"/>
  <c r="AI324" i="3" s="1"/>
  <c r="T335" i="3"/>
  <c r="R335" i="3"/>
  <c r="Q335" i="3" s="1"/>
  <c r="AT298" i="3"/>
  <c r="AU298" i="3" s="1"/>
  <c r="AR298" i="3"/>
  <c r="R302" i="3"/>
  <c r="Q302" i="3" s="1"/>
  <c r="T302" i="3"/>
  <c r="R305" i="3"/>
  <c r="Q305" i="3" s="1"/>
  <c r="T305" i="3"/>
  <c r="R307" i="3"/>
  <c r="Q307" i="3" s="1"/>
  <c r="AR314" i="3"/>
  <c r="AT314" i="3"/>
  <c r="AU314" i="3" s="1"/>
  <c r="T314" i="3"/>
  <c r="R314" i="3"/>
  <c r="Q314" i="3" s="1"/>
  <c r="T324" i="3"/>
  <c r="R324" i="3"/>
  <c r="Q324" i="3" s="1"/>
  <c r="AB338" i="3"/>
  <c r="R346" i="3"/>
  <c r="Q346" i="3" s="1"/>
  <c r="T346" i="3"/>
  <c r="AB300" i="3"/>
  <c r="T316" i="3"/>
  <c r="R316" i="3"/>
  <c r="Q316" i="3" s="1"/>
  <c r="AB328" i="3"/>
  <c r="AB334" i="3"/>
  <c r="T341" i="3"/>
  <c r="AH304" i="3"/>
  <c r="AI304" i="3" s="1"/>
  <c r="AF304" i="3"/>
  <c r="AF305" i="3"/>
  <c r="AH307" i="3"/>
  <c r="AI307" i="3" s="1"/>
  <c r="AF307" i="3"/>
  <c r="R308" i="3"/>
  <c r="Q308" i="3" s="1"/>
  <c r="AF308" i="3"/>
  <c r="AF312" i="3"/>
  <c r="AF316" i="3"/>
  <c r="AF320" i="3"/>
  <c r="R333" i="3"/>
  <c r="Q333" i="3" s="1"/>
  <c r="AR340" i="3"/>
  <c r="AR303" i="3"/>
  <c r="AR306" i="3"/>
  <c r="AR328" i="3"/>
  <c r="R336" i="3"/>
  <c r="Q336" i="3" s="1"/>
  <c r="AB342" i="3"/>
  <c r="AT347" i="3"/>
  <c r="AU347" i="3" s="1"/>
  <c r="AR347" i="3"/>
  <c r="T311" i="3"/>
  <c r="R311" i="3"/>
  <c r="Q311" i="3" s="1"/>
  <c r="T315" i="3"/>
  <c r="R315" i="3"/>
  <c r="Q315" i="3" s="1"/>
  <c r="R318" i="3"/>
  <c r="Q318" i="3" s="1"/>
  <c r="T319" i="3"/>
  <c r="R319" i="3"/>
  <c r="Q319" i="3" s="1"/>
  <c r="T321" i="3"/>
  <c r="R321" i="3"/>
  <c r="Q321" i="3" s="1"/>
  <c r="R325" i="3"/>
  <c r="Q325" i="3" s="1"/>
  <c r="AF326" i="3"/>
  <c r="AR343" i="3"/>
  <c r="AT302" i="3"/>
  <c r="AU302" i="3" s="1"/>
  <c r="AR302" i="3"/>
  <c r="AT305" i="3"/>
  <c r="AU305" i="3" s="1"/>
  <c r="AR305" i="3"/>
  <c r="AB311" i="3"/>
  <c r="AB315" i="3"/>
  <c r="AB319" i="3"/>
  <c r="T339" i="3"/>
  <c r="R339" i="3"/>
  <c r="Q339" i="3" s="1"/>
  <c r="AB343" i="3"/>
  <c r="AB323" i="3"/>
  <c r="AB331" i="3"/>
  <c r="T347" i="3"/>
  <c r="R347" i="3"/>
  <c r="Q347" i="3" s="1"/>
  <c r="AR329" i="3"/>
  <c r="AR344" i="3"/>
  <c r="AT322" i="3"/>
  <c r="AU322" i="3" s="1"/>
  <c r="AB330" i="3"/>
  <c r="T338" i="3"/>
  <c r="R343" i="3"/>
  <c r="Q343" i="3" s="1"/>
  <c r="AB345" i="3"/>
  <c r="AC187" i="3" l="1"/>
  <c r="AD187" i="3" s="1"/>
  <c r="AC221" i="3"/>
  <c r="AD221" i="3" s="1"/>
  <c r="AA8" i="3"/>
  <c r="BH230" i="3"/>
  <c r="BI230" i="3" s="1"/>
  <c r="BB230" i="3" s="1"/>
  <c r="AC327" i="3"/>
  <c r="AD327" i="3" s="1"/>
  <c r="BH327" i="3" s="1"/>
  <c r="BI327" i="3" s="1"/>
  <c r="BB327" i="3" s="1"/>
  <c r="BF327" i="3" s="1"/>
  <c r="AA168" i="3"/>
  <c r="AA336" i="3"/>
  <c r="BF336" i="3" s="1"/>
  <c r="AA291" i="3"/>
  <c r="AA316" i="3"/>
  <c r="BH154" i="3"/>
  <c r="BI154" i="3" s="1"/>
  <c r="BB154" i="3" s="1"/>
  <c r="BF154" i="3" s="1"/>
  <c r="AA172" i="3"/>
  <c r="AA135" i="3"/>
  <c r="AC195" i="3"/>
  <c r="AD195" i="3" s="1"/>
  <c r="BH195" i="3" s="1"/>
  <c r="BI195" i="3" s="1"/>
  <c r="BB195" i="3" s="1"/>
  <c r="BF195" i="3" s="1"/>
  <c r="BH286" i="3"/>
  <c r="BI286" i="3" s="1"/>
  <c r="BB286" i="3" s="1"/>
  <c r="BH223" i="3"/>
  <c r="BI223" i="3" s="1"/>
  <c r="BB223" i="3" s="1"/>
  <c r="AA93" i="3"/>
  <c r="AC295" i="3"/>
  <c r="AD295" i="3" s="1"/>
  <c r="BH295" i="3" s="1"/>
  <c r="BI295" i="3" s="1"/>
  <c r="BB295" i="3" s="1"/>
  <c r="BF295" i="3" s="1"/>
  <c r="AA302" i="3"/>
  <c r="AA286" i="3"/>
  <c r="AC212" i="3"/>
  <c r="AD212" i="3" s="1"/>
  <c r="BH212" i="3" s="1"/>
  <c r="BI212" i="3" s="1"/>
  <c r="BB212" i="3" s="1"/>
  <c r="BF212" i="3" s="1"/>
  <c r="AA303" i="3"/>
  <c r="AA78" i="3"/>
  <c r="AC214" i="3"/>
  <c r="AD214" i="3" s="1"/>
  <c r="BH214" i="3" s="1"/>
  <c r="BI214" i="3" s="1"/>
  <c r="BB214" i="3" s="1"/>
  <c r="BF214" i="3" s="1"/>
  <c r="AC133" i="3"/>
  <c r="AD133" i="3" s="1"/>
  <c r="BH133" i="3" s="1"/>
  <c r="BI133" i="3" s="1"/>
  <c r="BB133" i="3" s="1"/>
  <c r="BF133" i="3" s="1"/>
  <c r="AA23" i="3"/>
  <c r="AA85" i="3"/>
  <c r="AA240" i="3"/>
  <c r="AA84" i="3"/>
  <c r="AA249" i="3"/>
  <c r="BH57" i="3"/>
  <c r="BI57" i="3" s="1"/>
  <c r="BB57" i="3" s="1"/>
  <c r="AC88" i="3"/>
  <c r="AD88" i="3" s="1"/>
  <c r="BH88" i="3" s="1"/>
  <c r="BI88" i="3" s="1"/>
  <c r="BB88" i="3" s="1"/>
  <c r="BF88" i="3" s="1"/>
  <c r="AA285" i="3"/>
  <c r="AA62" i="3"/>
  <c r="AA76" i="3"/>
  <c r="AA60" i="3"/>
  <c r="AA254" i="3"/>
  <c r="AC82" i="3"/>
  <c r="AD82" i="3" s="1"/>
  <c r="BH82" i="3" s="1"/>
  <c r="BI82" i="3" s="1"/>
  <c r="BB82" i="3" s="1"/>
  <c r="BF82" i="3" s="1"/>
  <c r="AC237" i="3"/>
  <c r="AD237" i="3" s="1"/>
  <c r="BH237" i="3" s="1"/>
  <c r="BI237" i="3" s="1"/>
  <c r="BB237" i="3" s="1"/>
  <c r="BF237" i="3" s="1"/>
  <c r="AA159" i="3"/>
  <c r="BH349" i="3"/>
  <c r="BI349" i="3" s="1"/>
  <c r="BB349" i="3" s="1"/>
  <c r="AA216" i="3"/>
  <c r="BH31" i="3"/>
  <c r="BI31" i="3" s="1"/>
  <c r="BB31" i="3" s="1"/>
  <c r="AA304" i="3"/>
  <c r="AA256" i="3"/>
  <c r="AC307" i="3"/>
  <c r="AD307" i="3" s="1"/>
  <c r="BH307" i="3" s="1"/>
  <c r="BI307" i="3" s="1"/>
  <c r="BB307" i="3" s="1"/>
  <c r="BF307" i="3" s="1"/>
  <c r="AC29" i="3"/>
  <c r="AD29" i="3" s="1"/>
  <c r="BH29" i="3" s="1"/>
  <c r="BI29" i="3" s="1"/>
  <c r="BB29" i="3" s="1"/>
  <c r="BF29" i="3" s="1"/>
  <c r="AA348" i="3"/>
  <c r="AA223" i="3"/>
  <c r="AC5" i="3"/>
  <c r="AD5" i="3" s="1"/>
  <c r="BH5" i="3" s="1"/>
  <c r="BI5" i="3" s="1"/>
  <c r="BB5" i="3" s="1"/>
  <c r="BF5" i="3" s="1"/>
  <c r="BH45" i="3"/>
  <c r="BI45" i="3" s="1"/>
  <c r="BB45" i="3" s="1"/>
  <c r="BH8" i="3"/>
  <c r="BI8" i="3" s="1"/>
  <c r="BB8" i="3" s="1"/>
  <c r="BF8" i="3" s="1"/>
  <c r="AC86" i="3"/>
  <c r="AD86" i="3" s="1"/>
  <c r="BH86" i="3" s="1"/>
  <c r="BI86" i="3" s="1"/>
  <c r="BB86" i="3" s="1"/>
  <c r="BF86" i="3" s="1"/>
  <c r="AA51" i="3"/>
  <c r="AA71" i="3"/>
  <c r="AA253" i="3"/>
  <c r="AA7" i="3"/>
  <c r="AA347" i="3"/>
  <c r="AA70" i="3"/>
  <c r="AC126" i="3"/>
  <c r="AD126" i="3" s="1"/>
  <c r="BH126" i="3" s="1"/>
  <c r="BI126" i="3" s="1"/>
  <c r="BB126" i="3" s="1"/>
  <c r="BF126" i="3" s="1"/>
  <c r="BH135" i="3"/>
  <c r="BI135" i="3" s="1"/>
  <c r="BB135" i="3" s="1"/>
  <c r="AC306" i="3"/>
  <c r="AD306" i="3" s="1"/>
  <c r="BH306" i="3" s="1"/>
  <c r="BI306" i="3" s="1"/>
  <c r="BB306" i="3" s="1"/>
  <c r="BF306" i="3" s="1"/>
  <c r="AA83" i="3"/>
  <c r="AA340" i="3"/>
  <c r="AC170" i="3"/>
  <c r="AD170" i="3" s="1"/>
  <c r="BH170" i="3" s="1"/>
  <c r="BI170" i="3" s="1"/>
  <c r="BB170" i="3" s="1"/>
  <c r="BF170" i="3" s="1"/>
  <c r="AA55" i="3"/>
  <c r="AA149" i="3"/>
  <c r="AA21" i="3"/>
  <c r="BF21" i="3" s="1"/>
  <c r="BH325" i="3"/>
  <c r="BI325" i="3" s="1"/>
  <c r="BB325" i="3" s="1"/>
  <c r="BH238" i="3"/>
  <c r="BI238" i="3" s="1"/>
  <c r="BB238" i="3" s="1"/>
  <c r="AA238" i="3"/>
  <c r="AC192" i="3"/>
  <c r="AD192" i="3" s="1"/>
  <c r="BH192" i="3" s="1"/>
  <c r="BI192" i="3" s="1"/>
  <c r="BB192" i="3" s="1"/>
  <c r="BF192" i="3" s="1"/>
  <c r="AA235" i="3"/>
  <c r="BF235" i="3" s="1"/>
  <c r="BH60" i="3"/>
  <c r="BI60" i="3" s="1"/>
  <c r="BB60" i="3" s="1"/>
  <c r="AA349" i="3"/>
  <c r="AA117" i="3"/>
  <c r="BH344" i="3"/>
  <c r="BI344" i="3" s="1"/>
  <c r="BB344" i="3" s="1"/>
  <c r="AA264" i="3"/>
  <c r="AA193" i="3"/>
  <c r="AA344" i="3"/>
  <c r="BH193" i="3"/>
  <c r="BI193" i="3" s="1"/>
  <c r="BB193" i="3" s="1"/>
  <c r="AA12" i="3"/>
  <c r="AA199" i="3"/>
  <c r="BF199" i="3" s="1"/>
  <c r="BH27" i="3"/>
  <c r="BI27" i="3" s="1"/>
  <c r="BB27" i="3" s="1"/>
  <c r="AC320" i="3"/>
  <c r="AD320" i="3" s="1"/>
  <c r="BH320" i="3" s="1"/>
  <c r="BI320" i="3" s="1"/>
  <c r="BB320" i="3" s="1"/>
  <c r="BF320" i="3" s="1"/>
  <c r="AA294" i="3"/>
  <c r="BH294" i="3"/>
  <c r="BI294" i="3" s="1"/>
  <c r="BB294" i="3" s="1"/>
  <c r="AC275" i="3"/>
  <c r="AD275" i="3" s="1"/>
  <c r="BH275" i="3" s="1"/>
  <c r="BI275" i="3" s="1"/>
  <c r="BB275" i="3" s="1"/>
  <c r="BF275" i="3" s="1"/>
  <c r="AC176" i="3"/>
  <c r="AD176" i="3" s="1"/>
  <c r="BH176" i="3" s="1"/>
  <c r="BI176" i="3" s="1"/>
  <c r="BB176" i="3" s="1"/>
  <c r="BF176" i="3" s="1"/>
  <c r="AA251" i="3"/>
  <c r="AC186" i="3"/>
  <c r="AD186" i="3" s="1"/>
  <c r="BH186" i="3" s="1"/>
  <c r="BI186" i="3" s="1"/>
  <c r="BB186" i="3" s="1"/>
  <c r="BF186" i="3" s="1"/>
  <c r="AA46" i="3"/>
  <c r="AA6" i="3"/>
  <c r="AC130" i="3"/>
  <c r="AD130" i="3" s="1"/>
  <c r="BH130" i="3" s="1"/>
  <c r="BI130" i="3" s="1"/>
  <c r="BB130" i="3" s="1"/>
  <c r="BF130" i="3" s="1"/>
  <c r="AC106" i="3"/>
  <c r="AD106" i="3" s="1"/>
  <c r="BH106" i="3" s="1"/>
  <c r="BI106" i="3" s="1"/>
  <c r="BB106" i="3" s="1"/>
  <c r="BF106" i="3" s="1"/>
  <c r="AA45" i="3"/>
  <c r="AC66" i="3"/>
  <c r="AD66" i="3" s="1"/>
  <c r="BH66" i="3" s="1"/>
  <c r="BI66" i="3" s="1"/>
  <c r="BB66" i="3" s="1"/>
  <c r="BF66" i="3" s="1"/>
  <c r="AA27" i="3"/>
  <c r="BH251" i="3"/>
  <c r="BI251" i="3" s="1"/>
  <c r="BB251" i="3" s="1"/>
  <c r="AA217" i="3"/>
  <c r="BH348" i="3"/>
  <c r="BI348" i="3" s="1"/>
  <c r="BB348" i="3" s="1"/>
  <c r="AC312" i="3"/>
  <c r="AD312" i="3" s="1"/>
  <c r="BH312" i="3" s="1"/>
  <c r="BI312" i="3" s="1"/>
  <c r="BB312" i="3" s="1"/>
  <c r="BF312" i="3" s="1"/>
  <c r="AA337" i="3"/>
  <c r="BH240" i="3"/>
  <c r="BI240" i="3" s="1"/>
  <c r="BB240" i="3" s="1"/>
  <c r="AA200" i="3"/>
  <c r="AA194" i="3"/>
  <c r="AC147" i="3"/>
  <c r="AD147" i="3" s="1"/>
  <c r="BH147" i="3" s="1"/>
  <c r="BI147" i="3" s="1"/>
  <c r="BB147" i="3" s="1"/>
  <c r="BF147" i="3" s="1"/>
  <c r="BH43" i="3"/>
  <c r="BI43" i="3" s="1"/>
  <c r="BB43" i="3" s="1"/>
  <c r="BF43" i="3" s="1"/>
  <c r="AC53" i="3"/>
  <c r="AD53" i="3" s="1"/>
  <c r="BH53" i="3" s="1"/>
  <c r="BI53" i="3" s="1"/>
  <c r="BB53" i="3" s="1"/>
  <c r="BF53" i="3" s="1"/>
  <c r="AC20" i="3"/>
  <c r="AD20" i="3" s="1"/>
  <c r="BH20" i="3" s="1"/>
  <c r="BI20" i="3" s="1"/>
  <c r="BB20" i="3" s="1"/>
  <c r="BF20" i="3" s="1"/>
  <c r="BH71" i="3"/>
  <c r="BI71" i="3" s="1"/>
  <c r="BB71" i="3" s="1"/>
  <c r="AC326" i="3"/>
  <c r="AD326" i="3" s="1"/>
  <c r="BH326" i="3" s="1"/>
  <c r="BI326" i="3" s="1"/>
  <c r="BB326" i="3" s="1"/>
  <c r="BF326" i="3" s="1"/>
  <c r="AA165" i="3"/>
  <c r="AA68" i="3"/>
  <c r="BH219" i="3"/>
  <c r="BI219" i="3" s="1"/>
  <c r="BB219" i="3" s="1"/>
  <c r="AA310" i="3"/>
  <c r="AC299" i="3"/>
  <c r="AD299" i="3" s="1"/>
  <c r="BH299" i="3" s="1"/>
  <c r="BI299" i="3" s="1"/>
  <c r="BB299" i="3" s="1"/>
  <c r="BF299" i="3" s="1"/>
  <c r="AA89" i="3"/>
  <c r="BH65" i="3"/>
  <c r="BI65" i="3" s="1"/>
  <c r="BB65" i="3" s="1"/>
  <c r="BH197" i="3"/>
  <c r="BI197" i="3" s="1"/>
  <c r="BB197" i="3" s="1"/>
  <c r="BF197" i="3" s="1"/>
  <c r="BH157" i="3"/>
  <c r="BI157" i="3" s="1"/>
  <c r="BB157" i="3" s="1"/>
  <c r="BH121" i="3"/>
  <c r="BI121" i="3" s="1"/>
  <c r="BB121" i="3" s="1"/>
  <c r="AA74" i="3"/>
  <c r="AA63" i="3"/>
  <c r="AC232" i="3"/>
  <c r="AD232" i="3" s="1"/>
  <c r="BH232" i="3" s="1"/>
  <c r="BI232" i="3" s="1"/>
  <c r="BB232" i="3" s="1"/>
  <c r="BF232" i="3" s="1"/>
  <c r="BH47" i="3"/>
  <c r="BI47" i="3" s="1"/>
  <c r="BB47" i="3" s="1"/>
  <c r="AC242" i="3"/>
  <c r="AD242" i="3" s="1"/>
  <c r="BH242" i="3" s="1"/>
  <c r="BI242" i="3" s="1"/>
  <c r="BB242" i="3" s="1"/>
  <c r="BF242" i="3" s="1"/>
  <c r="BH76" i="3"/>
  <c r="BI76" i="3" s="1"/>
  <c r="BB76" i="3" s="1"/>
  <c r="AC308" i="3"/>
  <c r="AD308" i="3" s="1"/>
  <c r="BH308" i="3" s="1"/>
  <c r="BI308" i="3" s="1"/>
  <c r="BB308" i="3" s="1"/>
  <c r="BF308" i="3" s="1"/>
  <c r="BH285" i="3"/>
  <c r="BI285" i="3" s="1"/>
  <c r="BB285" i="3" s="1"/>
  <c r="AC90" i="3"/>
  <c r="AD90" i="3" s="1"/>
  <c r="BH90" i="3" s="1"/>
  <c r="BI90" i="3" s="1"/>
  <c r="BB90" i="3" s="1"/>
  <c r="BF90" i="3" s="1"/>
  <c r="AA121" i="3"/>
  <c r="AA47" i="3"/>
  <c r="AA31" i="3"/>
  <c r="AC129" i="3"/>
  <c r="AD129" i="3" s="1"/>
  <c r="BH129" i="3" s="1"/>
  <c r="BI129" i="3" s="1"/>
  <c r="BB129" i="3" s="1"/>
  <c r="BF129" i="3" s="1"/>
  <c r="AC257" i="3"/>
  <c r="AD257" i="3" s="1"/>
  <c r="BH257" i="3" s="1"/>
  <c r="BI257" i="3" s="1"/>
  <c r="BB257" i="3" s="1"/>
  <c r="BF257" i="3" s="1"/>
  <c r="AC111" i="3"/>
  <c r="AD111" i="3" s="1"/>
  <c r="BH111" i="3" s="1"/>
  <c r="BI111" i="3" s="1"/>
  <c r="BB111" i="3" s="1"/>
  <c r="BF111" i="3" s="1"/>
  <c r="BH23" i="3"/>
  <c r="BI23" i="3" s="1"/>
  <c r="BB23" i="3" s="1"/>
  <c r="AC128" i="3"/>
  <c r="AD128" i="3" s="1"/>
  <c r="BH128" i="3" s="1"/>
  <c r="BI128" i="3" s="1"/>
  <c r="BB128" i="3" s="1"/>
  <c r="BF128" i="3" s="1"/>
  <c r="BH276" i="3"/>
  <c r="BI276" i="3" s="1"/>
  <c r="BB276" i="3" s="1"/>
  <c r="BH265" i="3"/>
  <c r="BI265" i="3" s="1"/>
  <c r="BB265" i="3" s="1"/>
  <c r="AA48" i="3"/>
  <c r="AA220" i="3"/>
  <c r="BH164" i="3"/>
  <c r="BI164" i="3" s="1"/>
  <c r="BB164" i="3" s="1"/>
  <c r="AA11" i="3"/>
  <c r="BF11" i="3" s="1"/>
  <c r="BH64" i="3"/>
  <c r="BI64" i="3" s="1"/>
  <c r="BB64" i="3" s="1"/>
  <c r="AC321" i="3"/>
  <c r="AD321" i="3" s="1"/>
  <c r="BH321" i="3" s="1"/>
  <c r="BI321" i="3" s="1"/>
  <c r="BB321" i="3" s="1"/>
  <c r="BF321" i="3" s="1"/>
  <c r="AA265" i="3"/>
  <c r="BH220" i="3"/>
  <c r="BI220" i="3" s="1"/>
  <c r="BB220" i="3" s="1"/>
  <c r="AC153" i="3"/>
  <c r="AD153" i="3" s="1"/>
  <c r="BH153" i="3" s="1"/>
  <c r="BI153" i="3" s="1"/>
  <c r="BB153" i="3" s="1"/>
  <c r="BF153" i="3" s="1"/>
  <c r="AA116" i="3"/>
  <c r="BH117" i="3"/>
  <c r="BI117" i="3" s="1"/>
  <c r="BB117" i="3" s="1"/>
  <c r="AC92" i="3"/>
  <c r="AD92" i="3" s="1"/>
  <c r="BH92" i="3" s="1"/>
  <c r="BI92" i="3" s="1"/>
  <c r="BB92" i="3" s="1"/>
  <c r="BF92" i="3" s="1"/>
  <c r="AA268" i="3"/>
  <c r="BH165" i="3"/>
  <c r="BI165" i="3" s="1"/>
  <c r="BB165" i="3" s="1"/>
  <c r="AA33" i="3"/>
  <c r="AA313" i="3"/>
  <c r="AC288" i="3"/>
  <c r="AD288" i="3" s="1"/>
  <c r="BH288" i="3" s="1"/>
  <c r="BI288" i="3" s="1"/>
  <c r="BB288" i="3" s="1"/>
  <c r="BF288" i="3" s="1"/>
  <c r="AC231" i="3"/>
  <c r="AD231" i="3" s="1"/>
  <c r="BH231" i="3" s="1"/>
  <c r="BI231" i="3" s="1"/>
  <c r="BB231" i="3" s="1"/>
  <c r="BF231" i="3" s="1"/>
  <c r="AA157" i="3"/>
  <c r="BH139" i="3"/>
  <c r="BI139" i="3" s="1"/>
  <c r="BB139" i="3" s="1"/>
  <c r="BF139" i="3" s="1"/>
  <c r="AA131" i="3"/>
  <c r="AA151" i="3"/>
  <c r="AA96" i="3"/>
  <c r="AC101" i="3"/>
  <c r="AD101" i="3" s="1"/>
  <c r="BH101" i="3" s="1"/>
  <c r="BI101" i="3" s="1"/>
  <c r="BB101" i="3" s="1"/>
  <c r="BF101" i="3" s="1"/>
  <c r="AA72" i="3"/>
  <c r="AC278" i="3"/>
  <c r="AD278" i="3" s="1"/>
  <c r="BH278" i="3" s="1"/>
  <c r="BI278" i="3" s="1"/>
  <c r="BB278" i="3" s="1"/>
  <c r="BF278" i="3" s="1"/>
  <c r="AA15" i="3"/>
  <c r="AC279" i="3"/>
  <c r="AD279" i="3" s="1"/>
  <c r="BH279" i="3" s="1"/>
  <c r="BI279" i="3" s="1"/>
  <c r="BB279" i="3" s="1"/>
  <c r="BF279" i="3" s="1"/>
  <c r="AA259" i="3"/>
  <c r="AA229" i="3"/>
  <c r="AA61" i="3"/>
  <c r="BF61" i="3" s="1"/>
  <c r="AA28" i="3"/>
  <c r="AA167" i="3"/>
  <c r="BH333" i="3"/>
  <c r="BI333" i="3" s="1"/>
  <c r="BB333" i="3" s="1"/>
  <c r="BH203" i="3"/>
  <c r="BI203" i="3" s="1"/>
  <c r="BB203" i="3" s="1"/>
  <c r="BH14" i="3"/>
  <c r="BI14" i="3" s="1"/>
  <c r="BB14" i="3" s="1"/>
  <c r="AA284" i="3"/>
  <c r="AA298" i="3"/>
  <c r="AA263" i="3"/>
  <c r="AA230" i="3"/>
  <c r="BF230" i="3" s="1"/>
  <c r="AA215" i="3"/>
  <c r="AC150" i="3"/>
  <c r="AD150" i="3" s="1"/>
  <c r="BH150" i="3" s="1"/>
  <c r="BI150" i="3" s="1"/>
  <c r="BB150" i="3" s="1"/>
  <c r="BF150" i="3" s="1"/>
  <c r="AA184" i="3"/>
  <c r="AA164" i="3"/>
  <c r="BH284" i="3"/>
  <c r="BI284" i="3" s="1"/>
  <c r="BB284" i="3" s="1"/>
  <c r="BH104" i="3"/>
  <c r="BI104" i="3" s="1"/>
  <c r="BB104" i="3" s="1"/>
  <c r="AC105" i="3"/>
  <c r="AD105" i="3" s="1"/>
  <c r="BH105" i="3" s="1"/>
  <c r="BI105" i="3" s="1"/>
  <c r="BB105" i="3" s="1"/>
  <c r="BF105" i="3" s="1"/>
  <c r="AA346" i="3"/>
  <c r="AA225" i="3"/>
  <c r="AA64" i="3"/>
  <c r="AA24" i="3"/>
  <c r="AA290" i="3"/>
  <c r="AA276" i="3"/>
  <c r="AC272" i="3"/>
  <c r="AD272" i="3" s="1"/>
  <c r="BH272" i="3" s="1"/>
  <c r="BI272" i="3" s="1"/>
  <c r="BB272" i="3" s="1"/>
  <c r="BF272" i="3" s="1"/>
  <c r="BH167" i="3"/>
  <c r="BI167" i="3" s="1"/>
  <c r="BB167" i="3" s="1"/>
  <c r="BH63" i="3"/>
  <c r="BI63" i="3" s="1"/>
  <c r="BB63" i="3" s="1"/>
  <c r="AC58" i="3"/>
  <c r="AD58" i="3" s="1"/>
  <c r="BH58" i="3" s="1"/>
  <c r="BI58" i="3" s="1"/>
  <c r="BB58" i="3" s="1"/>
  <c r="BF58" i="3" s="1"/>
  <c r="AA14" i="3"/>
  <c r="BH317" i="3"/>
  <c r="BI317" i="3" s="1"/>
  <c r="BB317" i="3" s="1"/>
  <c r="BH171" i="3"/>
  <c r="BI171" i="3" s="1"/>
  <c r="BB171" i="3" s="1"/>
  <c r="AC181" i="3"/>
  <c r="AD181" i="3" s="1"/>
  <c r="BH181" i="3" s="1"/>
  <c r="BI181" i="3" s="1"/>
  <c r="BB181" i="3" s="1"/>
  <c r="BF181" i="3" s="1"/>
  <c r="AC17" i="3"/>
  <c r="AD17" i="3" s="1"/>
  <c r="BH17" i="3" s="1"/>
  <c r="BI17" i="3" s="1"/>
  <c r="BB17" i="3" s="1"/>
  <c r="BF17" i="3" s="1"/>
  <c r="AA203" i="3"/>
  <c r="AC309" i="3"/>
  <c r="AD309" i="3" s="1"/>
  <c r="BH309" i="3" s="1"/>
  <c r="BI309" i="3" s="1"/>
  <c r="BB309" i="3" s="1"/>
  <c r="BF309" i="3" s="1"/>
  <c r="AA171" i="3"/>
  <c r="AA333" i="3"/>
  <c r="BH55" i="3"/>
  <c r="BI55" i="3" s="1"/>
  <c r="BB55" i="3" s="1"/>
  <c r="AA25" i="3"/>
  <c r="AA73" i="3"/>
  <c r="BH329" i="3"/>
  <c r="BI329" i="3" s="1"/>
  <c r="BB329" i="3" s="1"/>
  <c r="AC246" i="3"/>
  <c r="AD246" i="3" s="1"/>
  <c r="BH246" i="3" s="1"/>
  <c r="BI246" i="3" s="1"/>
  <c r="BB246" i="3" s="1"/>
  <c r="BF246" i="3" s="1"/>
  <c r="AA301" i="3"/>
  <c r="AA16" i="3"/>
  <c r="BH15" i="3"/>
  <c r="BI15" i="3" s="1"/>
  <c r="BB15" i="3" s="1"/>
  <c r="AC236" i="3"/>
  <c r="AD236" i="3" s="1"/>
  <c r="BH236" i="3" s="1"/>
  <c r="BI236" i="3" s="1"/>
  <c r="BB236" i="3" s="1"/>
  <c r="BF236" i="3" s="1"/>
  <c r="AA146" i="3"/>
  <c r="BH70" i="3"/>
  <c r="BI70" i="3" s="1"/>
  <c r="BB70" i="3" s="1"/>
  <c r="AA329" i="3"/>
  <c r="BH200" i="3"/>
  <c r="BI200" i="3" s="1"/>
  <c r="BB200" i="3" s="1"/>
  <c r="BH26" i="3"/>
  <c r="BI26" i="3" s="1"/>
  <c r="BB26" i="3" s="1"/>
  <c r="AC136" i="3"/>
  <c r="AD136" i="3" s="1"/>
  <c r="BH136" i="3" s="1"/>
  <c r="BI136" i="3" s="1"/>
  <c r="BB136" i="3" s="1"/>
  <c r="BF136" i="3" s="1"/>
  <c r="AC324" i="3"/>
  <c r="AD324" i="3" s="1"/>
  <c r="BH324" i="3" s="1"/>
  <c r="BI324" i="3" s="1"/>
  <c r="BB324" i="3" s="1"/>
  <c r="BF324" i="3" s="1"/>
  <c r="AC293" i="3"/>
  <c r="AD293" i="3" s="1"/>
  <c r="BH293" i="3" s="1"/>
  <c r="BI293" i="3" s="1"/>
  <c r="BB293" i="3" s="1"/>
  <c r="BF293" i="3" s="1"/>
  <c r="AA26" i="3"/>
  <c r="AC110" i="3"/>
  <c r="AD110" i="3" s="1"/>
  <c r="BH110" i="3" s="1"/>
  <c r="BI110" i="3" s="1"/>
  <c r="BB110" i="3" s="1"/>
  <c r="BF110" i="3" s="1"/>
  <c r="AA114" i="3"/>
  <c r="BH28" i="3"/>
  <c r="BI28" i="3" s="1"/>
  <c r="BB28" i="3" s="1"/>
  <c r="AA125" i="3"/>
  <c r="AC208" i="3"/>
  <c r="AD208" i="3" s="1"/>
  <c r="BH208" i="3" s="1"/>
  <c r="BI208" i="3" s="1"/>
  <c r="BB208" i="3" s="1"/>
  <c r="BF208" i="3" s="1"/>
  <c r="AA75" i="3"/>
  <c r="BF75" i="3" s="1"/>
  <c r="AC282" i="3"/>
  <c r="AD282" i="3" s="1"/>
  <c r="BH282" i="3" s="1"/>
  <c r="BI282" i="3" s="1"/>
  <c r="BB282" i="3" s="1"/>
  <c r="BF282" i="3" s="1"/>
  <c r="AA224" i="3"/>
  <c r="AC9" i="3"/>
  <c r="AD9" i="3" s="1"/>
  <c r="BH9" i="3" s="1"/>
  <c r="BI9" i="3" s="1"/>
  <c r="BB9" i="3" s="1"/>
  <c r="BF9" i="3" s="1"/>
  <c r="AA314" i="3"/>
  <c r="AA274" i="3"/>
  <c r="AC56" i="3"/>
  <c r="AD56" i="3" s="1"/>
  <c r="BH56" i="3" s="1"/>
  <c r="BI56" i="3" s="1"/>
  <c r="BB56" i="3" s="1"/>
  <c r="BF56" i="3" s="1"/>
  <c r="BH100" i="3"/>
  <c r="BI100" i="3" s="1"/>
  <c r="BB100" i="3" s="1"/>
  <c r="AC218" i="3"/>
  <c r="AD218" i="3" s="1"/>
  <c r="BH218" i="3" s="1"/>
  <c r="BI218" i="3" s="1"/>
  <c r="BB218" i="3" s="1"/>
  <c r="BF218" i="3" s="1"/>
  <c r="BH211" i="3"/>
  <c r="BI211" i="3" s="1"/>
  <c r="BB211" i="3" s="1"/>
  <c r="BH68" i="3"/>
  <c r="BI68" i="3" s="1"/>
  <c r="BB68" i="3" s="1"/>
  <c r="BH10" i="3"/>
  <c r="BI10" i="3" s="1"/>
  <c r="BB10" i="3" s="1"/>
  <c r="AC269" i="3"/>
  <c r="AD269" i="3" s="1"/>
  <c r="BH269" i="3" s="1"/>
  <c r="BI269" i="3" s="1"/>
  <c r="BB269" i="3" s="1"/>
  <c r="BF269" i="3" s="1"/>
  <c r="AC188" i="3"/>
  <c r="AD188" i="3" s="1"/>
  <c r="BH188" i="3" s="1"/>
  <c r="BI188" i="3" s="1"/>
  <c r="BB188" i="3" s="1"/>
  <c r="BF188" i="3" s="1"/>
  <c r="AC132" i="3"/>
  <c r="AD132" i="3" s="1"/>
  <c r="BH132" i="3" s="1"/>
  <c r="BI132" i="3" s="1"/>
  <c r="BB132" i="3" s="1"/>
  <c r="BF132" i="3" s="1"/>
  <c r="BH79" i="3"/>
  <c r="BI79" i="3" s="1"/>
  <c r="BB79" i="3" s="1"/>
  <c r="AC213" i="3"/>
  <c r="AD213" i="3" s="1"/>
  <c r="BH213" i="3" s="1"/>
  <c r="BI213" i="3" s="1"/>
  <c r="BB213" i="3" s="1"/>
  <c r="BF213" i="3" s="1"/>
  <c r="AC207" i="3"/>
  <c r="AD207" i="3" s="1"/>
  <c r="BH207" i="3" s="1"/>
  <c r="BI207" i="3" s="1"/>
  <c r="BB207" i="3" s="1"/>
  <c r="BF207" i="3" s="1"/>
  <c r="AA277" i="3"/>
  <c r="AA262" i="3"/>
  <c r="BH204" i="3"/>
  <c r="BI204" i="3" s="1"/>
  <c r="BB204" i="3" s="1"/>
  <c r="BF204" i="3" s="1"/>
  <c r="AC178" i="3"/>
  <c r="AD178" i="3" s="1"/>
  <c r="BH178" i="3" s="1"/>
  <c r="BI178" i="3" s="1"/>
  <c r="BB178" i="3" s="1"/>
  <c r="BF178" i="3" s="1"/>
  <c r="AA91" i="3"/>
  <c r="BH156" i="3"/>
  <c r="BI156" i="3" s="1"/>
  <c r="BB156" i="3" s="1"/>
  <c r="BH36" i="3"/>
  <c r="BI36" i="3" s="1"/>
  <c r="BB36" i="3" s="1"/>
  <c r="BF36" i="3" s="1"/>
  <c r="AA79" i="3"/>
  <c r="BH125" i="3"/>
  <c r="BI125" i="3" s="1"/>
  <c r="BB125" i="3" s="1"/>
  <c r="AA271" i="3"/>
  <c r="BH254" i="3"/>
  <c r="BI254" i="3" s="1"/>
  <c r="BB254" i="3" s="1"/>
  <c r="BH271" i="3"/>
  <c r="BI271" i="3" s="1"/>
  <c r="BB271" i="3" s="1"/>
  <c r="AA69" i="3"/>
  <c r="BH247" i="3"/>
  <c r="BI247" i="3" s="1"/>
  <c r="BB247" i="3" s="1"/>
  <c r="BH259" i="3"/>
  <c r="BI259" i="3" s="1"/>
  <c r="BB259" i="3" s="1"/>
  <c r="BH116" i="3"/>
  <c r="BI116" i="3" s="1"/>
  <c r="BB116" i="3" s="1"/>
  <c r="BH318" i="3"/>
  <c r="BI318" i="3" s="1"/>
  <c r="BB318" i="3" s="1"/>
  <c r="AC322" i="3"/>
  <c r="AD322" i="3" s="1"/>
  <c r="BH322" i="3" s="1"/>
  <c r="BI322" i="3" s="1"/>
  <c r="BB322" i="3" s="1"/>
  <c r="BF322" i="3" s="1"/>
  <c r="AA152" i="3"/>
  <c r="BF152" i="3" s="1"/>
  <c r="AA100" i="3"/>
  <c r="AC49" i="3"/>
  <c r="AD49" i="3" s="1"/>
  <c r="BH49" i="3" s="1"/>
  <c r="BI49" i="3" s="1"/>
  <c r="BB49" i="3" s="1"/>
  <c r="BF49" i="3" s="1"/>
  <c r="AA40" i="3"/>
  <c r="AA10" i="3"/>
  <c r="BH298" i="3"/>
  <c r="BI298" i="3" s="1"/>
  <c r="BB298" i="3" s="1"/>
  <c r="BH7" i="3"/>
  <c r="BI7" i="3" s="1"/>
  <c r="BB7" i="3" s="1"/>
  <c r="BH221" i="3"/>
  <c r="BI221" i="3" s="1"/>
  <c r="BB221" i="3" s="1"/>
  <c r="BF221" i="3" s="1"/>
  <c r="BH169" i="3"/>
  <c r="BI169" i="3" s="1"/>
  <c r="BB169" i="3" s="1"/>
  <c r="BH12" i="3"/>
  <c r="BI12" i="3" s="1"/>
  <c r="BB12" i="3" s="1"/>
  <c r="BH172" i="3"/>
  <c r="BI172" i="3" s="1"/>
  <c r="BB172" i="3" s="1"/>
  <c r="AC166" i="3"/>
  <c r="AD166" i="3" s="1"/>
  <c r="BH166" i="3" s="1"/>
  <c r="BI166" i="3" s="1"/>
  <c r="BB166" i="3" s="1"/>
  <c r="BF166" i="3" s="1"/>
  <c r="BH78" i="3"/>
  <c r="BI78" i="3" s="1"/>
  <c r="BB78" i="3" s="1"/>
  <c r="AC339" i="3"/>
  <c r="AD339" i="3" s="1"/>
  <c r="BH339" i="3" s="1"/>
  <c r="BI339" i="3" s="1"/>
  <c r="BB339" i="3" s="1"/>
  <c r="BF339" i="3" s="1"/>
  <c r="BH313" i="3"/>
  <c r="BB313" i="3" s="1"/>
  <c r="BH224" i="3"/>
  <c r="BI224" i="3" s="1"/>
  <c r="BB224" i="3" s="1"/>
  <c r="AA228" i="3"/>
  <c r="AA156" i="3"/>
  <c r="BH185" i="3"/>
  <c r="BI185" i="3" s="1"/>
  <c r="BB185" i="3" s="1"/>
  <c r="BF185" i="3" s="1"/>
  <c r="BF34" i="3"/>
  <c r="BH33" i="3"/>
  <c r="BI33" i="3" s="1"/>
  <c r="BB33" i="3" s="1"/>
  <c r="AA169" i="3"/>
  <c r="BH253" i="3"/>
  <c r="BI253" i="3" s="1"/>
  <c r="BB253" i="3" s="1"/>
  <c r="BH194" i="3"/>
  <c r="BI194" i="3" s="1"/>
  <c r="BB194" i="3" s="1"/>
  <c r="AC162" i="3"/>
  <c r="AD162" i="3" s="1"/>
  <c r="BH162" i="3" s="1"/>
  <c r="BI162" i="3" s="1"/>
  <c r="BB162" i="3" s="1"/>
  <c r="BF162" i="3" s="1"/>
  <c r="AC103" i="3"/>
  <c r="AD103" i="3" s="1"/>
  <c r="BH103" i="3" s="1"/>
  <c r="BI103" i="3" s="1"/>
  <c r="BB103" i="3" s="1"/>
  <c r="BF103" i="3" s="1"/>
  <c r="AA57" i="3"/>
  <c r="AC174" i="3"/>
  <c r="AD174" i="3" s="1"/>
  <c r="BH174" i="3" s="1"/>
  <c r="BI174" i="3" s="1"/>
  <c r="BB174" i="3" s="1"/>
  <c r="BF174" i="3" s="1"/>
  <c r="AC258" i="3"/>
  <c r="AD258" i="3" s="1"/>
  <c r="BH258" i="3" s="1"/>
  <c r="BI258" i="3" s="1"/>
  <c r="BB258" i="3" s="1"/>
  <c r="BF258" i="3" s="1"/>
  <c r="AA318" i="3"/>
  <c r="AA247" i="3"/>
  <c r="BH229" i="3"/>
  <c r="BI229" i="3" s="1"/>
  <c r="BB229" i="3" s="1"/>
  <c r="BH215" i="3"/>
  <c r="BI215" i="3" s="1"/>
  <c r="BB215" i="3" s="1"/>
  <c r="AA335" i="3"/>
  <c r="BH146" i="3"/>
  <c r="BI146" i="3" s="1"/>
  <c r="BB146" i="3" s="1"/>
  <c r="BH137" i="3"/>
  <c r="BI137" i="3" s="1"/>
  <c r="BB137" i="3" s="1"/>
  <c r="BH54" i="3"/>
  <c r="BI54" i="3" s="1"/>
  <c r="BB54" i="3" s="1"/>
  <c r="AA97" i="3"/>
  <c r="BH74" i="3"/>
  <c r="BI74" i="3" s="1"/>
  <c r="BB74" i="3" s="1"/>
  <c r="AA104" i="3"/>
  <c r="BH59" i="3"/>
  <c r="BI59" i="3" s="1"/>
  <c r="BB59" i="3" s="1"/>
  <c r="BF59" i="3" s="1"/>
  <c r="AA38" i="3"/>
  <c r="BH161" i="3"/>
  <c r="BI161" i="3" s="1"/>
  <c r="BB161" i="3" s="1"/>
  <c r="AA65" i="3"/>
  <c r="BH304" i="3"/>
  <c r="BI304" i="3" s="1"/>
  <c r="BB304" i="3" s="1"/>
  <c r="AA317" i="3"/>
  <c r="AA161" i="3"/>
  <c r="AC98" i="3"/>
  <c r="AD98" i="3" s="1"/>
  <c r="BH98" i="3" s="1"/>
  <c r="BI98" i="3" s="1"/>
  <c r="BB98" i="3" s="1"/>
  <c r="BF98" i="3" s="1"/>
  <c r="AA50" i="3"/>
  <c r="BH73" i="3"/>
  <c r="BI73" i="3" s="1"/>
  <c r="BB73" i="3" s="1"/>
  <c r="BH62" i="3"/>
  <c r="BI62" i="3" s="1"/>
  <c r="BB62" i="3" s="1"/>
  <c r="BH38" i="3"/>
  <c r="BI38" i="3" s="1"/>
  <c r="BB38" i="3" s="1"/>
  <c r="BH67" i="3"/>
  <c r="BI67" i="3" s="1"/>
  <c r="BB67" i="3" s="1"/>
  <c r="BH16" i="3"/>
  <c r="BI16" i="3" s="1"/>
  <c r="BB16" i="3" s="1"/>
  <c r="BH142" i="3"/>
  <c r="BI142" i="3" s="1"/>
  <c r="BB142" i="3" s="1"/>
  <c r="BH243" i="3"/>
  <c r="BI243" i="3" s="1"/>
  <c r="BB243" i="3" s="1"/>
  <c r="AC250" i="3"/>
  <c r="AD250" i="3" s="1"/>
  <c r="BH250" i="3" s="1"/>
  <c r="BI250" i="3" s="1"/>
  <c r="BB250" i="3" s="1"/>
  <c r="BF250" i="3" s="1"/>
  <c r="AA67" i="3"/>
  <c r="AA261" i="3"/>
  <c r="AC261" i="3"/>
  <c r="AD261" i="3" s="1"/>
  <c r="BH261" i="3" s="1"/>
  <c r="BI261" i="3" s="1"/>
  <c r="BB261" i="3" s="1"/>
  <c r="AC332" i="3"/>
  <c r="AD332" i="3" s="1"/>
  <c r="BH332" i="3" s="1"/>
  <c r="BI332" i="3" s="1"/>
  <c r="BB332" i="3" s="1"/>
  <c r="BF332" i="3" s="1"/>
  <c r="AA305" i="3"/>
  <c r="BH217" i="3"/>
  <c r="BI217" i="3" s="1"/>
  <c r="BB217" i="3" s="1"/>
  <c r="BH216" i="3"/>
  <c r="BI216" i="3" s="1"/>
  <c r="BB216" i="3" s="1"/>
  <c r="BH24" i="3"/>
  <c r="BI24" i="3" s="1"/>
  <c r="BB24" i="3" s="1"/>
  <c r="BH337" i="3"/>
  <c r="BI337" i="3" s="1"/>
  <c r="BB337" i="3" s="1"/>
  <c r="BH50" i="3"/>
  <c r="BI50" i="3" s="1"/>
  <c r="BB50" i="3" s="1"/>
  <c r="BH96" i="3"/>
  <c r="BI96" i="3" s="1"/>
  <c r="BB96" i="3" s="1"/>
  <c r="BH301" i="3"/>
  <c r="BI301" i="3" s="1"/>
  <c r="BB301" i="3" s="1"/>
  <c r="BH290" i="3"/>
  <c r="BI290" i="3" s="1"/>
  <c r="BB290" i="3" s="1"/>
  <c r="AC196" i="3"/>
  <c r="AD196" i="3" s="1"/>
  <c r="BH196" i="3" s="1"/>
  <c r="BI196" i="3" s="1"/>
  <c r="BB196" i="3" s="1"/>
  <c r="BF196" i="3" s="1"/>
  <c r="BH151" i="3"/>
  <c r="BI151" i="3" s="1"/>
  <c r="BB151" i="3" s="1"/>
  <c r="AA211" i="3"/>
  <c r="AC160" i="3"/>
  <c r="AD160" i="3" s="1"/>
  <c r="BH160" i="3" s="1"/>
  <c r="BI160" i="3" s="1"/>
  <c r="BB160" i="3" s="1"/>
  <c r="BF160" i="3" s="1"/>
  <c r="BH149" i="3"/>
  <c r="BI149" i="3" s="1"/>
  <c r="BB149" i="3" s="1"/>
  <c r="AC99" i="3"/>
  <c r="AD99" i="3" s="1"/>
  <c r="BH99" i="3" s="1"/>
  <c r="BI99" i="3" s="1"/>
  <c r="BB99" i="3" s="1"/>
  <c r="BF99" i="3" s="1"/>
  <c r="BH91" i="3"/>
  <c r="BI91" i="3" s="1"/>
  <c r="BB91" i="3" s="1"/>
  <c r="AA80" i="3"/>
  <c r="AC13" i="3"/>
  <c r="AD13" i="3" s="1"/>
  <c r="BH13" i="3" s="1"/>
  <c r="BI13" i="3" s="1"/>
  <c r="BB13" i="3" s="1"/>
  <c r="BF13" i="3" s="1"/>
  <c r="AA297" i="3"/>
  <c r="AC297" i="3"/>
  <c r="AD297" i="3" s="1"/>
  <c r="BH297" i="3" s="1"/>
  <c r="BI297" i="3" s="1"/>
  <c r="BB297" i="3" s="1"/>
  <c r="BH340" i="3"/>
  <c r="BI340" i="3" s="1"/>
  <c r="BB340" i="3" s="1"/>
  <c r="AC102" i="3"/>
  <c r="AD102" i="3" s="1"/>
  <c r="BH102" i="3" s="1"/>
  <c r="BI102" i="3" s="1"/>
  <c r="BB102" i="3" s="1"/>
  <c r="BF102" i="3" s="1"/>
  <c r="AC244" i="3"/>
  <c r="AD244" i="3" s="1"/>
  <c r="BH244" i="3" s="1"/>
  <c r="BI244" i="3" s="1"/>
  <c r="BB244" i="3" s="1"/>
  <c r="AA244" i="3"/>
  <c r="BH264" i="3"/>
  <c r="BI264" i="3" s="1"/>
  <c r="BB264" i="3" s="1"/>
  <c r="BH260" i="3"/>
  <c r="BI260" i="3" s="1"/>
  <c r="BB260" i="3" s="1"/>
  <c r="BH184" i="3"/>
  <c r="BI184" i="3" s="1"/>
  <c r="BB184" i="3" s="1"/>
  <c r="AA142" i="3"/>
  <c r="BH37" i="3"/>
  <c r="BI37" i="3" s="1"/>
  <c r="BB37" i="3" s="1"/>
  <c r="BH83" i="3"/>
  <c r="BI83" i="3" s="1"/>
  <c r="BB83" i="3" s="1"/>
  <c r="AA37" i="3"/>
  <c r="AC42" i="3"/>
  <c r="AD42" i="3" s="1"/>
  <c r="BH42" i="3" s="1"/>
  <c r="BI42" i="3" s="1"/>
  <c r="BB42" i="3" s="1"/>
  <c r="BF42" i="3" s="1"/>
  <c r="AC138" i="3"/>
  <c r="AD138" i="3" s="1"/>
  <c r="BH138" i="3" s="1"/>
  <c r="BI138" i="3" s="1"/>
  <c r="BB138" i="3" s="1"/>
  <c r="AA138" i="3"/>
  <c r="AA122" i="3"/>
  <c r="AC122" i="3"/>
  <c r="AD122" i="3" s="1"/>
  <c r="BH122" i="3" s="1"/>
  <c r="BI122" i="3" s="1"/>
  <c r="BB122" i="3" s="1"/>
  <c r="BH80" i="3"/>
  <c r="BI80" i="3" s="1"/>
  <c r="BB80" i="3" s="1"/>
  <c r="AC201" i="3"/>
  <c r="AD201" i="3" s="1"/>
  <c r="BH201" i="3" s="1"/>
  <c r="BI201" i="3" s="1"/>
  <c r="BB201" i="3" s="1"/>
  <c r="AA201" i="3"/>
  <c r="AC283" i="3"/>
  <c r="AD283" i="3" s="1"/>
  <c r="BH283" i="3" s="1"/>
  <c r="BI283" i="3" s="1"/>
  <c r="BB283" i="3" s="1"/>
  <c r="BF283" i="3" s="1"/>
  <c r="AA260" i="3"/>
  <c r="AA219" i="3"/>
  <c r="AA175" i="3"/>
  <c r="BH168" i="3"/>
  <c r="BI168" i="3" s="1"/>
  <c r="BB168" i="3" s="1"/>
  <c r="AC95" i="3"/>
  <c r="AD95" i="3" s="1"/>
  <c r="BH95" i="3" s="1"/>
  <c r="BI95" i="3" s="1"/>
  <c r="BB95" i="3" s="1"/>
  <c r="BF95" i="3" s="1"/>
  <c r="AA182" i="3"/>
  <c r="AC182" i="3"/>
  <c r="AD182" i="3" s="1"/>
  <c r="BH182" i="3" s="1"/>
  <c r="BI182" i="3" s="1"/>
  <c r="BB182" i="3" s="1"/>
  <c r="AA32" i="3"/>
  <c r="AC32" i="3"/>
  <c r="AD32" i="3" s="1"/>
  <c r="BH32" i="3" s="1"/>
  <c r="BI32" i="3" s="1"/>
  <c r="BB32" i="3" s="1"/>
  <c r="AC22" i="3"/>
  <c r="AD22" i="3" s="1"/>
  <c r="BH22" i="3" s="1"/>
  <c r="BI22" i="3" s="1"/>
  <c r="BB22" i="3" s="1"/>
  <c r="AA22" i="3"/>
  <c r="BH335" i="3"/>
  <c r="BI335" i="3" s="1"/>
  <c r="BB335" i="3" s="1"/>
  <c r="BH303" i="3"/>
  <c r="BI303" i="3" s="1"/>
  <c r="BB303" i="3" s="1"/>
  <c r="AA325" i="3"/>
  <c r="AA243" i="3"/>
  <c r="BH175" i="3"/>
  <c r="BI175" i="3" s="1"/>
  <c r="BB175" i="3" s="1"/>
  <c r="BH225" i="3"/>
  <c r="BI225" i="3" s="1"/>
  <c r="BB225" i="3" s="1"/>
  <c r="BH123" i="3"/>
  <c r="BI123" i="3" s="1"/>
  <c r="BB123" i="3" s="1"/>
  <c r="BF123" i="3" s="1"/>
  <c r="AA19" i="3"/>
  <c r="BF19" i="3" s="1"/>
  <c r="AC281" i="3"/>
  <c r="AD281" i="3" s="1"/>
  <c r="BH281" i="3" s="1"/>
  <c r="BI281" i="3" s="1"/>
  <c r="BB281" i="3" s="1"/>
  <c r="AA281" i="3"/>
  <c r="AC227" i="3"/>
  <c r="AD227" i="3" s="1"/>
  <c r="BH227" i="3" s="1"/>
  <c r="BI227" i="3" s="1"/>
  <c r="BB227" i="3" s="1"/>
  <c r="AA227" i="3"/>
  <c r="AA119" i="3"/>
  <c r="AC119" i="3"/>
  <c r="AD119" i="3" s="1"/>
  <c r="BH119" i="3" s="1"/>
  <c r="BI119" i="3" s="1"/>
  <c r="BB119" i="3" s="1"/>
  <c r="AC77" i="3"/>
  <c r="AD77" i="3" s="1"/>
  <c r="BH77" i="3" s="1"/>
  <c r="BI77" i="3" s="1"/>
  <c r="BB77" i="3" s="1"/>
  <c r="AA77" i="3"/>
  <c r="BH305" i="3"/>
  <c r="BI305" i="3" s="1"/>
  <c r="BB305" i="3" s="1"/>
  <c r="BH291" i="3"/>
  <c r="BI291" i="3" s="1"/>
  <c r="BB291" i="3" s="1"/>
  <c r="AA267" i="3"/>
  <c r="BH228" i="3"/>
  <c r="BB228" i="3" s="1"/>
  <c r="AC180" i="3"/>
  <c r="AD180" i="3" s="1"/>
  <c r="BH180" i="3" s="1"/>
  <c r="BI180" i="3" s="1"/>
  <c r="BB180" i="3" s="1"/>
  <c r="BF180" i="3" s="1"/>
  <c r="AA137" i="3"/>
  <c r="AC87" i="3"/>
  <c r="AD87" i="3" s="1"/>
  <c r="BH87" i="3" s="1"/>
  <c r="BI87" i="3" s="1"/>
  <c r="BB87" i="3" s="1"/>
  <c r="BF87" i="3" s="1"/>
  <c r="AA54" i="3"/>
  <c r="BH268" i="3"/>
  <c r="BI268" i="3" s="1"/>
  <c r="BB268" i="3" s="1"/>
  <c r="AC115" i="3"/>
  <c r="AD115" i="3" s="1"/>
  <c r="BH115" i="3" s="1"/>
  <c r="BI115" i="3" s="1"/>
  <c r="BB115" i="3" s="1"/>
  <c r="AA115" i="3"/>
  <c r="AA289" i="3"/>
  <c r="AC289" i="3"/>
  <c r="AD289" i="3" s="1"/>
  <c r="BH289" i="3" s="1"/>
  <c r="BI289" i="3" s="1"/>
  <c r="BB289" i="3" s="1"/>
  <c r="BH277" i="3"/>
  <c r="BI277" i="3" s="1"/>
  <c r="BB277" i="3" s="1"/>
  <c r="AA143" i="3"/>
  <c r="BF143" i="3" s="1"/>
  <c r="AC273" i="3"/>
  <c r="AD273" i="3" s="1"/>
  <c r="BH273" i="3" s="1"/>
  <c r="BI273" i="3" s="1"/>
  <c r="BB273" i="3" s="1"/>
  <c r="AA273" i="3"/>
  <c r="BH346" i="3"/>
  <c r="BI346" i="3" s="1"/>
  <c r="BB346" i="3" s="1"/>
  <c r="BH187" i="3"/>
  <c r="BI187" i="3" s="1"/>
  <c r="BB187" i="3" s="1"/>
  <c r="BF187" i="3" s="1"/>
  <c r="BH131" i="3"/>
  <c r="BI131" i="3" s="1"/>
  <c r="BB131" i="3" s="1"/>
  <c r="BF81" i="3"/>
  <c r="BH51" i="3"/>
  <c r="BI51" i="3" s="1"/>
  <c r="BB51" i="3" s="1"/>
  <c r="AC311" i="3"/>
  <c r="AD311" i="3" s="1"/>
  <c r="BH311" i="3" s="1"/>
  <c r="BI311" i="3" s="1"/>
  <c r="BB311" i="3" s="1"/>
  <c r="AA311" i="3"/>
  <c r="BH341" i="3"/>
  <c r="BI341" i="3" s="1"/>
  <c r="BB341" i="3" s="1"/>
  <c r="BF341" i="3" s="1"/>
  <c r="AC239" i="3"/>
  <c r="AD239" i="3" s="1"/>
  <c r="BH239" i="3" s="1"/>
  <c r="BI239" i="3" s="1"/>
  <c r="BB239" i="3" s="1"/>
  <c r="AA239" i="3"/>
  <c r="AC177" i="3"/>
  <c r="AD177" i="3" s="1"/>
  <c r="BH177" i="3" s="1"/>
  <c r="BI177" i="3" s="1"/>
  <c r="BB177" i="3" s="1"/>
  <c r="AA177" i="3"/>
  <c r="AC141" i="3"/>
  <c r="AD141" i="3" s="1"/>
  <c r="BH141" i="3" s="1"/>
  <c r="BI141" i="3" s="1"/>
  <c r="BB141" i="3" s="1"/>
  <c r="AA141" i="3"/>
  <c r="AC209" i="3"/>
  <c r="AD209" i="3" s="1"/>
  <c r="BH209" i="3" s="1"/>
  <c r="BI209" i="3" s="1"/>
  <c r="BB209" i="3" s="1"/>
  <c r="AA209" i="3"/>
  <c r="AC210" i="3"/>
  <c r="AD210" i="3" s="1"/>
  <c r="BH210" i="3" s="1"/>
  <c r="BI210" i="3" s="1"/>
  <c r="BB210" i="3" s="1"/>
  <c r="AA210" i="3"/>
  <c r="AC191" i="3"/>
  <c r="AD191" i="3" s="1"/>
  <c r="BH191" i="3" s="1"/>
  <c r="BI191" i="3" s="1"/>
  <c r="BB191" i="3" s="1"/>
  <c r="AA191" i="3"/>
  <c r="BH93" i="3"/>
  <c r="BI93" i="3" s="1"/>
  <c r="BB93" i="3" s="1"/>
  <c r="AA30" i="3"/>
  <c r="AC30" i="3"/>
  <c r="AD30" i="3" s="1"/>
  <c r="BH30" i="3" s="1"/>
  <c r="BI30" i="3" s="1"/>
  <c r="BB30" i="3" s="1"/>
  <c r="BH72" i="3"/>
  <c r="BI72" i="3" s="1"/>
  <c r="BB72" i="3" s="1"/>
  <c r="AA44" i="3"/>
  <c r="AC44" i="3"/>
  <c r="AD44" i="3" s="1"/>
  <c r="BH44" i="3" s="1"/>
  <c r="BI44" i="3" s="1"/>
  <c r="BB44" i="3" s="1"/>
  <c r="BH85" i="3"/>
  <c r="BI85" i="3" s="1"/>
  <c r="BB85" i="3" s="1"/>
  <c r="BH25" i="3"/>
  <c r="BI25" i="3" s="1"/>
  <c r="BB25" i="3" s="1"/>
  <c r="AC234" i="3"/>
  <c r="AD234" i="3" s="1"/>
  <c r="BH234" i="3" s="1"/>
  <c r="BI234" i="3" s="1"/>
  <c r="BB234" i="3" s="1"/>
  <c r="AA234" i="3"/>
  <c r="AC202" i="3"/>
  <c r="AD202" i="3" s="1"/>
  <c r="BH202" i="3" s="1"/>
  <c r="BI202" i="3" s="1"/>
  <c r="BB202" i="3" s="1"/>
  <c r="AA202" i="3"/>
  <c r="BH159" i="3"/>
  <c r="BI159" i="3" s="1"/>
  <c r="BB159" i="3" s="1"/>
  <c r="AA124" i="3"/>
  <c r="AC124" i="3"/>
  <c r="AD124" i="3" s="1"/>
  <c r="BH124" i="3" s="1"/>
  <c r="BI124" i="3" s="1"/>
  <c r="BB124" i="3" s="1"/>
  <c r="AC148" i="3"/>
  <c r="AD148" i="3" s="1"/>
  <c r="BH148" i="3" s="1"/>
  <c r="BI148" i="3" s="1"/>
  <c r="BB148" i="3" s="1"/>
  <c r="AA148" i="3"/>
  <c r="BH89" i="3"/>
  <c r="BI89" i="3" s="1"/>
  <c r="BB89" i="3" s="1"/>
  <c r="BF18" i="3"/>
  <c r="AA41" i="3"/>
  <c r="AC41" i="3"/>
  <c r="AD41" i="3" s="1"/>
  <c r="BH41" i="3" s="1"/>
  <c r="BI41" i="3" s="1"/>
  <c r="BB41" i="3" s="1"/>
  <c r="BH347" i="3"/>
  <c r="BI347" i="3" s="1"/>
  <c r="BB347" i="3" s="1"/>
  <c r="BH316" i="3"/>
  <c r="BI316" i="3" s="1"/>
  <c r="BB316" i="3" s="1"/>
  <c r="BH314" i="3"/>
  <c r="BI314" i="3" s="1"/>
  <c r="BB314" i="3" s="1"/>
  <c r="BH267" i="3"/>
  <c r="BI267" i="3" s="1"/>
  <c r="BB267" i="3" s="1"/>
  <c r="BH256" i="3"/>
  <c r="BI256" i="3" s="1"/>
  <c r="BB256" i="3" s="1"/>
  <c r="AC205" i="3"/>
  <c r="AD205" i="3" s="1"/>
  <c r="BH205" i="3" s="1"/>
  <c r="BI205" i="3" s="1"/>
  <c r="BB205" i="3" s="1"/>
  <c r="AA205" i="3"/>
  <c r="AA190" i="3"/>
  <c r="AC190" i="3"/>
  <c r="AD190" i="3" s="1"/>
  <c r="BH190" i="3" s="1"/>
  <c r="BI190" i="3" s="1"/>
  <c r="BB190" i="3" s="1"/>
  <c r="AA134" i="3"/>
  <c r="AC134" i="3"/>
  <c r="AD134" i="3" s="1"/>
  <c r="BH134" i="3" s="1"/>
  <c r="BI134" i="3" s="1"/>
  <c r="BB134" i="3" s="1"/>
  <c r="BH114" i="3"/>
  <c r="BI114" i="3" s="1"/>
  <c r="BB114" i="3" s="1"/>
  <c r="BH69" i="3"/>
  <c r="BI69" i="3" s="1"/>
  <c r="BB69" i="3" s="1"/>
  <c r="BH52" i="3"/>
  <c r="BI52" i="3" s="1"/>
  <c r="BB52" i="3" s="1"/>
  <c r="BF52" i="3" s="1"/>
  <c r="BH40" i="3"/>
  <c r="BI40" i="3" s="1"/>
  <c r="BB40" i="3" s="1"/>
  <c r="AA345" i="3"/>
  <c r="AC345" i="3"/>
  <c r="AD345" i="3" s="1"/>
  <c r="BH345" i="3" s="1"/>
  <c r="BI345" i="3" s="1"/>
  <c r="BB345" i="3" s="1"/>
  <c r="AC338" i="3"/>
  <c r="AD338" i="3" s="1"/>
  <c r="BH338" i="3" s="1"/>
  <c r="BI338" i="3" s="1"/>
  <c r="BB338" i="3" s="1"/>
  <c r="AA338" i="3"/>
  <c r="AC296" i="3"/>
  <c r="AD296" i="3" s="1"/>
  <c r="BH296" i="3" s="1"/>
  <c r="BI296" i="3" s="1"/>
  <c r="BB296" i="3" s="1"/>
  <c r="AA296" i="3"/>
  <c r="AC270" i="3"/>
  <c r="AD270" i="3" s="1"/>
  <c r="BH270" i="3" s="1"/>
  <c r="BI270" i="3" s="1"/>
  <c r="BB270" i="3" s="1"/>
  <c r="AA270" i="3"/>
  <c r="AC173" i="3"/>
  <c r="AD173" i="3" s="1"/>
  <c r="BH173" i="3" s="1"/>
  <c r="BI173" i="3" s="1"/>
  <c r="BB173" i="3" s="1"/>
  <c r="AA173" i="3"/>
  <c r="AC127" i="3"/>
  <c r="AD127" i="3" s="1"/>
  <c r="BH127" i="3" s="1"/>
  <c r="BI127" i="3" s="1"/>
  <c r="BB127" i="3" s="1"/>
  <c r="AA127" i="3"/>
  <c r="AC144" i="3"/>
  <c r="AD144" i="3" s="1"/>
  <c r="BH144" i="3" s="1"/>
  <c r="BI144" i="3" s="1"/>
  <c r="BB144" i="3" s="1"/>
  <c r="AA144" i="3"/>
  <c r="AA118" i="3"/>
  <c r="AC118" i="3"/>
  <c r="AD118" i="3" s="1"/>
  <c r="BH118" i="3" s="1"/>
  <c r="BI118" i="3" s="1"/>
  <c r="BB118" i="3" s="1"/>
  <c r="BH179" i="3"/>
  <c r="BI179" i="3" s="1"/>
  <c r="BB179" i="3" s="1"/>
  <c r="BF179" i="3" s="1"/>
  <c r="BH48" i="3"/>
  <c r="BI48" i="3" s="1"/>
  <c r="BB48" i="3" s="1"/>
  <c r="AA35" i="3"/>
  <c r="AC35" i="3"/>
  <c r="AD35" i="3" s="1"/>
  <c r="BH35" i="3" s="1"/>
  <c r="BI35" i="3" s="1"/>
  <c r="BB35" i="3" s="1"/>
  <c r="AC331" i="3"/>
  <c r="AD331" i="3" s="1"/>
  <c r="BH331" i="3" s="1"/>
  <c r="BI331" i="3" s="1"/>
  <c r="BB331" i="3" s="1"/>
  <c r="AA331" i="3"/>
  <c r="AA334" i="3"/>
  <c r="AC334" i="3"/>
  <c r="AD334" i="3" s="1"/>
  <c r="BH334" i="3" s="1"/>
  <c r="BI334" i="3" s="1"/>
  <c r="BB334" i="3" s="1"/>
  <c r="AC222" i="3"/>
  <c r="AD222" i="3" s="1"/>
  <c r="BH222" i="3" s="1"/>
  <c r="BI222" i="3" s="1"/>
  <c r="BB222" i="3" s="1"/>
  <c r="AA222" i="3"/>
  <c r="AA226" i="3"/>
  <c r="AC226" i="3"/>
  <c r="AD226" i="3" s="1"/>
  <c r="BH226" i="3" s="1"/>
  <c r="BI226" i="3" s="1"/>
  <c r="BB226" i="3" s="1"/>
  <c r="AC206" i="3"/>
  <c r="AD206" i="3" s="1"/>
  <c r="BH206" i="3" s="1"/>
  <c r="BI206" i="3" s="1"/>
  <c r="BB206" i="3" s="1"/>
  <c r="AA206" i="3"/>
  <c r="AA39" i="3"/>
  <c r="AC39" i="3"/>
  <c r="AD39" i="3" s="1"/>
  <c r="BH39" i="3" s="1"/>
  <c r="BI39" i="3" s="1"/>
  <c r="BB39" i="3" s="1"/>
  <c r="AC328" i="3"/>
  <c r="AD328" i="3" s="1"/>
  <c r="BH328" i="3" s="1"/>
  <c r="BI328" i="3" s="1"/>
  <c r="BB328" i="3" s="1"/>
  <c r="AA328" i="3"/>
  <c r="BH310" i="3"/>
  <c r="BI310" i="3" s="1"/>
  <c r="BB310" i="3" s="1"/>
  <c r="BH262" i="3"/>
  <c r="BI262" i="3" s="1"/>
  <c r="BB262" i="3" s="1"/>
  <c r="BH274" i="3"/>
  <c r="BI274" i="3" s="1"/>
  <c r="BB274" i="3" s="1"/>
  <c r="AC266" i="3"/>
  <c r="AD266" i="3" s="1"/>
  <c r="BH266" i="3" s="1"/>
  <c r="BI266" i="3" s="1"/>
  <c r="BB266" i="3" s="1"/>
  <c r="AA266" i="3"/>
  <c r="AC245" i="3"/>
  <c r="AD245" i="3" s="1"/>
  <c r="BH245" i="3" s="1"/>
  <c r="BI245" i="3" s="1"/>
  <c r="BB245" i="3" s="1"/>
  <c r="AA245" i="3"/>
  <c r="BH263" i="3"/>
  <c r="BI263" i="3" s="1"/>
  <c r="BB263" i="3" s="1"/>
  <c r="AC189" i="3"/>
  <c r="AD189" i="3" s="1"/>
  <c r="BH189" i="3" s="1"/>
  <c r="BI189" i="3" s="1"/>
  <c r="BB189" i="3" s="1"/>
  <c r="AA189" i="3"/>
  <c r="AA198" i="3"/>
  <c r="AC198" i="3"/>
  <c r="AD198" i="3" s="1"/>
  <c r="BH198" i="3" s="1"/>
  <c r="BI198" i="3" s="1"/>
  <c r="BB198" i="3" s="1"/>
  <c r="AC155" i="3"/>
  <c r="AD155" i="3" s="1"/>
  <c r="BH155" i="3" s="1"/>
  <c r="BI155" i="3" s="1"/>
  <c r="BB155" i="3" s="1"/>
  <c r="AA155" i="3"/>
  <c r="BH152" i="3"/>
  <c r="AC241" i="3"/>
  <c r="AD241" i="3" s="1"/>
  <c r="BH241" i="3" s="1"/>
  <c r="BI241" i="3" s="1"/>
  <c r="BB241" i="3" s="1"/>
  <c r="AA241" i="3"/>
  <c r="AC140" i="3"/>
  <c r="AD140" i="3" s="1"/>
  <c r="BH140" i="3" s="1"/>
  <c r="BI140" i="3" s="1"/>
  <c r="BB140" i="3" s="1"/>
  <c r="AA140" i="3"/>
  <c r="AC113" i="3"/>
  <c r="AD113" i="3" s="1"/>
  <c r="BH113" i="3" s="1"/>
  <c r="BI113" i="3" s="1"/>
  <c r="BB113" i="3" s="1"/>
  <c r="AA113" i="3"/>
  <c r="AC107" i="3"/>
  <c r="AD107" i="3" s="1"/>
  <c r="BH107" i="3" s="1"/>
  <c r="BI107" i="3" s="1"/>
  <c r="BB107" i="3" s="1"/>
  <c r="AA107" i="3"/>
  <c r="AA112" i="3"/>
  <c r="AC112" i="3"/>
  <c r="AD112" i="3" s="1"/>
  <c r="BH112" i="3" s="1"/>
  <c r="BI112" i="3" s="1"/>
  <c r="BB112" i="3" s="1"/>
  <c r="BH46" i="3"/>
  <c r="BI46" i="3" s="1"/>
  <c r="BB46" i="3" s="1"/>
  <c r="BH84" i="3"/>
  <c r="BI84" i="3" s="1"/>
  <c r="BB84" i="3" s="1"/>
  <c r="BH6" i="3"/>
  <c r="BI6" i="3" s="1"/>
  <c r="BB6" i="3" s="1"/>
  <c r="AA330" i="3"/>
  <c r="AC330" i="3"/>
  <c r="AD330" i="3" s="1"/>
  <c r="BH330" i="3" s="1"/>
  <c r="BI330" i="3" s="1"/>
  <c r="BB330" i="3" s="1"/>
  <c r="AC323" i="3"/>
  <c r="AD323" i="3" s="1"/>
  <c r="BH323" i="3" s="1"/>
  <c r="BI323" i="3" s="1"/>
  <c r="BB323" i="3" s="1"/>
  <c r="AA323" i="3"/>
  <c r="AC319" i="3"/>
  <c r="AD319" i="3" s="1"/>
  <c r="BH319" i="3" s="1"/>
  <c r="BI319" i="3" s="1"/>
  <c r="BB319" i="3" s="1"/>
  <c r="AA319" i="3"/>
  <c r="AC342" i="3"/>
  <c r="AD342" i="3" s="1"/>
  <c r="BH342" i="3" s="1"/>
  <c r="BI342" i="3" s="1"/>
  <c r="BB342" i="3" s="1"/>
  <c r="AA342" i="3"/>
  <c r="AA292" i="3"/>
  <c r="AC292" i="3"/>
  <c r="AD292" i="3" s="1"/>
  <c r="BH292" i="3" s="1"/>
  <c r="BI292" i="3" s="1"/>
  <c r="BB292" i="3" s="1"/>
  <c r="AC255" i="3"/>
  <c r="AD255" i="3" s="1"/>
  <c r="BH255" i="3" s="1"/>
  <c r="BI255" i="3" s="1"/>
  <c r="BB255" i="3" s="1"/>
  <c r="AA255" i="3"/>
  <c r="BH249" i="3"/>
  <c r="BI249" i="3" s="1"/>
  <c r="BB249" i="3" s="1"/>
  <c r="AA158" i="3"/>
  <c r="AC158" i="3"/>
  <c r="AD158" i="3" s="1"/>
  <c r="BH158" i="3" s="1"/>
  <c r="BI158" i="3" s="1"/>
  <c r="BB158" i="3" s="1"/>
  <c r="AA120" i="3"/>
  <c r="AC120" i="3"/>
  <c r="AD120" i="3" s="1"/>
  <c r="BH120" i="3" s="1"/>
  <c r="BI120" i="3" s="1"/>
  <c r="BB120" i="3" s="1"/>
  <c r="AC109" i="3"/>
  <c r="AD109" i="3" s="1"/>
  <c r="BH109" i="3" s="1"/>
  <c r="BI109" i="3" s="1"/>
  <c r="BB109" i="3" s="1"/>
  <c r="AA109" i="3"/>
  <c r="AA108" i="3"/>
  <c r="AC108" i="3"/>
  <c r="AD108" i="3" s="1"/>
  <c r="BH108" i="3" s="1"/>
  <c r="BI108" i="3" s="1"/>
  <c r="BB108" i="3" s="1"/>
  <c r="AA94" i="3"/>
  <c r="AC94" i="3"/>
  <c r="AD94" i="3" s="1"/>
  <c r="BH94" i="3" s="1"/>
  <c r="BI94" i="3" s="1"/>
  <c r="BB94" i="3" s="1"/>
  <c r="BH97" i="3"/>
  <c r="BI97" i="3" s="1"/>
  <c r="BB97" i="3" s="1"/>
  <c r="AC343" i="3"/>
  <c r="AD343" i="3" s="1"/>
  <c r="BH343" i="3" s="1"/>
  <c r="BI343" i="3" s="1"/>
  <c r="BB343" i="3" s="1"/>
  <c r="AA343" i="3"/>
  <c r="AC315" i="3"/>
  <c r="AD315" i="3" s="1"/>
  <c r="BH315" i="3" s="1"/>
  <c r="BI315" i="3" s="1"/>
  <c r="BB315" i="3" s="1"/>
  <c r="AA315" i="3"/>
  <c r="AA300" i="3"/>
  <c r="AC300" i="3"/>
  <c r="AD300" i="3" s="1"/>
  <c r="BH300" i="3" s="1"/>
  <c r="BI300" i="3" s="1"/>
  <c r="BB300" i="3" s="1"/>
  <c r="BH302" i="3"/>
  <c r="BI302" i="3" s="1"/>
  <c r="BB302" i="3" s="1"/>
  <c r="AC280" i="3"/>
  <c r="AD280" i="3" s="1"/>
  <c r="BH280" i="3" s="1"/>
  <c r="BI280" i="3" s="1"/>
  <c r="BB280" i="3" s="1"/>
  <c r="AA280" i="3"/>
  <c r="AC287" i="3"/>
  <c r="AD287" i="3" s="1"/>
  <c r="BH287" i="3" s="1"/>
  <c r="BI287" i="3" s="1"/>
  <c r="BB287" i="3" s="1"/>
  <c r="AA287" i="3"/>
  <c r="AA248" i="3"/>
  <c r="AC248" i="3"/>
  <c r="AD248" i="3" s="1"/>
  <c r="BH248" i="3" s="1"/>
  <c r="BI248" i="3" s="1"/>
  <c r="BB248" i="3" s="1"/>
  <c r="AC252" i="3"/>
  <c r="AD252" i="3" s="1"/>
  <c r="BH252" i="3" s="1"/>
  <c r="BI252" i="3" s="1"/>
  <c r="BB252" i="3" s="1"/>
  <c r="AA252" i="3"/>
  <c r="AC233" i="3"/>
  <c r="AD233" i="3" s="1"/>
  <c r="BH233" i="3" s="1"/>
  <c r="BI233" i="3" s="1"/>
  <c r="BB233" i="3" s="1"/>
  <c r="AA233" i="3"/>
  <c r="AC145" i="3"/>
  <c r="AD145" i="3" s="1"/>
  <c r="BH145" i="3" s="1"/>
  <c r="BI145" i="3" s="1"/>
  <c r="BB145" i="3" s="1"/>
  <c r="AA145" i="3"/>
  <c r="AC163" i="3"/>
  <c r="AD163" i="3" s="1"/>
  <c r="BH163" i="3" s="1"/>
  <c r="BI163" i="3" s="1"/>
  <c r="BB163" i="3" s="1"/>
  <c r="AA163" i="3"/>
  <c r="AA183" i="3"/>
  <c r="AC183" i="3"/>
  <c r="AD183" i="3" s="1"/>
  <c r="BH183" i="3" s="1"/>
  <c r="BI183" i="3" s="1"/>
  <c r="BB183" i="3" s="1"/>
  <c r="BF291" i="3" l="1"/>
  <c r="BF168" i="3"/>
  <c r="BF316" i="3"/>
  <c r="BF271" i="3"/>
  <c r="BF349" i="3"/>
  <c r="BF50" i="3"/>
  <c r="BF335" i="3"/>
  <c r="BF343" i="3"/>
  <c r="BF345" i="3"/>
  <c r="BF239" i="3"/>
  <c r="BF172" i="3"/>
  <c r="BF116" i="3"/>
  <c r="BF248" i="3"/>
  <c r="BF330" i="3"/>
  <c r="BF334" i="3"/>
  <c r="BF41" i="3"/>
  <c r="BF134" i="3"/>
  <c r="BF302" i="3"/>
  <c r="BF342" i="3"/>
  <c r="BF47" i="3"/>
  <c r="BF190" i="3"/>
  <c r="BF63" i="3"/>
  <c r="BF224" i="3"/>
  <c r="BF151" i="3"/>
  <c r="BF183" i="3"/>
  <c r="BF325" i="3"/>
  <c r="BF347" i="3"/>
  <c r="BF140" i="3"/>
  <c r="BF198" i="3"/>
  <c r="BF273" i="3"/>
  <c r="BF333" i="3"/>
  <c r="BF189" i="3"/>
  <c r="BF338" i="3"/>
  <c r="BF45" i="3"/>
  <c r="BF344" i="3"/>
  <c r="BF340" i="3"/>
  <c r="BF348" i="3"/>
  <c r="BF287" i="3"/>
  <c r="BF220" i="3"/>
  <c r="BF337" i="3"/>
  <c r="BF328" i="3"/>
  <c r="BF346" i="3"/>
  <c r="BF48" i="3"/>
  <c r="BF286" i="3"/>
  <c r="BF303" i="3"/>
  <c r="BF249" i="3"/>
  <c r="BF263" i="3"/>
  <c r="BF84" i="3"/>
  <c r="BF65" i="3"/>
  <c r="BF135" i="3"/>
  <c r="BF93" i="3"/>
  <c r="BF85" i="3"/>
  <c r="BF277" i="3"/>
  <c r="BF23" i="3"/>
  <c r="BF62" i="3"/>
  <c r="BF55" i="3"/>
  <c r="BF251" i="3"/>
  <c r="BF223" i="3"/>
  <c r="BF78" i="3"/>
  <c r="BF200" i="3"/>
  <c r="BF57" i="3"/>
  <c r="BF31" i="3"/>
  <c r="BF240" i="3"/>
  <c r="BF51" i="3"/>
  <c r="BF159" i="3"/>
  <c r="BF157" i="3"/>
  <c r="BF215" i="3"/>
  <c r="BF76" i="3"/>
  <c r="BF285" i="3"/>
  <c r="BF33" i="3"/>
  <c r="BF194" i="3"/>
  <c r="BF60" i="3"/>
  <c r="BF25" i="3"/>
  <c r="BF12" i="3"/>
  <c r="BF70" i="3"/>
  <c r="BF125" i="3"/>
  <c r="BF301" i="3"/>
  <c r="BF161" i="3"/>
  <c r="BF149" i="3"/>
  <c r="BF165" i="3"/>
  <c r="BF256" i="3"/>
  <c r="BF304" i="3"/>
  <c r="BF164" i="3"/>
  <c r="BF27" i="3"/>
  <c r="BF184" i="3"/>
  <c r="BF254" i="3"/>
  <c r="BF217" i="3"/>
  <c r="BF46" i="3"/>
  <c r="BF265" i="3"/>
  <c r="BF193" i="3"/>
  <c r="BF71" i="3"/>
  <c r="BF142" i="3"/>
  <c r="BF216" i="3"/>
  <c r="BF7" i="3"/>
  <c r="BF72" i="3"/>
  <c r="BF313" i="3"/>
  <c r="BF294" i="3"/>
  <c r="BF305" i="3"/>
  <c r="BF284" i="3"/>
  <c r="BF238" i="3"/>
  <c r="BF121" i="3"/>
  <c r="BF89" i="3"/>
  <c r="BF16" i="3"/>
  <c r="BF104" i="3"/>
  <c r="BF253" i="3"/>
  <c r="BF64" i="3"/>
  <c r="BF117" i="3"/>
  <c r="BF83" i="3"/>
  <c r="BF26" i="3"/>
  <c r="BF274" i="3"/>
  <c r="BF167" i="3"/>
  <c r="BF28" i="3"/>
  <c r="BF317" i="3"/>
  <c r="BF100" i="3"/>
  <c r="BF259" i="3"/>
  <c r="BF24" i="3"/>
  <c r="BF314" i="3"/>
  <c r="BF260" i="3"/>
  <c r="BF68" i="3"/>
  <c r="BF14" i="3"/>
  <c r="BF264" i="3"/>
  <c r="BF6" i="3"/>
  <c r="BF171" i="3"/>
  <c r="BF97" i="3"/>
  <c r="BF137" i="3"/>
  <c r="BF203" i="3"/>
  <c r="BF219" i="3"/>
  <c r="BF318" i="3"/>
  <c r="BF15" i="3"/>
  <c r="BF268" i="3"/>
  <c r="BF310" i="3"/>
  <c r="BF228" i="3"/>
  <c r="BF131" i="3"/>
  <c r="BF54" i="3"/>
  <c r="BF74" i="3"/>
  <c r="BF276" i="3"/>
  <c r="BF73" i="3"/>
  <c r="BF40" i="3"/>
  <c r="BF96" i="3"/>
  <c r="BF229" i="3"/>
  <c r="BF91" i="3"/>
  <c r="BF247" i="3"/>
  <c r="BF290" i="3"/>
  <c r="BF298" i="3"/>
  <c r="BF38" i="3"/>
  <c r="BF225" i="3"/>
  <c r="BF146" i="3"/>
  <c r="BF244" i="3"/>
  <c r="BF329" i="3"/>
  <c r="BF80" i="3"/>
  <c r="BF156" i="3"/>
  <c r="BF69" i="3"/>
  <c r="BF114" i="3"/>
  <c r="BF211" i="3"/>
  <c r="BF175" i="3"/>
  <c r="BF79" i="3"/>
  <c r="BF30" i="3"/>
  <c r="BF243" i="3"/>
  <c r="BF267" i="3"/>
  <c r="BF169" i="3"/>
  <c r="BF10" i="3"/>
  <c r="BF205" i="3"/>
  <c r="BF115" i="3"/>
  <c r="BF262" i="3"/>
  <c r="BF227" i="3"/>
  <c r="BF37" i="3"/>
  <c r="BF202" i="3"/>
  <c r="BF281" i="3"/>
  <c r="BF182" i="3"/>
  <c r="BF261" i="3"/>
  <c r="BF138" i="3"/>
  <c r="BF67" i="3"/>
  <c r="BF245" i="3"/>
  <c r="BF201" i="3"/>
  <c r="BF77" i="3"/>
  <c r="BF289" i="3"/>
  <c r="BF297" i="3"/>
  <c r="BF44" i="3"/>
  <c r="BF210" i="3"/>
  <c r="BF191" i="3"/>
  <c r="BF120" i="3"/>
  <c r="BF311" i="3"/>
  <c r="BF122" i="3"/>
  <c r="BF112" i="3"/>
  <c r="BF270" i="3"/>
  <c r="BF144" i="3"/>
  <c r="BF108" i="3"/>
  <c r="BF222" i="3"/>
  <c r="BF22" i="3"/>
  <c r="BF119" i="3"/>
  <c r="BF32" i="3"/>
  <c r="BF319" i="3"/>
  <c r="BF127" i="3"/>
  <c r="BF300" i="3"/>
  <c r="BF206" i="3"/>
  <c r="BF118" i="3"/>
  <c r="BF234" i="3"/>
  <c r="BF226" i="3"/>
  <c r="BF173" i="3"/>
  <c r="BF296" i="3"/>
  <c r="BF124" i="3"/>
  <c r="BF158" i="3"/>
  <c r="BF107" i="3"/>
  <c r="BF241" i="3"/>
  <c r="BF266" i="3"/>
  <c r="BF39" i="3"/>
  <c r="BF255" i="3"/>
  <c r="BF113" i="3"/>
  <c r="BF209" i="3"/>
  <c r="BF252" i="3"/>
  <c r="BF315" i="3"/>
  <c r="BF145" i="3"/>
  <c r="BF94" i="3"/>
  <c r="BF177" i="3"/>
  <c r="BF323" i="3"/>
  <c r="BF35" i="3"/>
  <c r="BF280" i="3"/>
  <c r="BF292" i="3"/>
  <c r="BF155" i="3"/>
  <c r="BF331" i="3"/>
  <c r="BF148" i="3"/>
  <c r="BF163" i="3"/>
  <c r="BF233" i="3"/>
  <c r="BF109" i="3"/>
  <c r="BF14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<sst xmlns="http://schemas.openxmlformats.org/spreadsheetml/2006/main" count="3738" uniqueCount="903">
  <si>
    <t>Productivity</t>
  </si>
  <si>
    <t>Response Time</t>
  </si>
  <si>
    <t>Resolution Time</t>
  </si>
  <si>
    <t>Competency</t>
  </si>
  <si>
    <t>Total Score</t>
  </si>
  <si>
    <t>TS</t>
  </si>
  <si>
    <t>CC</t>
  </si>
  <si>
    <t>ROC</t>
  </si>
  <si>
    <t>No</t>
  </si>
  <si>
    <t>Name</t>
  </si>
  <si>
    <t>CE Id</t>
  </si>
  <si>
    <t>Role</t>
  </si>
  <si>
    <t>Area Group</t>
  </si>
  <si>
    <t>Region</t>
  </si>
  <si>
    <t>Vendor</t>
  </si>
  <si>
    <t>Join Date</t>
  </si>
  <si>
    <t>Assesment Date</t>
  </si>
  <si>
    <t>Experience</t>
  </si>
  <si>
    <t>Duration (Day)</t>
  </si>
  <si>
    <t>Total Machine</t>
  </si>
  <si>
    <t>Total CE Area</t>
  </si>
  <si>
    <t>Total SO Area</t>
  </si>
  <si>
    <t>SO Area / CE Area</t>
  </si>
  <si>
    <t>Total SO Individual</t>
  </si>
  <si>
    <t>Index</t>
  </si>
  <si>
    <t>Score</t>
  </si>
  <si>
    <t>Percentage</t>
  </si>
  <si>
    <t>KPI Achievement</t>
  </si>
  <si>
    <t>Zona 1 &lt;=1.5 Hour</t>
  </si>
  <si>
    <t>Zona 2 &lt;= 3 Hours</t>
  </si>
  <si>
    <t>Zona 3 24 Hours Max</t>
  </si>
  <si>
    <t>Analytical Thinking</t>
  </si>
  <si>
    <t>Communication &amp; Coordination with Internal &amp; External Parties</t>
  </si>
  <si>
    <t>SOP</t>
  </si>
  <si>
    <t>Team Work</t>
  </si>
  <si>
    <t>Inovation &amp; Willing to Learn</t>
  </si>
  <si>
    <t>Quantitative Index</t>
  </si>
  <si>
    <t>Qualitative Score</t>
  </si>
  <si>
    <t>Total KPI Achievement</t>
  </si>
  <si>
    <t>Result</t>
  </si>
  <si>
    <t>Fidiaji Susilo</t>
  </si>
  <si>
    <t>IDH40006</t>
  </si>
  <si>
    <t>Senior engineer</t>
  </si>
  <si>
    <t>Surabaya</t>
  </si>
  <si>
    <t>Region 2</t>
  </si>
  <si>
    <t>GSS</t>
  </si>
  <si>
    <t>Handika Juliansyah</t>
  </si>
  <si>
    <t>IDH60020</t>
  </si>
  <si>
    <t>Engineer</t>
  </si>
  <si>
    <t>Jakarta 2</t>
  </si>
  <si>
    <t>Region 1</t>
  </si>
  <si>
    <t>CITIUS</t>
  </si>
  <si>
    <t>Bimantara Dwi Januarianto</t>
  </si>
  <si>
    <t>IDH70004</t>
  </si>
  <si>
    <t>Associate engineer</t>
  </si>
  <si>
    <t>SIPRAMA</t>
  </si>
  <si>
    <t>Adytia Tri Aprilianto Priyono</t>
  </si>
  <si>
    <t>IDH40059</t>
  </si>
  <si>
    <t>Roland</t>
  </si>
  <si>
    <t>IDH80078</t>
  </si>
  <si>
    <t>Manokwari</t>
  </si>
  <si>
    <t>IMPACT</t>
  </si>
  <si>
    <t>Virgiawan Rachman Daeng Rate</t>
  </si>
  <si>
    <t>IDH40034</t>
  </si>
  <si>
    <t>Bandung</t>
  </si>
  <si>
    <t>Fajar Dhiki Satriatama</t>
  </si>
  <si>
    <t>IDH60079</t>
  </si>
  <si>
    <t>Semarang</t>
  </si>
  <si>
    <t>Rison Siregar</t>
  </si>
  <si>
    <t>IDH80126</t>
  </si>
  <si>
    <t>Lampung</t>
  </si>
  <si>
    <t>Ardian Pragusti</t>
  </si>
  <si>
    <t>IDH10009</t>
  </si>
  <si>
    <t>Lahat</t>
  </si>
  <si>
    <t>Region 3</t>
  </si>
  <si>
    <t>KINARYA</t>
  </si>
  <si>
    <t>Sadam Arifin</t>
  </si>
  <si>
    <t>IDH80097</t>
  </si>
  <si>
    <t>Ternate</t>
  </si>
  <si>
    <t>Remondo Extrada Simanjuntak</t>
  </si>
  <si>
    <t>IDH40054</t>
  </si>
  <si>
    <t>Pontianak</t>
  </si>
  <si>
    <t>Achmad Azizul Hakim Nugroho</t>
  </si>
  <si>
    <t>IDH40041</t>
  </si>
  <si>
    <t>Muhammad Faisal</t>
  </si>
  <si>
    <t>IDH70042</t>
  </si>
  <si>
    <t>Parepare</t>
  </si>
  <si>
    <t>M. Rahmatullah Habibuddin</t>
  </si>
  <si>
    <t>IDH60081</t>
  </si>
  <si>
    <t>Makassar</t>
  </si>
  <si>
    <t>Markus Damai</t>
  </si>
  <si>
    <t>IDH60067</t>
  </si>
  <si>
    <t>Palangkaraya</t>
  </si>
  <si>
    <t>Rizaldy Wahyu P</t>
  </si>
  <si>
    <t>IDH40081</t>
  </si>
  <si>
    <t>Jakarta 1</t>
  </si>
  <si>
    <t>Fajar Nurohman</t>
  </si>
  <si>
    <t>IDH20035</t>
  </si>
  <si>
    <t>Jakarta 3</t>
  </si>
  <si>
    <t>Viqri Haikal</t>
  </si>
  <si>
    <t>IDH10008</t>
  </si>
  <si>
    <t>Muara Bungo</t>
  </si>
  <si>
    <t>M Sugi Arto</t>
  </si>
  <si>
    <t>IDH70017</t>
  </si>
  <si>
    <t>Aprilian K Tamau</t>
  </si>
  <si>
    <t>IDH80025</t>
  </si>
  <si>
    <t>Gorontalo</t>
  </si>
  <si>
    <t>Bintang Soekarno Adji</t>
  </si>
  <si>
    <t>IDH80035</t>
  </si>
  <si>
    <t>Muhammad Saiful Mujab</t>
  </si>
  <si>
    <t>IDH80045</t>
  </si>
  <si>
    <t>Blora</t>
  </si>
  <si>
    <t>Wahyudi Aulia</t>
  </si>
  <si>
    <t>IDH30023</t>
  </si>
  <si>
    <t>Padang</t>
  </si>
  <si>
    <t>Heru Pangihutan Tobing</t>
  </si>
  <si>
    <t>IDH60009</t>
  </si>
  <si>
    <t>Pekanbaru</t>
  </si>
  <si>
    <t>Zeth Taba Mangiwa</t>
  </si>
  <si>
    <t>IDH50009</t>
  </si>
  <si>
    <t>Palopo</t>
  </si>
  <si>
    <t>Muhammad Sofyan</t>
  </si>
  <si>
    <t>IDH40093</t>
  </si>
  <si>
    <t>Madiun</t>
  </si>
  <si>
    <t>Yusuf Saputra</t>
  </si>
  <si>
    <t>IDH70050</t>
  </si>
  <si>
    <t>Syahrul Ramadani</t>
  </si>
  <si>
    <t>IDH80099</t>
  </si>
  <si>
    <t>Bulukumba</t>
  </si>
  <si>
    <t>Rizky Pratama Putra</t>
  </si>
  <si>
    <t>IDH60066</t>
  </si>
  <si>
    <t>Ilham Ramadhan</t>
  </si>
  <si>
    <t>IDH40119</t>
  </si>
  <si>
    <t>Tangerang</t>
  </si>
  <si>
    <t>Surya Lesmana</t>
  </si>
  <si>
    <t>IDH80002</t>
  </si>
  <si>
    <t>Solo</t>
  </si>
  <si>
    <t>Sampoerna Fitra Dharmawan</t>
  </si>
  <si>
    <t>IDH60018</t>
  </si>
  <si>
    <t>Ruso Mahesa</t>
  </si>
  <si>
    <t>IDH40097</t>
  </si>
  <si>
    <t>Kediri</t>
  </si>
  <si>
    <t>Rendi Ariyanto</t>
  </si>
  <si>
    <t>IDH80101</t>
  </si>
  <si>
    <t>Ketapang</t>
  </si>
  <si>
    <t>Wahyu Danang Adi Saputra</t>
  </si>
  <si>
    <t>IDH40121</t>
  </si>
  <si>
    <t>Sony Arip</t>
  </si>
  <si>
    <t>IDH70002</t>
  </si>
  <si>
    <t>Adam Fatchur Rozi</t>
  </si>
  <si>
    <t>IDH70115</t>
  </si>
  <si>
    <t>Hutri Leonard Adson Umbu Goyi</t>
  </si>
  <si>
    <t>IDH80046</t>
  </si>
  <si>
    <t>Waikabubak</t>
  </si>
  <si>
    <t>Marsianus Bonavantura Ria</t>
  </si>
  <si>
    <t>IDH80094</t>
  </si>
  <si>
    <t>Ruteng</t>
  </si>
  <si>
    <t>Bara Putra</t>
  </si>
  <si>
    <t>IDH70031</t>
  </si>
  <si>
    <t>Bayu Saputra</t>
  </si>
  <si>
    <t>IDH80134</t>
  </si>
  <si>
    <t>Bengkulu</t>
  </si>
  <si>
    <t>Rifcky Fajar Firmanto</t>
  </si>
  <si>
    <t>IDH60076</t>
  </si>
  <si>
    <t>Febri Anggoro Guretno</t>
  </si>
  <si>
    <t>IDH70118</t>
  </si>
  <si>
    <t>Finardi</t>
  </si>
  <si>
    <t>IDH80129</t>
  </si>
  <si>
    <t>Belitung</t>
  </si>
  <si>
    <t>Hasanudin</t>
  </si>
  <si>
    <t>IDH40032</t>
  </si>
  <si>
    <t>Jayapura</t>
  </si>
  <si>
    <t>Brian Anggito Abimanyu</t>
  </si>
  <si>
    <t>IDH10013</t>
  </si>
  <si>
    <t>Serang</t>
  </si>
  <si>
    <t>Duvan Deswantara Putra</t>
  </si>
  <si>
    <t>IDH60061</t>
  </si>
  <si>
    <t>Angga Anugerah Illahi</t>
  </si>
  <si>
    <t>IDH70020</t>
  </si>
  <si>
    <t>Cikampek</t>
  </si>
  <si>
    <t>Munawir Usman</t>
  </si>
  <si>
    <t>IDH80008</t>
  </si>
  <si>
    <t>Denpasar</t>
  </si>
  <si>
    <t>Yayan Setiana</t>
  </si>
  <si>
    <t>IDH60015</t>
  </si>
  <si>
    <t>Muhammad Shafarizky</t>
  </si>
  <si>
    <t>IDH80031</t>
  </si>
  <si>
    <t>Medan</t>
  </si>
  <si>
    <t>Eko Wahyu Pramono</t>
  </si>
  <si>
    <t>IDH20023</t>
  </si>
  <si>
    <t>Widi Seftiawan Efendi</t>
  </si>
  <si>
    <t>IDH30046</t>
  </si>
  <si>
    <t>Bekasi</t>
  </si>
  <si>
    <t>Fajry Ramadhan</t>
  </si>
  <si>
    <t>IDH70047</t>
  </si>
  <si>
    <t>Jambi</t>
  </si>
  <si>
    <t>Iffat Ahmad Baihaki</t>
  </si>
  <si>
    <t>IDH80057</t>
  </si>
  <si>
    <t>Hurdi Wahyu Luhudin Solissa</t>
  </si>
  <si>
    <t>IDH80033</t>
  </si>
  <si>
    <t>Ambon</t>
  </si>
  <si>
    <t>Hendra Wahyu Aprilyanto</t>
  </si>
  <si>
    <t>IDH60003</t>
  </si>
  <si>
    <t>Bima Putra Harsya</t>
  </si>
  <si>
    <t>IDH80030</t>
  </si>
  <si>
    <t>Payakumbuh</t>
  </si>
  <si>
    <t>Ambali</t>
  </si>
  <si>
    <t>IDH30033</t>
  </si>
  <si>
    <t>I Gede Agus Satriya Bayu</t>
  </si>
  <si>
    <t>IDH70071</t>
  </si>
  <si>
    <t>Abdul Rahman</t>
  </si>
  <si>
    <t>IDH80130</t>
  </si>
  <si>
    <t>Dumai</t>
  </si>
  <si>
    <t>Reza Akhsan Noor</t>
  </si>
  <si>
    <t>IDH80050</t>
  </si>
  <si>
    <t>Yovi Bahtiar Aditya</t>
  </si>
  <si>
    <t>IDH60051</t>
  </si>
  <si>
    <t>Muhammad Baskara</t>
  </si>
  <si>
    <t>IDH80068</t>
  </si>
  <si>
    <t>Achmad Dandy Pahlevi</t>
  </si>
  <si>
    <t>IDH70061</t>
  </si>
  <si>
    <t>Rahmad Ade Kurniawan</t>
  </si>
  <si>
    <t>IDH60068</t>
  </si>
  <si>
    <t>Palembang</t>
  </si>
  <si>
    <t>Lukmanul Hakim</t>
  </si>
  <si>
    <t>IDH80091</t>
  </si>
  <si>
    <t>Batam</t>
  </si>
  <si>
    <t>Bontang</t>
  </si>
  <si>
    <t>Muhammad Sudrajat</t>
  </si>
  <si>
    <t>IDH40058</t>
  </si>
  <si>
    <t>Cirebon</t>
  </si>
  <si>
    <t>Doni Setiawan</t>
  </si>
  <si>
    <t>IDH20025</t>
  </si>
  <si>
    <t>Tejo Kumolo Wahyu</t>
  </si>
  <si>
    <t>IDH60036</t>
  </si>
  <si>
    <t>M.Nurul Ihsan</t>
  </si>
  <si>
    <t>IDH60017</t>
  </si>
  <si>
    <t>Arif Septianto</t>
  </si>
  <si>
    <t>IDH70011</t>
  </si>
  <si>
    <t>Andre Fikriawan</t>
  </si>
  <si>
    <t>IDH80010</t>
  </si>
  <si>
    <t>Mataram</t>
  </si>
  <si>
    <t>Adi Sujana Mahmud</t>
  </si>
  <si>
    <t>IDH50026</t>
  </si>
  <si>
    <t>Palu</t>
  </si>
  <si>
    <t>Muhammad Faris Akbar</t>
  </si>
  <si>
    <t>IDH40100</t>
  </si>
  <si>
    <t>Samarinda</t>
  </si>
  <si>
    <t>Bima Trihatandi</t>
  </si>
  <si>
    <t>IDH30042</t>
  </si>
  <si>
    <t>Adi Sunandar</t>
  </si>
  <si>
    <t>IDH80067</t>
  </si>
  <si>
    <t>Tasikmalaya</t>
  </si>
  <si>
    <t>Indi Galang Prakoso</t>
  </si>
  <si>
    <t>IDH40014</t>
  </si>
  <si>
    <t>Taufiq Akbar</t>
  </si>
  <si>
    <t>IDH80032</t>
  </si>
  <si>
    <t>Yogyakarta</t>
  </si>
  <si>
    <t>Achmad Gildas Thauty</t>
  </si>
  <si>
    <t>IDH90049</t>
  </si>
  <si>
    <t>Muhammad Febri Prasetyo Utomo</t>
  </si>
  <si>
    <t>IDH90007</t>
  </si>
  <si>
    <t>Ali Supriadi</t>
  </si>
  <si>
    <t>IDH40072</t>
  </si>
  <si>
    <t>Agung Sugianto</t>
  </si>
  <si>
    <t>IDH20040</t>
  </si>
  <si>
    <t>Hilarion Basriandi</t>
  </si>
  <si>
    <t>IDH70062</t>
  </si>
  <si>
    <t>Kupang</t>
  </si>
  <si>
    <t>Reski Afdhila</t>
  </si>
  <si>
    <t>IDH40125</t>
  </si>
  <si>
    <t>Noval Wira Yudha</t>
  </si>
  <si>
    <t>IDH70013</t>
  </si>
  <si>
    <t>Angga Meisa Maulana</t>
  </si>
  <si>
    <t>IDH80026</t>
  </si>
  <si>
    <t>Mualim Rohman</t>
  </si>
  <si>
    <t>IDH70033</t>
  </si>
  <si>
    <t>Balikpapan</t>
  </si>
  <si>
    <t>Daniel George</t>
  </si>
  <si>
    <t>IDH40003</t>
  </si>
  <si>
    <t>Khairul Annuar</t>
  </si>
  <si>
    <t>IDH40073</t>
  </si>
  <si>
    <t>Nanang Nasrullah</t>
  </si>
  <si>
    <t>IDH80085</t>
  </si>
  <si>
    <t>Pekalongan</t>
  </si>
  <si>
    <t>Muhammad Fikri Sudarso</t>
  </si>
  <si>
    <t>IDH80024</t>
  </si>
  <si>
    <t>Banjarmasin</t>
  </si>
  <si>
    <t>Bima Wahyu Raebawa</t>
  </si>
  <si>
    <t>IDH80034</t>
  </si>
  <si>
    <t>Fernando Bastanta Ginting</t>
  </si>
  <si>
    <t>IDH80053</t>
  </si>
  <si>
    <t>Yudha Aryadi Zuhal</t>
  </si>
  <si>
    <t>IDH80090</t>
  </si>
  <si>
    <t>Muhammad Afrizal</t>
  </si>
  <si>
    <t>IDH40066</t>
  </si>
  <si>
    <t>Muhammad Ganda Sriwitjayanto</t>
  </si>
  <si>
    <t>IDH40011</t>
  </si>
  <si>
    <t>Deril Juliarto</t>
  </si>
  <si>
    <t>IDH60033</t>
  </si>
  <si>
    <t>Manado</t>
  </si>
  <si>
    <t>Suhardi</t>
  </si>
  <si>
    <t>IDH70015</t>
  </si>
  <si>
    <t>Muhammad Farhan Maskur</t>
  </si>
  <si>
    <t>IDH80133</t>
  </si>
  <si>
    <t>Abdul Arif Manoppo</t>
  </si>
  <si>
    <t>IDH90056</t>
  </si>
  <si>
    <t>Muhamad Riyadi</t>
  </si>
  <si>
    <t>IDH80062</t>
  </si>
  <si>
    <t>Fribet Dominggo Siadari</t>
  </si>
  <si>
    <t>IDH60060</t>
  </si>
  <si>
    <t>Muhammad Munandar</t>
  </si>
  <si>
    <t>IDH40094</t>
  </si>
  <si>
    <t>Muhammad Zaini</t>
  </si>
  <si>
    <t>IDH80089</t>
  </si>
  <si>
    <t>Probolinggo</t>
  </si>
  <si>
    <t>Muhammad Risqi Hidayatullah</t>
  </si>
  <si>
    <t>IDH80054</t>
  </si>
  <si>
    <t>Rahman Jauhari</t>
  </si>
  <si>
    <t>IDH70052</t>
  </si>
  <si>
    <t>Raden Mas Alfian Apriansya Diponegoro</t>
  </si>
  <si>
    <t>IDH50007</t>
  </si>
  <si>
    <t>Kendari</t>
  </si>
  <si>
    <t>Abu Samsul Hanifah</t>
  </si>
  <si>
    <t>IDH60089</t>
  </si>
  <si>
    <t>Sukabumi</t>
  </si>
  <si>
    <t>Aryangga Madya Kurniawan</t>
  </si>
  <si>
    <t>IDH80074</t>
  </si>
  <si>
    <t>Tarutung</t>
  </si>
  <si>
    <t>Bagas Widya Ananta</t>
  </si>
  <si>
    <t>IDH40082</t>
  </si>
  <si>
    <t>Agung Nugroho</t>
  </si>
  <si>
    <t>IDH60006</t>
  </si>
  <si>
    <t>Komedi Adi Utomo</t>
  </si>
  <si>
    <t>IDH80086</t>
  </si>
  <si>
    <t>Dwiki Dhamuristya</t>
  </si>
  <si>
    <t>IDH90055</t>
  </si>
  <si>
    <t>Fajar Nugraha</t>
  </si>
  <si>
    <t>IDH30024</t>
  </si>
  <si>
    <t>Muhammad Ilham JKT</t>
  </si>
  <si>
    <t>IDH40079</t>
  </si>
  <si>
    <t>Puji Setiyawan</t>
  </si>
  <si>
    <t>IDH60026</t>
  </si>
  <si>
    <t>Achmad Rio Anditya</t>
  </si>
  <si>
    <t>IDH60004</t>
  </si>
  <si>
    <t>I Gde Wahyu Aditya Dharma</t>
  </si>
  <si>
    <t>IDH70056</t>
  </si>
  <si>
    <t>Arif Yudit Dwi Prakoso</t>
  </si>
  <si>
    <t>IDH70001</t>
  </si>
  <si>
    <t>Bogor</t>
  </si>
  <si>
    <t>Ahmadi Saputra</t>
  </si>
  <si>
    <t>IDH80029</t>
  </si>
  <si>
    <t>Rizal Zaelani</t>
  </si>
  <si>
    <t>IDH60075</t>
  </si>
  <si>
    <t>Muhammad Fikri Nurhadi</t>
  </si>
  <si>
    <t>IDH60085</t>
  </si>
  <si>
    <t>Muhammad Faisol</t>
  </si>
  <si>
    <t>IDH90050</t>
  </si>
  <si>
    <t>Akmal Husein Anantya</t>
  </si>
  <si>
    <t>IDH80084</t>
  </si>
  <si>
    <t>Rizkyellyasa Simon Martin</t>
  </si>
  <si>
    <t>IDH80081</t>
  </si>
  <si>
    <t>Achmad  Affan Awaluddin</t>
  </si>
  <si>
    <t>IDH60087</t>
  </si>
  <si>
    <t>Duwi Yulianto</t>
  </si>
  <si>
    <t>IDH80003</t>
  </si>
  <si>
    <t>Aditya Tri Saputra</t>
  </si>
  <si>
    <t>IDH80027</t>
  </si>
  <si>
    <t>Muhammad Alifuddin</t>
  </si>
  <si>
    <t>IDH70023</t>
  </si>
  <si>
    <t>Bima</t>
  </si>
  <si>
    <t>Angga Andiana Septian</t>
  </si>
  <si>
    <t>IDH70057</t>
  </si>
  <si>
    <t>Anugrah Aji Pangestu</t>
  </si>
  <si>
    <t>IDH40107</t>
  </si>
  <si>
    <t>Eko Tomy Hartono</t>
  </si>
  <si>
    <t>IDH10001</t>
  </si>
  <si>
    <t>Thaha Tachmid Fadillah</t>
  </si>
  <si>
    <t>IDH70104</t>
  </si>
  <si>
    <t>Muhammad Ardhy Riawan</t>
  </si>
  <si>
    <t>IDH20045</t>
  </si>
  <si>
    <t>Dimas Putra Al Diansyah</t>
  </si>
  <si>
    <t>IDH70018</t>
  </si>
  <si>
    <t>Bahar</t>
  </si>
  <si>
    <t>IDH60021</t>
  </si>
  <si>
    <t>Moh. Aidil</t>
  </si>
  <si>
    <t>IDH80017</t>
  </si>
  <si>
    <t>Eri Septiadi</t>
  </si>
  <si>
    <t>IDH70113</t>
  </si>
  <si>
    <t>Nelpan Safputra</t>
  </si>
  <si>
    <t>IDH30015</t>
  </si>
  <si>
    <t>Bangka</t>
  </si>
  <si>
    <t>Ilham Satrio Wibowo</t>
  </si>
  <si>
    <t>IDH80048</t>
  </si>
  <si>
    <t>Ahmad Hoerul Anam</t>
  </si>
  <si>
    <t>IDH70008</t>
  </si>
  <si>
    <t>Try Ispandy</t>
  </si>
  <si>
    <t>IDH60086</t>
  </si>
  <si>
    <t>Ricko Aglis Abdurahman</t>
  </si>
  <si>
    <t>IDH50021</t>
  </si>
  <si>
    <t>Bayu Ihsan Nugroho</t>
  </si>
  <si>
    <t>IDH60063</t>
  </si>
  <si>
    <t>Muhammad Adi Prabowo Sutanto</t>
  </si>
  <si>
    <t>IDH60072</t>
  </si>
  <si>
    <t>Anggara Fajri Afif</t>
  </si>
  <si>
    <t>IDH70012</t>
  </si>
  <si>
    <t>Muh Fadly Jashar</t>
  </si>
  <si>
    <t>IDH70051</t>
  </si>
  <si>
    <t>Fahri</t>
  </si>
  <si>
    <t>IDH70025</t>
  </si>
  <si>
    <t>Wiranto Biki</t>
  </si>
  <si>
    <t>IDH80132</t>
  </si>
  <si>
    <t>Muhammad Tri Prijaya</t>
  </si>
  <si>
    <t>IDH90048</t>
  </si>
  <si>
    <t>Dicky Raychan</t>
  </si>
  <si>
    <t>IDH80127</t>
  </si>
  <si>
    <t>Mohammad Aprido Rezkiawan</t>
  </si>
  <si>
    <t>IDH70030</t>
  </si>
  <si>
    <t>Jember</t>
  </si>
  <si>
    <t>M Rifqy Uaisy</t>
  </si>
  <si>
    <t>IDH80073</t>
  </si>
  <si>
    <t>Reza Digusli A Siregar</t>
  </si>
  <si>
    <t>IDH80075</t>
  </si>
  <si>
    <t>Rantau Prapat</t>
  </si>
  <si>
    <t>Ilham Rusdiyono</t>
  </si>
  <si>
    <t>IDH70073</t>
  </si>
  <si>
    <t>Herizal Kuswardana</t>
  </si>
  <si>
    <t>IDH70022</t>
  </si>
  <si>
    <t>Andriana Navulani</t>
  </si>
  <si>
    <t>IDH60046</t>
  </si>
  <si>
    <t>Rifqy Adrian</t>
  </si>
  <si>
    <t>IDH60088</t>
  </si>
  <si>
    <t>Hafi Maulana Ridwan</t>
  </si>
  <si>
    <t>IDH40130</t>
  </si>
  <si>
    <t>Mokhamad Burhanudin</t>
  </si>
  <si>
    <t>IDH40007</t>
  </si>
  <si>
    <t>Raka Widharma Kartika</t>
  </si>
  <si>
    <t>IDH80088</t>
  </si>
  <si>
    <t>Doni Ari Pradana</t>
  </si>
  <si>
    <t>IDH40083</t>
  </si>
  <si>
    <t>Galih Syahri Romadoni</t>
  </si>
  <si>
    <t>IDH30041</t>
  </si>
  <si>
    <t>Muhammad Ilham PLG</t>
  </si>
  <si>
    <t>IDH40068</t>
  </si>
  <si>
    <t>Arifianto Refani</t>
  </si>
  <si>
    <t>IDH90010</t>
  </si>
  <si>
    <t>Purwokerto</t>
  </si>
  <si>
    <t>Prasetio Nugroho</t>
  </si>
  <si>
    <t>IDH60034</t>
  </si>
  <si>
    <t>Fahri Husaini</t>
  </si>
  <si>
    <t>IDH60040</t>
  </si>
  <si>
    <t>Lukman Pradita</t>
  </si>
  <si>
    <t>IDH40123</t>
  </si>
  <si>
    <t>Prakoso Anung Pamuji</t>
  </si>
  <si>
    <t>IDH40057</t>
  </si>
  <si>
    <t>Hery Kurniawan</t>
  </si>
  <si>
    <t>IDH40064</t>
  </si>
  <si>
    <t>Tegal</t>
  </si>
  <si>
    <t>Faldy Agung Nugraha Koleba</t>
  </si>
  <si>
    <t>IDH90004</t>
  </si>
  <si>
    <t>Andito Wahyu</t>
  </si>
  <si>
    <t>IDH90006</t>
  </si>
  <si>
    <t>Banyuwangi</t>
  </si>
  <si>
    <t>Yogi Kurniawan</t>
  </si>
  <si>
    <t>IDH40046</t>
  </si>
  <si>
    <t>Afri Yunaldo</t>
  </si>
  <si>
    <t>IDH80069</t>
  </si>
  <si>
    <t>Puri Herdiansyah</t>
  </si>
  <si>
    <t>IDH40074</t>
  </si>
  <si>
    <t>Odik Sulasdika</t>
  </si>
  <si>
    <t>IDH20026</t>
  </si>
  <si>
    <t>Yogi Duta Hartas</t>
  </si>
  <si>
    <t>IDH50020</t>
  </si>
  <si>
    <t>Achmad Angga Pradana</t>
  </si>
  <si>
    <t>IDH70024</t>
  </si>
  <si>
    <t>Pangkalan Bun</t>
  </si>
  <si>
    <t>Ridho Dwi Prakoso</t>
  </si>
  <si>
    <t>IDH70019</t>
  </si>
  <si>
    <t>Azkoni Gumlaya</t>
  </si>
  <si>
    <t>IDH90057</t>
  </si>
  <si>
    <t>Lubuk Linggau</t>
  </si>
  <si>
    <t>Rahmat Hidayatullah</t>
  </si>
  <si>
    <t>IDH40127</t>
  </si>
  <si>
    <t>Muhammad Oktanto D</t>
  </si>
  <si>
    <t>IDH40053</t>
  </si>
  <si>
    <t>Irshad Primambudi</t>
  </si>
  <si>
    <t>IDH70063</t>
  </si>
  <si>
    <t>Syafrudin</t>
  </si>
  <si>
    <t>IDH30039</t>
  </si>
  <si>
    <t>Adi Wicaksono</t>
  </si>
  <si>
    <t>IDH90052</t>
  </si>
  <si>
    <t>Agung Mega Nanda</t>
  </si>
  <si>
    <t>IDH70114</t>
  </si>
  <si>
    <t>Yudha Satria Guntoro</t>
  </si>
  <si>
    <t>IDH60032</t>
  </si>
  <si>
    <t>Zihni Zein</t>
  </si>
  <si>
    <t>IDH40120</t>
  </si>
  <si>
    <t>Irfan Ramadhan</t>
  </si>
  <si>
    <t>IDH80056</t>
  </si>
  <si>
    <t>Giri Dwi Prasetya</t>
  </si>
  <si>
    <t>IDH80065</t>
  </si>
  <si>
    <t>Wahyu Dwi Vebyannto</t>
  </si>
  <si>
    <t>IDH10015</t>
  </si>
  <si>
    <t>Rizki Pratama</t>
  </si>
  <si>
    <t>IDH80022</t>
  </si>
  <si>
    <t>William Oka Pratama</t>
  </si>
  <si>
    <t>IDH50016</t>
  </si>
  <si>
    <t>M Dicky Syahputra</t>
  </si>
  <si>
    <t>IDH80125</t>
  </si>
  <si>
    <t>Dimas Anda Pratama</t>
  </si>
  <si>
    <t>IDH60010</t>
  </si>
  <si>
    <t>Fakhri Rahmatullah</t>
  </si>
  <si>
    <t>IDH80042</t>
  </si>
  <si>
    <t>Roby Kurniawan</t>
  </si>
  <si>
    <t>IDH60008</t>
  </si>
  <si>
    <t>Alyan Elman Sumintoro</t>
  </si>
  <si>
    <t>IDH80095</t>
  </si>
  <si>
    <t>Awang Reza Al Chabir</t>
  </si>
  <si>
    <t>IDH60011</t>
  </si>
  <si>
    <t>Rifqi Muarifa</t>
  </si>
  <si>
    <t>IDH70014</t>
  </si>
  <si>
    <t>Abdimas Pasa</t>
  </si>
  <si>
    <t>IDH40085</t>
  </si>
  <si>
    <t>Ibnu Malik Al Hamas</t>
  </si>
  <si>
    <t>IDH30050</t>
  </si>
  <si>
    <t>Muhammad Azhar</t>
  </si>
  <si>
    <t>IDH70006</t>
  </si>
  <si>
    <t>M Triwahyudi Damanik</t>
  </si>
  <si>
    <t>IDH90054</t>
  </si>
  <si>
    <t>Pematang Siantar</t>
  </si>
  <si>
    <t>Ali Mukti</t>
  </si>
  <si>
    <t>IDH40096</t>
  </si>
  <si>
    <t>Ardian Syafrizal</t>
  </si>
  <si>
    <t>IDH80077</t>
  </si>
  <si>
    <t>Merauke</t>
  </si>
  <si>
    <t>Satiadi Yoga Nandiko</t>
  </si>
  <si>
    <t>IDH80016</t>
  </si>
  <si>
    <t>Refky Hidayat</t>
  </si>
  <si>
    <t>IDH50019</t>
  </si>
  <si>
    <t>Dika Febri Andreansyah</t>
  </si>
  <si>
    <t>IDH80124</t>
  </si>
  <si>
    <t>Willy Buana</t>
  </si>
  <si>
    <t>IDH80040</t>
  </si>
  <si>
    <t>Gideon Arinata</t>
  </si>
  <si>
    <t>IDH40077</t>
  </si>
  <si>
    <t>Rhizky Sheplia Prananda</t>
  </si>
  <si>
    <t>IDH80015</t>
  </si>
  <si>
    <t>Muhamad Ikhwanus Syafa</t>
  </si>
  <si>
    <t>IDH70028</t>
  </si>
  <si>
    <t>Tarakan</t>
  </si>
  <si>
    <t>Tanto Rusdwiano</t>
  </si>
  <si>
    <t>IDH40001</t>
  </si>
  <si>
    <t>Muhammad Alpin</t>
  </si>
  <si>
    <t>IDH60039</t>
  </si>
  <si>
    <t>Yayang Liona</t>
  </si>
  <si>
    <t>IDH70117</t>
  </si>
  <si>
    <t>Alfi Syahri Fatahilah</t>
  </si>
  <si>
    <t>IDH30043</t>
  </si>
  <si>
    <t>Graldi Firson Sualang</t>
  </si>
  <si>
    <t>IDH40015</t>
  </si>
  <si>
    <t>Muh. Amri Irianto</t>
  </si>
  <si>
    <t>IDH80093</t>
  </si>
  <si>
    <t>Eko Febian Wijaksana</t>
  </si>
  <si>
    <t>IDH70107</t>
  </si>
  <si>
    <t>Saoki Firdaus</t>
  </si>
  <si>
    <t>IDH80083</t>
  </si>
  <si>
    <t>Muhammad Arfan Lesmana</t>
  </si>
  <si>
    <t>IDH80080</t>
  </si>
  <si>
    <t>Mohamad Nursamsi Adiwiranto</t>
  </si>
  <si>
    <t>IDH60077</t>
  </si>
  <si>
    <t>Rizaldi</t>
  </si>
  <si>
    <t>IDH60082</t>
  </si>
  <si>
    <t>Nugroho Bagus Pamungkas</t>
  </si>
  <si>
    <t>IDH60052</t>
  </si>
  <si>
    <t>Ilham Yudha Alfiandi</t>
  </si>
  <si>
    <t>IDH60019</t>
  </si>
  <si>
    <t>Dion Permadi</t>
  </si>
  <si>
    <t>IDH80058</t>
  </si>
  <si>
    <t>Gilang Ramadhan</t>
  </si>
  <si>
    <t>IDH60056</t>
  </si>
  <si>
    <t>Depok</t>
  </si>
  <si>
    <t>Irfan Marsa Allya</t>
  </si>
  <si>
    <t>IDH50018</t>
  </si>
  <si>
    <t>Ofeber Tafonao</t>
  </si>
  <si>
    <t>IDH80071</t>
  </si>
  <si>
    <t>Deas Aditya</t>
  </si>
  <si>
    <t>IDH70103</t>
  </si>
  <si>
    <t>Nur Chalis</t>
  </si>
  <si>
    <t>IDH90002</t>
  </si>
  <si>
    <t>Nurul Muhyidin</t>
  </si>
  <si>
    <t>IDH60084</t>
  </si>
  <si>
    <t>Bintang Wahyu Nugroho</t>
  </si>
  <si>
    <t>IDH10010</t>
  </si>
  <si>
    <t>Bonaventura P Jemi</t>
  </si>
  <si>
    <t>IDH60047</t>
  </si>
  <si>
    <t>Ende</t>
  </si>
  <si>
    <t>Yogi Nourmansyah</t>
  </si>
  <si>
    <t>IDH80014</t>
  </si>
  <si>
    <t>M.Fadli Arief</t>
  </si>
  <si>
    <t>IDH40086</t>
  </si>
  <si>
    <t>Rizki Aprianto</t>
  </si>
  <si>
    <t>IDH90009</t>
  </si>
  <si>
    <t>Jeki Saputra</t>
  </si>
  <si>
    <t>IDH60069</t>
  </si>
  <si>
    <t>Robert Parulian</t>
  </si>
  <si>
    <t>IDH40026</t>
  </si>
  <si>
    <t>Iqbal Hasan Suteja</t>
  </si>
  <si>
    <t>IDH40099</t>
  </si>
  <si>
    <t>Desnal Dwi Prakoso</t>
  </si>
  <si>
    <t>IDH40124</t>
  </si>
  <si>
    <t>M. Iqbal Nafhi</t>
  </si>
  <si>
    <t>IDH80005</t>
  </si>
  <si>
    <t>Ribudi Hartono</t>
  </si>
  <si>
    <t>IDH80079</t>
  </si>
  <si>
    <t>Timika</t>
  </si>
  <si>
    <t>Muhammad Fahmi Affandi</t>
  </si>
  <si>
    <t>IDH10011</t>
  </si>
  <si>
    <t>Prasetyo Hadi Saputra</t>
  </si>
  <si>
    <t>IDH80096</t>
  </si>
  <si>
    <t>Mulyaddin</t>
  </si>
  <si>
    <t>IDH50005</t>
  </si>
  <si>
    <t>Sorong</t>
  </si>
  <si>
    <t>Fany Arya Hidayat</t>
  </si>
  <si>
    <t>IDH80001</t>
  </si>
  <si>
    <t>Dwinanjar Aji Santoso</t>
  </si>
  <si>
    <t>IDH20022</t>
  </si>
  <si>
    <t>Vidi Ferdiana</t>
  </si>
  <si>
    <t>IDH90005</t>
  </si>
  <si>
    <t>Revi Irsanda</t>
  </si>
  <si>
    <t>IDH80092</t>
  </si>
  <si>
    <t>Feri Wahyudi</t>
  </si>
  <si>
    <t>IDH10014</t>
  </si>
  <si>
    <t>Theo Xaverius Marbun</t>
  </si>
  <si>
    <t>IDH80013</t>
  </si>
  <si>
    <t>Prayogi Maulana</t>
  </si>
  <si>
    <t>IDH70035</t>
  </si>
  <si>
    <t>Irsan Trigunadi</t>
  </si>
  <si>
    <t>IDH30032</t>
  </si>
  <si>
    <t>Jemi Sastra</t>
  </si>
  <si>
    <t>IDH40030</t>
  </si>
  <si>
    <t>Mochamar Tegar Ath Tharikh</t>
  </si>
  <si>
    <t>IDH80066</t>
  </si>
  <si>
    <t>Ramadhan Hermansyah</t>
  </si>
  <si>
    <t>IDH70029</t>
  </si>
  <si>
    <t>Rizqi Fahurrahman</t>
  </si>
  <si>
    <t>IDH70049</t>
  </si>
  <si>
    <t>Albert Nielsen Naibaho</t>
  </si>
  <si>
    <t>IDH50002</t>
  </si>
  <si>
    <t>Muhamad Reza Maulana</t>
  </si>
  <si>
    <t>IDH20044</t>
  </si>
  <si>
    <t>Rian Nurhidayat</t>
  </si>
  <si>
    <t>IDH80087</t>
  </si>
  <si>
    <t>Renaldo Dio Undari</t>
  </si>
  <si>
    <t>IDH50029</t>
  </si>
  <si>
    <t>Malang</t>
  </si>
  <si>
    <t>Rafi Fredy Septianto</t>
  </si>
  <si>
    <t>IDH80059</t>
  </si>
  <si>
    <t>Hamzah Dwi Aryanto</t>
  </si>
  <si>
    <t>IDH60054</t>
  </si>
  <si>
    <t>Syahroni</t>
  </si>
  <si>
    <t>IDH80082</t>
  </si>
  <si>
    <t>Jihad Fuadi</t>
  </si>
  <si>
    <t>IDH60002</t>
  </si>
  <si>
    <t>Mugty Ardiyanto</t>
  </si>
  <si>
    <t>IDH70111</t>
  </si>
  <si>
    <t>Mulia</t>
  </si>
  <si>
    <t>IDH80098</t>
  </si>
  <si>
    <t>Aceh</t>
  </si>
  <si>
    <t>Azwar Harming</t>
  </si>
  <si>
    <t>IDH50001</t>
  </si>
  <si>
    <t>Mohammad Vicky Firmansyah</t>
  </si>
  <si>
    <t>IDH60074</t>
  </si>
  <si>
    <t>Muhammad Ridwan Saleh</t>
  </si>
  <si>
    <t>IDH80043</t>
  </si>
  <si>
    <t>Samsul Ma'arif</t>
  </si>
  <si>
    <t>IDH70110</t>
  </si>
  <si>
    <t>Matin Razaaq</t>
  </si>
  <si>
    <t>IDH80055</t>
  </si>
  <si>
    <t>Juan Elfredo Sianturi</t>
  </si>
  <si>
    <t>IDH80100</t>
  </si>
  <si>
    <t>Andrew Hendradi</t>
  </si>
  <si>
    <t>IDH90001</t>
  </si>
  <si>
    <t>Nahar Fathurrohman</t>
  </si>
  <si>
    <t>IDH30036</t>
  </si>
  <si>
    <t>Yogi Prasetyo</t>
  </si>
  <si>
    <t>IDH20017</t>
  </si>
  <si>
    <t>Moh. Rosyid</t>
  </si>
  <si>
    <t>IDH60012</t>
  </si>
  <si>
    <t>Muhammad Gusti Agung</t>
  </si>
  <si>
    <t>IDH80070</t>
  </si>
  <si>
    <t>Aditya Lazari Giri s</t>
  </si>
  <si>
    <t>IDH40133</t>
  </si>
  <si>
    <t>Muhammad Latif Arifin</t>
  </si>
  <si>
    <t>IDH70109</t>
  </si>
  <si>
    <t>Jose Geraldo Hutayan</t>
  </si>
  <si>
    <t>IDH70060</t>
  </si>
  <si>
    <t>Dedi Arif Rahman</t>
  </si>
  <si>
    <t>IDH80052</t>
  </si>
  <si>
    <t>Mudris</t>
  </si>
  <si>
    <t>IDH60062</t>
  </si>
  <si>
    <t>Damas Prassetio</t>
  </si>
  <si>
    <t>IDH60043</t>
  </si>
  <si>
    <t>Rama Widya Pratama</t>
  </si>
  <si>
    <t>IDH80041</t>
  </si>
  <si>
    <t>Ardiansyah</t>
  </si>
  <si>
    <t>IDH30038</t>
  </si>
  <si>
    <t>Kartono Muhammad</t>
  </si>
  <si>
    <t>IDH40043</t>
  </si>
  <si>
    <t>Muhammad Ramadhan</t>
  </si>
  <si>
    <t>IDH60090</t>
  </si>
  <si>
    <t>Novaely Rachman</t>
  </si>
  <si>
    <t>IDH60041</t>
  </si>
  <si>
    <t>Aulia Rahman Hakim</t>
  </si>
  <si>
    <t>IDH40110</t>
  </si>
  <si>
    <t>Banar Bagas Darujati</t>
  </si>
  <si>
    <t>IDH80064</t>
  </si>
  <si>
    <t>Bani Rizki Ramadan</t>
  </si>
  <si>
    <t>IDH70058</t>
  </si>
  <si>
    <t>Muamar Rojali</t>
  </si>
  <si>
    <t>IDH60042</t>
  </si>
  <si>
    <t>Rahmat Taufiq</t>
  </si>
  <si>
    <t>IDH80076</t>
  </si>
  <si>
    <t>Eky Prasetyo Widodo</t>
  </si>
  <si>
    <t>IDH30034</t>
  </si>
  <si>
    <t>Muhammad Afif Azindani</t>
  </si>
  <si>
    <t>IDH80063</t>
  </si>
  <si>
    <t>Luthfi Elit Nurhakim</t>
  </si>
  <si>
    <t>IDH60071</t>
  </si>
  <si>
    <t>Yusuf Banjarnahor</t>
  </si>
  <si>
    <t>IDH50024</t>
  </si>
  <si>
    <t>Bayu Alfauji Sadiqin</t>
  </si>
  <si>
    <t>IDH70059</t>
  </si>
  <si>
    <t>Afrizal Eka Paksi</t>
  </si>
  <si>
    <t>IDH80012</t>
  </si>
  <si>
    <t>Abdul Razak Alhafis</t>
  </si>
  <si>
    <t>IDH70108</t>
  </si>
  <si>
    <t>Agung Lestari</t>
  </si>
  <si>
    <t>IDH80038</t>
  </si>
  <si>
    <t>Ilham Cahyana Putra</t>
  </si>
  <si>
    <t>IDH70055</t>
  </si>
  <si>
    <t>Andita Amirul Akbar</t>
  </si>
  <si>
    <t>IDH80006</t>
  </si>
  <si>
    <t>Andika Sandi Putra</t>
  </si>
  <si>
    <t>IDH70046</t>
  </si>
  <si>
    <t>Patawari</t>
  </si>
  <si>
    <t>IDH50004</t>
  </si>
  <si>
    <t>Muhammad Rifqi</t>
  </si>
  <si>
    <t>IDH80037</t>
  </si>
  <si>
    <t>M Rifki Rizaldi</t>
  </si>
  <si>
    <t>IDH80039</t>
  </si>
  <si>
    <t>Rizka Dwi Setyawan</t>
  </si>
  <si>
    <t>IDH60028</t>
  </si>
  <si>
    <t>Rizky Adi Kurniatama</t>
  </si>
  <si>
    <t>IDH70054</t>
  </si>
  <si>
    <t>Muhammad Vishal Rafly</t>
  </si>
  <si>
    <t>IDH40089</t>
  </si>
  <si>
    <t>As Bachri Saimima</t>
  </si>
  <si>
    <t>IDH60025</t>
  </si>
  <si>
    <t>Rizki Ihza Ahda</t>
  </si>
  <si>
    <t>IDH10012</t>
  </si>
  <si>
    <t>Yorikho Wisesa Abimanyu</t>
  </si>
  <si>
    <t>IDH70044</t>
  </si>
  <si>
    <t>Frido Arjuna Putra</t>
  </si>
  <si>
    <t>IDH60073</t>
  </si>
  <si>
    <t>Afif Maulana Sidik</t>
  </si>
  <si>
    <t>IDH80049</t>
  </si>
  <si>
    <t>Aris Munandar</t>
  </si>
  <si>
    <t>IDH30014</t>
  </si>
  <si>
    <t>Randi Julkifli Yudanegara</t>
  </si>
  <si>
    <t>IDH70112</t>
  </si>
  <si>
    <t>Wawan Harianto</t>
  </si>
  <si>
    <t>IDH90003</t>
  </si>
  <si>
    <t>Ahmad Mirza Fikar</t>
  </si>
  <si>
    <t>IDH70106</t>
  </si>
  <si>
    <t>Rian Maulana Hadi</t>
  </si>
  <si>
    <t>IDH80131</t>
  </si>
  <si>
    <t>M Ridha Thahir</t>
  </si>
  <si>
    <t>IDH40135</t>
  </si>
  <si>
    <t>Wahyu Firmansyah</t>
  </si>
  <si>
    <t>IDH10004</t>
  </si>
  <si>
    <t>Faisal Abdul Aziz</t>
  </si>
  <si>
    <t>IDH80021</t>
  </si>
  <si>
    <t>Risnanto</t>
  </si>
  <si>
    <t>IDH10005</t>
  </si>
  <si>
    <t>Christian Harto</t>
  </si>
  <si>
    <t>IDH10002</t>
  </si>
  <si>
    <t>Abd. Rasman</t>
  </si>
  <si>
    <t>IDH10006</t>
  </si>
  <si>
    <t>Tri Sakti Sutrisno</t>
  </si>
  <si>
    <t>IDH10007</t>
  </si>
  <si>
    <t>Pamekasan</t>
  </si>
  <si>
    <t>Korniawan</t>
  </si>
  <si>
    <t>IDH10019</t>
  </si>
  <si>
    <t>Tembilahan</t>
  </si>
  <si>
    <t>Achmad Rizki Firdaus</t>
  </si>
  <si>
    <t>IDH10025</t>
  </si>
  <si>
    <t>Andree Wibisono</t>
  </si>
  <si>
    <t>IDH10017</t>
  </si>
  <si>
    <t>Izwan Kahfi</t>
  </si>
  <si>
    <t>IDH10023</t>
  </si>
  <si>
    <t>Harma Arby L. Nafis</t>
  </si>
  <si>
    <t>IDH10024</t>
  </si>
  <si>
    <t>M Fachrul Hidayat</t>
  </si>
  <si>
    <t>IDH10022</t>
  </si>
  <si>
    <t>Nicola Sandra</t>
  </si>
  <si>
    <t>IDH10016</t>
  </si>
  <si>
    <t>Taufiqurahman Yusuf</t>
  </si>
  <si>
    <t>IDH10003</t>
  </si>
  <si>
    <t>Dani Abi Sulaeman</t>
  </si>
  <si>
    <t>IDH10018</t>
  </si>
  <si>
    <t>Yusril Affandi</t>
  </si>
  <si>
    <t>IDH10021</t>
  </si>
  <si>
    <t>M Daniswara Gagah Surya L</t>
  </si>
  <si>
    <t>IDH10026</t>
  </si>
  <si>
    <t>Khiyarul Umam</t>
  </si>
  <si>
    <t>IDH10020</t>
  </si>
  <si>
    <t>Serdistari Akun Benares</t>
  </si>
  <si>
    <t>IDHEDC0019</t>
  </si>
  <si>
    <t>Atambua</t>
  </si>
  <si>
    <t>Ignatius Ehak Mukin</t>
  </si>
  <si>
    <t>IDHEDC0021</t>
  </si>
  <si>
    <t>Larantuka</t>
  </si>
  <si>
    <t xml:space="preserve">3 Tahun 2 Bulan 9 Hari </t>
  </si>
  <si>
    <t xml:space="preserve">2 Tahun 3 Bulan 14 Hari </t>
  </si>
  <si>
    <t xml:space="preserve">5 Tahun 10 Bulan 29 Hari </t>
  </si>
  <si>
    <t xml:space="preserve">1 Tahun 4 Bulan 12 Hari </t>
  </si>
  <si>
    <t xml:space="preserve">1 Tahun 1 Bulan 5 Hari </t>
  </si>
  <si>
    <t xml:space="preserve">1 Tahun 3 Bulan 2 Hari </t>
  </si>
  <si>
    <t xml:space="preserve">2 Tahun 6 Bulan 27 Hari </t>
  </si>
  <si>
    <t xml:space="preserve">5 Tahun 2 Bulan 4 Hari </t>
  </si>
  <si>
    <t xml:space="preserve">2 Tahun 2 Bulan 3 Hari </t>
  </si>
  <si>
    <t xml:space="preserve">1 Tahun 9 Bulan 27 Hari </t>
  </si>
  <si>
    <t xml:space="preserve">1 Tahun 6 Bulan 7 Hari </t>
  </si>
  <si>
    <t xml:space="preserve">4 Tahun 1 Bulan 17 Hari </t>
  </si>
  <si>
    <t xml:space="preserve">4 Tahun 11 Bulan 0 Hari </t>
  </si>
  <si>
    <t xml:space="preserve">2 Tahun 0 Bulan 19 Hari </t>
  </si>
  <si>
    <t xml:space="preserve">3 Tahun 8 Bulan 1 Hari </t>
  </si>
  <si>
    <t xml:space="preserve">1 Tahun 10 Bulan 27 Hari </t>
  </si>
  <si>
    <t xml:space="preserve">1 Tahun 2 Bulan 25 Hari </t>
  </si>
  <si>
    <t xml:space="preserve">1 Tahun 4 Bulan 29 Hari </t>
  </si>
  <si>
    <t xml:space="preserve">2 Tahun 5 Bulan 2 Hari </t>
  </si>
  <si>
    <t xml:space="preserve">4 Tahun 9 Bulan 4 Hari </t>
  </si>
  <si>
    <t xml:space="preserve">3 Tahun 10 Bulan 5 Hari </t>
  </si>
  <si>
    <t xml:space="preserve">2 Tahun 9 Bulan 5 Hari </t>
  </si>
  <si>
    <t xml:space="preserve">2 Tahun 6 Bulan 26 Hari </t>
  </si>
  <si>
    <t xml:space="preserve">3 Tahun 1 Bulan 4 Hari </t>
  </si>
  <si>
    <t xml:space="preserve">2 Tahun 1 Bulan 19 Hari </t>
  </si>
  <si>
    <t xml:space="preserve">5 Tahun 5 Bulan 25 Hari </t>
  </si>
  <si>
    <t xml:space="preserve">5 Tahun 4 Bulan 1 Hari </t>
  </si>
  <si>
    <t xml:space="preserve">4 Tahun 4 Bulan 12 Hari </t>
  </si>
  <si>
    <t>Assesment</t>
  </si>
  <si>
    <t>Senior Engineer</t>
  </si>
  <si>
    <t>Sangat Baik</t>
  </si>
  <si>
    <t>Baik</t>
  </si>
  <si>
    <t>Remarks</t>
  </si>
  <si>
    <t>Level Up</t>
  </si>
  <si>
    <t>Lebih Dari Cukup</t>
  </si>
  <si>
    <t>Row Labels</t>
  </si>
  <si>
    <t>Grand Total</t>
  </si>
  <si>
    <t>Down Grade</t>
  </si>
  <si>
    <t>Stay</t>
  </si>
  <si>
    <t>Count of Name</t>
  </si>
  <si>
    <t>(All)</t>
  </si>
  <si>
    <t>Consifrm</t>
  </si>
  <si>
    <t>Arianja</t>
  </si>
  <si>
    <t>Erik Ekstrada</t>
  </si>
  <si>
    <t>Virgil Steven Weol</t>
  </si>
  <si>
    <t>Muhammad Arka Syah</t>
  </si>
  <si>
    <t>DH10035</t>
  </si>
  <si>
    <t>Farhan Abdul Razaaq</t>
  </si>
  <si>
    <t>IDH10036</t>
  </si>
  <si>
    <t>Ahmad Chidhir Sofyan</t>
  </si>
  <si>
    <t>IDH10038</t>
  </si>
  <si>
    <t>Rahmad Ibrahim</t>
  </si>
  <si>
    <t>IDH10039</t>
  </si>
  <si>
    <t>Faisal Nurur Ramadhan</t>
  </si>
  <si>
    <t>IDH10040</t>
  </si>
  <si>
    <t>Ade Rizky Cipta Pratama</t>
  </si>
  <si>
    <t>IDH10041</t>
  </si>
  <si>
    <t>Anggit Wijanarko Rakhmatullah</t>
  </si>
  <si>
    <t>IDH10042</t>
  </si>
  <si>
    <t>Adi Surya Darma</t>
  </si>
  <si>
    <t>IDH10043</t>
  </si>
  <si>
    <t>Habibullah</t>
  </si>
  <si>
    <t>Bintan</t>
  </si>
  <si>
    <t>Muhammad Hamzah Fadillah</t>
  </si>
  <si>
    <t>IDB10026</t>
  </si>
  <si>
    <t>Muhammad Rizwan</t>
  </si>
  <si>
    <t>IDH10027</t>
  </si>
  <si>
    <t>IDH10028</t>
  </si>
  <si>
    <t>Basuki Catur Putra</t>
  </si>
  <si>
    <t>IDH10029</t>
  </si>
  <si>
    <t>IDH10030</t>
  </si>
  <si>
    <t>IDH10031</t>
  </si>
  <si>
    <t>Muhammad Habiburohman</t>
  </si>
  <si>
    <t>IDH10032</t>
  </si>
  <si>
    <t>Bojonegoro</t>
  </si>
  <si>
    <t>IDH10033</t>
  </si>
  <si>
    <t>Sanggau</t>
  </si>
  <si>
    <t>Resign PNS bulan April 2025</t>
  </si>
  <si>
    <t>Resign PNS 31 Mar 2025</t>
  </si>
  <si>
    <t>Current Leveling</t>
  </si>
  <si>
    <t>BABY PARTS 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</si>
</sst>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b/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Poppins"/>
    </font>
    <font>
      <b/>
      <sz val="11"/>
      <color theme="1"/>
      <name val="Poppins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2">
    <xf numFmtId="0" fontId="0" fillId="0" borderId="0" xfId="0"/>
    <xf numFmtId="10" fontId="0" fillId="0" borderId="0" xfId="1" applyNumberFormat="1" applyFont="1"/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2" fillId="0" borderId="1" xfId="0" applyFont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 vertical="center"/>
    </xf>
    <xf numFmtId="164" fontId="11" fillId="0" borderId="1" xfId="0" applyNumberFormat="1" applyFont="1" applyBorder="1" applyAlignment="1">
      <alignment horizontal="left"/>
    </xf>
    <xf numFmtId="2" fontId="12" fillId="4" borderId="1" xfId="0" applyNumberFormat="1" applyFont="1" applyFill="1" applyBorder="1" applyAlignment="1">
      <alignment horizontal="left"/>
    </xf>
    <xf numFmtId="10" fontId="12" fillId="4" borderId="1" xfId="1" applyNumberFormat="1" applyFont="1" applyFill="1" applyBorder="1" applyAlignment="1">
      <alignment horizontal="left"/>
    </xf>
    <xf numFmtId="2" fontId="12" fillId="4" borderId="1" xfId="0" applyNumberFormat="1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/>
    </xf>
    <xf numFmtId="1" fontId="0" fillId="0" borderId="1" xfId="0" applyNumberFormat="1" applyBorder="1" applyAlignment="1">
      <alignment horizontal="left"/>
    </xf>
    <xf numFmtId="2" fontId="3" fillId="5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9" fontId="3" fillId="5" borderId="1" xfId="1" applyFont="1" applyFill="1" applyBorder="1" applyAlignment="1">
      <alignment horizontal="left" vertical="center"/>
    </xf>
    <xf numFmtId="20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left"/>
    </xf>
    <xf numFmtId="10" fontId="3" fillId="5" borderId="1" xfId="1" applyNumberFormat="1" applyFont="1" applyFill="1" applyBorder="1" applyAlignment="1">
      <alignment horizontal="left" vertical="center"/>
    </xf>
    <xf numFmtId="10" fontId="3" fillId="5" borderId="1" xfId="0" applyNumberFormat="1" applyFont="1" applyFill="1" applyBorder="1" applyAlignment="1">
      <alignment horizontal="left" vertical="center"/>
    </xf>
    <xf numFmtId="21" fontId="0" fillId="0" borderId="1" xfId="0" applyNumberForma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1" fontId="3" fillId="5" borderId="1" xfId="0" applyNumberFormat="1" applyFont="1" applyFill="1" applyBorder="1" applyAlignment="1">
      <alignment horizontal="left" vertical="center"/>
    </xf>
    <xf numFmtId="2" fontId="3" fillId="4" borderId="1" xfId="0" applyNumberFormat="1" applyFont="1" applyFill="1" applyBorder="1" applyAlignment="1">
      <alignment horizontal="left"/>
    </xf>
    <xf numFmtId="10" fontId="3" fillId="4" borderId="1" xfId="1" applyNumberFormat="1" applyFont="1" applyFill="1" applyBorder="1" applyAlignment="1">
      <alignment horizontal="left"/>
    </xf>
    <xf numFmtId="2" fontId="3" fillId="4" borderId="1" xfId="0" applyNumberFormat="1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/>
    </xf>
    <xf numFmtId="2" fontId="9" fillId="5" borderId="1" xfId="0" applyNumberFormat="1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9" fontId="9" fillId="5" borderId="1" xfId="1" applyFont="1" applyFill="1" applyBorder="1" applyAlignment="1">
      <alignment horizontal="left" vertical="center"/>
    </xf>
    <xf numFmtId="20" fontId="2" fillId="0" borderId="1" xfId="0" applyNumberFormat="1" applyFont="1" applyBorder="1" applyAlignment="1">
      <alignment horizontal="left"/>
    </xf>
    <xf numFmtId="2" fontId="2" fillId="0" borderId="1" xfId="0" applyNumberFormat="1" applyFont="1" applyBorder="1" applyAlignment="1">
      <alignment horizontal="left"/>
    </xf>
    <xf numFmtId="10" fontId="9" fillId="5" borderId="1" xfId="1" applyNumberFormat="1" applyFont="1" applyFill="1" applyBorder="1" applyAlignment="1">
      <alignment horizontal="left" vertical="center"/>
    </xf>
    <xf numFmtId="10" fontId="9" fillId="5" borderId="1" xfId="0" applyNumberFormat="1" applyFont="1" applyFill="1" applyBorder="1" applyAlignment="1">
      <alignment horizontal="left" vertical="center"/>
    </xf>
    <xf numFmtId="21" fontId="2" fillId="0" borderId="1" xfId="0" applyNumberFormat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2" fontId="9" fillId="4" borderId="1" xfId="0" applyNumberFormat="1" applyFont="1" applyFill="1" applyBorder="1" applyAlignment="1">
      <alignment horizontal="left"/>
    </xf>
    <xf numFmtId="10" fontId="9" fillId="4" borderId="1" xfId="1" applyNumberFormat="1" applyFont="1" applyFill="1" applyBorder="1" applyAlignment="1">
      <alignment horizontal="left"/>
    </xf>
    <xf numFmtId="0" fontId="10" fillId="0" borderId="1" xfId="0" applyFont="1" applyBorder="1" applyAlignment="1">
      <alignment horizontal="left" vertical="center"/>
    </xf>
    <xf numFmtId="0" fontId="11" fillId="6" borderId="1" xfId="0" applyFont="1" applyFill="1" applyBorder="1" applyAlignment="1">
      <alignment horizontal="left"/>
    </xf>
    <xf numFmtId="0" fontId="0" fillId="0" borderId="0" xfId="0" pivotButton="1"/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/>
    <xf numFmtId="0" fontId="0" fillId="0" borderId="1" xfId="0" applyBorder="1"/>
    <xf numFmtId="0" fontId="7" fillId="7" borderId="1" xfId="0" applyFont="1" applyFill="1" applyBorder="1" applyAlignment="1">
      <alignment vertical="center" wrapText="1"/>
    </xf>
    <xf numFmtId="21" fontId="0" fillId="2" borderId="1" xfId="0" applyNumberFormat="1" applyFill="1" applyBorder="1"/>
    <xf numFmtId="10" fontId="0" fillId="0" borderId="1" xfId="1" applyNumberFormat="1" applyFont="1" applyBorder="1"/>
    <xf numFmtId="21" fontId="0" fillId="0" borderId="1" xfId="0" applyNumberFormat="1" applyBorder="1"/>
    <xf numFmtId="0" fontId="4" fillId="3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164" fontId="2" fillId="0" borderId="1" xfId="0" applyNumberFormat="1" applyFont="1" applyBorder="1" applyAlignment="1">
      <alignment horizontal="left"/>
    </xf>
    <xf numFmtId="2" fontId="9" fillId="4" borderId="1" xfId="0" applyNumberFormat="1" applyFont="1" applyFill="1" applyBorder="1" applyAlignment="1">
      <alignment horizontal="left" vertical="center"/>
    </xf>
    <xf numFmtId="0" fontId="9" fillId="4" borderId="1" xfId="0" applyFont="1" applyFill="1" applyBorder="1"/>
    <xf numFmtId="0" fontId="2" fillId="0" borderId="1" xfId="0" applyFont="1" applyBorder="1"/>
    <xf numFmtId="0" fontId="2" fillId="0" borderId="0" xfId="0" applyFont="1"/>
    <xf numFmtId="0" fontId="13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0" fillId="8" borderId="1" xfId="0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vertical="center"/>
    </xf>
  </cellXfs>
  <cellStyles count="2">
    <cellStyle name="Normal" xfId="0" builtinId="0"/>
    <cellStyle name="Percent" xfId="1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PADLI\Downloads\Engineer%20Evaluation%20_Januari%202023_R03%20(1).xlsb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PRIAMBODO\Desktop\Regional%20Operation\Customer%20Engineer\05.%20List%20CE%20Cuti%202024_Region%203.xlsx" TargetMode="External"/><Relationship Id="rId1" Type="http://schemas.openxmlformats.org/officeDocument/2006/relationships/externalLinkPath" Target="file:///C:\Users\TPRIAMBODO\Desktop\Regional%20Operation\Customer%20Engineer\05.%20List%20CE%20Cuti%202024_Region%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int Of Scale"/>
      <sheetName val="Sheet1"/>
      <sheetName val="Contract End Evaluation"/>
      <sheetName val="Sheet6"/>
      <sheetName val="CE-Score-Level"/>
      <sheetName val="CE-01022023"/>
      <sheetName val="Sheet2"/>
      <sheetName val="Sheet4"/>
      <sheetName val="Sheet5"/>
      <sheetName val="Penilai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>
            <v>1</v>
          </cell>
        </row>
        <row r="3">
          <cell r="B3">
            <v>2</v>
          </cell>
        </row>
        <row r="4">
          <cell r="B4">
            <v>3</v>
          </cell>
        </row>
        <row r="5">
          <cell r="B5">
            <v>4</v>
          </cell>
        </row>
        <row r="6">
          <cell r="B6">
            <v>5</v>
          </cell>
        </row>
        <row r="7">
          <cell r="B7">
            <v>6</v>
          </cell>
        </row>
        <row r="8">
          <cell r="B8">
            <v>7</v>
          </cell>
        </row>
        <row r="9">
          <cell r="B9">
            <v>8</v>
          </cell>
        </row>
        <row r="10">
          <cell r="B10">
            <v>9</v>
          </cell>
        </row>
        <row r="11">
          <cell r="B11">
            <v>10</v>
          </cell>
        </row>
        <row r="12">
          <cell r="B12">
            <v>11</v>
          </cell>
        </row>
        <row r="13">
          <cell r="B13">
            <v>12</v>
          </cell>
        </row>
        <row r="14">
          <cell r="B14">
            <v>13</v>
          </cell>
        </row>
        <row r="15">
          <cell r="B15">
            <v>14</v>
          </cell>
        </row>
        <row r="16">
          <cell r="B16">
            <v>15</v>
          </cell>
        </row>
        <row r="17">
          <cell r="B17">
            <v>16</v>
          </cell>
        </row>
        <row r="18">
          <cell r="B18">
            <v>17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20</v>
          </cell>
        </row>
        <row r="22">
          <cell r="B22">
            <v>21</v>
          </cell>
        </row>
        <row r="23">
          <cell r="B23">
            <v>22</v>
          </cell>
        </row>
        <row r="24">
          <cell r="B24">
            <v>23</v>
          </cell>
        </row>
        <row r="25">
          <cell r="B25">
            <v>24</v>
          </cell>
        </row>
        <row r="26">
          <cell r="B26">
            <v>25</v>
          </cell>
        </row>
        <row r="27">
          <cell r="B27">
            <v>26</v>
          </cell>
        </row>
        <row r="28">
          <cell r="B28">
            <v>27</v>
          </cell>
        </row>
        <row r="29">
          <cell r="B29">
            <v>28</v>
          </cell>
        </row>
        <row r="30">
          <cell r="B30">
            <v>29</v>
          </cell>
        </row>
        <row r="31">
          <cell r="B31">
            <v>30</v>
          </cell>
        </row>
        <row r="32">
          <cell r="B32">
            <v>31</v>
          </cell>
        </row>
        <row r="33">
          <cell r="B33">
            <v>32</v>
          </cell>
        </row>
        <row r="34">
          <cell r="B34">
            <v>33</v>
          </cell>
        </row>
        <row r="35">
          <cell r="B35">
            <v>34</v>
          </cell>
        </row>
        <row r="36">
          <cell r="B36">
            <v>35</v>
          </cell>
        </row>
        <row r="37">
          <cell r="B37">
            <v>36</v>
          </cell>
        </row>
        <row r="38">
          <cell r="B38">
            <v>37</v>
          </cell>
        </row>
        <row r="39">
          <cell r="B39">
            <v>38</v>
          </cell>
        </row>
        <row r="40">
          <cell r="B40">
            <v>39</v>
          </cell>
        </row>
        <row r="41">
          <cell r="B41">
            <v>40</v>
          </cell>
        </row>
        <row r="42">
          <cell r="B42">
            <v>41</v>
          </cell>
        </row>
        <row r="43">
          <cell r="B43">
            <v>42</v>
          </cell>
        </row>
        <row r="44">
          <cell r="B44">
            <v>43</v>
          </cell>
        </row>
        <row r="45">
          <cell r="B45">
            <v>44</v>
          </cell>
        </row>
        <row r="46">
          <cell r="B46">
            <v>45</v>
          </cell>
        </row>
        <row r="47">
          <cell r="B47">
            <v>46</v>
          </cell>
        </row>
        <row r="48">
          <cell r="B48">
            <v>47</v>
          </cell>
        </row>
        <row r="49">
          <cell r="B49">
            <v>48</v>
          </cell>
        </row>
        <row r="50">
          <cell r="B50">
            <v>49</v>
          </cell>
        </row>
        <row r="51">
          <cell r="B51">
            <v>50</v>
          </cell>
        </row>
        <row r="52">
          <cell r="B52">
            <v>51</v>
          </cell>
        </row>
        <row r="53">
          <cell r="B53">
            <v>52</v>
          </cell>
        </row>
        <row r="54">
          <cell r="B54">
            <v>53</v>
          </cell>
        </row>
        <row r="55">
          <cell r="B55">
            <v>54</v>
          </cell>
        </row>
        <row r="56">
          <cell r="B56">
            <v>55</v>
          </cell>
        </row>
        <row r="57">
          <cell r="B57">
            <v>56</v>
          </cell>
        </row>
        <row r="58">
          <cell r="B58">
            <v>57</v>
          </cell>
        </row>
        <row r="59">
          <cell r="B59">
            <v>58</v>
          </cell>
        </row>
        <row r="60">
          <cell r="B60">
            <v>59</v>
          </cell>
        </row>
        <row r="61">
          <cell r="B61">
            <v>60</v>
          </cell>
        </row>
        <row r="62">
          <cell r="B62">
            <v>61</v>
          </cell>
        </row>
        <row r="63">
          <cell r="B63">
            <v>62</v>
          </cell>
        </row>
        <row r="64">
          <cell r="B64">
            <v>63</v>
          </cell>
        </row>
        <row r="65">
          <cell r="B65">
            <v>64</v>
          </cell>
        </row>
        <row r="66">
          <cell r="B66">
            <v>65</v>
          </cell>
        </row>
        <row r="67">
          <cell r="B67">
            <v>66</v>
          </cell>
        </row>
        <row r="68">
          <cell r="B68">
            <v>67</v>
          </cell>
        </row>
        <row r="69">
          <cell r="B69">
            <v>68</v>
          </cell>
        </row>
        <row r="70">
          <cell r="B70">
            <v>69</v>
          </cell>
        </row>
        <row r="71">
          <cell r="B71">
            <v>70</v>
          </cell>
        </row>
        <row r="72">
          <cell r="B72">
            <v>71</v>
          </cell>
        </row>
        <row r="73">
          <cell r="B73">
            <v>72</v>
          </cell>
        </row>
        <row r="74">
          <cell r="B74">
            <v>73</v>
          </cell>
        </row>
        <row r="75">
          <cell r="B75">
            <v>74</v>
          </cell>
        </row>
        <row r="76">
          <cell r="B76">
            <v>75</v>
          </cell>
        </row>
        <row r="77">
          <cell r="B77">
            <v>76</v>
          </cell>
        </row>
        <row r="78">
          <cell r="B78">
            <v>77</v>
          </cell>
        </row>
        <row r="79">
          <cell r="B79">
            <v>78</v>
          </cell>
        </row>
        <row r="80">
          <cell r="B80">
            <v>79</v>
          </cell>
        </row>
        <row r="81">
          <cell r="B81">
            <v>80</v>
          </cell>
        </row>
        <row r="82">
          <cell r="B82">
            <v>81</v>
          </cell>
        </row>
        <row r="83">
          <cell r="B83">
            <v>82</v>
          </cell>
        </row>
        <row r="84">
          <cell r="B84">
            <v>83</v>
          </cell>
        </row>
        <row r="85">
          <cell r="B85">
            <v>84</v>
          </cell>
        </row>
        <row r="86">
          <cell r="B86">
            <v>85</v>
          </cell>
        </row>
        <row r="87">
          <cell r="B87">
            <v>86</v>
          </cell>
        </row>
        <row r="88">
          <cell r="B88">
            <v>87</v>
          </cell>
        </row>
        <row r="89">
          <cell r="B89">
            <v>88</v>
          </cell>
        </row>
        <row r="90">
          <cell r="B90">
            <v>89</v>
          </cell>
        </row>
        <row r="91">
          <cell r="B91">
            <v>90</v>
          </cell>
        </row>
        <row r="92">
          <cell r="B92">
            <v>91</v>
          </cell>
        </row>
        <row r="93">
          <cell r="B93">
            <v>92</v>
          </cell>
        </row>
        <row r="94">
          <cell r="B94">
            <v>93</v>
          </cell>
        </row>
        <row r="95">
          <cell r="B95">
            <v>94</v>
          </cell>
        </row>
        <row r="96">
          <cell r="B96">
            <v>95</v>
          </cell>
        </row>
        <row r="97">
          <cell r="B97">
            <v>96</v>
          </cell>
        </row>
        <row r="98">
          <cell r="B98">
            <v>97</v>
          </cell>
        </row>
        <row r="99">
          <cell r="B99">
            <v>98</v>
          </cell>
        </row>
        <row r="100">
          <cell r="B100">
            <v>99</v>
          </cell>
        </row>
        <row r="101">
          <cell r="B101">
            <v>100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January"/>
      <sheetName val="February"/>
      <sheetName val="Sheet1"/>
      <sheetName val="Cuti diambi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B3" t="str">
            <v>Fribet Dominggo Siadari</v>
          </cell>
        </row>
        <row r="4">
          <cell r="B4" t="str">
            <v>Muhammad Fikri Nurhadi</v>
          </cell>
        </row>
        <row r="5">
          <cell r="B5" t="str">
            <v>Try Ispandy</v>
          </cell>
        </row>
        <row r="6">
          <cell r="B6" t="str">
            <v>Yudha Satria Guntoro</v>
          </cell>
        </row>
        <row r="7">
          <cell r="B7" t="str">
            <v>Rizaldi</v>
          </cell>
        </row>
        <row r="8">
          <cell r="B8" t="str">
            <v>M. Rahmatullah Habibuddin</v>
          </cell>
        </row>
        <row r="9">
          <cell r="B9" t="str">
            <v>Heru Pangihutan Tobing</v>
          </cell>
        </row>
        <row r="10">
          <cell r="B10" t="str">
            <v>Rifcky Fajar Firmanto</v>
          </cell>
        </row>
        <row r="11">
          <cell r="B11" t="str">
            <v>Dimas Anda Pratama</v>
          </cell>
        </row>
        <row r="12">
          <cell r="B12" t="str">
            <v>Awang Reza Al Chabir</v>
          </cell>
        </row>
        <row r="13">
          <cell r="B13" t="str">
            <v>Rahmad Ade Kurniawan</v>
          </cell>
        </row>
        <row r="14">
          <cell r="B14" t="str">
            <v>Fahri Husaini</v>
          </cell>
        </row>
        <row r="15">
          <cell r="B15" t="str">
            <v>Muhammad Alpin</v>
          </cell>
        </row>
        <row r="16">
          <cell r="B16" t="str">
            <v>Novaely Rachman</v>
          </cell>
        </row>
        <row r="17">
          <cell r="B17" t="str">
            <v>Deril Juliarto</v>
          </cell>
        </row>
        <row r="18">
          <cell r="B18" t="str">
            <v>Roby Kurniawan</v>
          </cell>
        </row>
        <row r="19">
          <cell r="B19" t="str">
            <v>Moh. Rosyid</v>
          </cell>
        </row>
        <row r="20">
          <cell r="B20" t="str">
            <v>Rifqy Adrian</v>
          </cell>
        </row>
        <row r="21">
          <cell r="B21" t="str">
            <v>Jeki Saputra</v>
          </cell>
        </row>
        <row r="22">
          <cell r="B22" t="str">
            <v>Markus Damai</v>
          </cell>
        </row>
        <row r="23">
          <cell r="B23" t="str">
            <v>Ridho Dwi Prakoso</v>
          </cell>
        </row>
        <row r="24">
          <cell r="B24" t="str">
            <v>Aria Ramadhan</v>
          </cell>
        </row>
        <row r="25">
          <cell r="B25" t="str">
            <v>I Gede Agus Satriya Bayu</v>
          </cell>
        </row>
        <row r="26">
          <cell r="B26" t="str">
            <v>I Gde Wahyu Aditya Dharma</v>
          </cell>
        </row>
        <row r="27">
          <cell r="B27" t="str">
            <v>Angga Andiana Septian</v>
          </cell>
        </row>
        <row r="28">
          <cell r="B28" t="str">
            <v>Azwar Harming</v>
          </cell>
        </row>
        <row r="29">
          <cell r="B29" t="str">
            <v>As Bachri Saimima</v>
          </cell>
        </row>
        <row r="30">
          <cell r="B30" t="str">
            <v>Irfan Marsa Allya</v>
          </cell>
        </row>
        <row r="31">
          <cell r="B31" t="str">
            <v>Suhardi</v>
          </cell>
        </row>
        <row r="32">
          <cell r="B32" t="str">
            <v>Refky Hidayat</v>
          </cell>
        </row>
        <row r="33">
          <cell r="B33" t="str">
            <v>Yusuf Banjarnahor</v>
          </cell>
        </row>
        <row r="34">
          <cell r="B34" t="str">
            <v>Bara Putra</v>
          </cell>
        </row>
        <row r="35">
          <cell r="B35" t="str">
            <v>Fahri</v>
          </cell>
        </row>
        <row r="36">
          <cell r="B36" t="str">
            <v>Albert Nielsen Naibaho</v>
          </cell>
        </row>
        <row r="37">
          <cell r="B37" t="str">
            <v>Andika Sandi Putra</v>
          </cell>
        </row>
        <row r="38">
          <cell r="B38" t="str">
            <v>Muhammad Faisal</v>
          </cell>
        </row>
        <row r="39">
          <cell r="B39" t="str">
            <v>Muh Fadly Jashar</v>
          </cell>
        </row>
        <row r="40">
          <cell r="B40" t="str">
            <v>Fajry Ramadhan</v>
          </cell>
        </row>
        <row r="41">
          <cell r="B41" t="str">
            <v>Yogi Duta Hartas</v>
          </cell>
        </row>
        <row r="42">
          <cell r="B42" t="str">
            <v>Adi Sujana Mahmud</v>
          </cell>
        </row>
        <row r="43">
          <cell r="B43" t="str">
            <v>Mualim Rohman</v>
          </cell>
        </row>
        <row r="44">
          <cell r="B44" t="str">
            <v>Muhammad Azhar</v>
          </cell>
        </row>
        <row r="45">
          <cell r="B45" t="str">
            <v>Raden Mas Alfian Apriansya Diponegoro</v>
          </cell>
        </row>
        <row r="46">
          <cell r="B46" t="str">
            <v>Muhamad Ikhwanus Syafa</v>
          </cell>
        </row>
        <row r="47">
          <cell r="B47" t="str">
            <v>Achmad Angga Pradana</v>
          </cell>
        </row>
        <row r="48">
          <cell r="B48" t="str">
            <v>Muhammad Alifuddin</v>
          </cell>
        </row>
        <row r="49">
          <cell r="B49" t="str">
            <v>Zeth Taba Mangiwa</v>
          </cell>
        </row>
        <row r="50">
          <cell r="B50" t="str">
            <v>Muhammad Shafarizky</v>
          </cell>
        </row>
        <row r="51">
          <cell r="B51" t="str">
            <v>Munawir Usman</v>
          </cell>
        </row>
        <row r="52">
          <cell r="B52" t="str">
            <v>Muhammad Fikri Sudarso</v>
          </cell>
        </row>
        <row r="53">
          <cell r="B53" t="str">
            <v>Andre Fikriawan</v>
          </cell>
        </row>
        <row r="54">
          <cell r="B54" t="str">
            <v>Aprilian K Tamau</v>
          </cell>
        </row>
        <row r="55">
          <cell r="B55" t="str">
            <v>Aditya Tri Saputra</v>
          </cell>
        </row>
        <row r="56">
          <cell r="B56" t="str">
            <v>Bima Putra Harsya</v>
          </cell>
        </row>
        <row r="57">
          <cell r="B57" t="str">
            <v>Ahmadi Saputra</v>
          </cell>
        </row>
        <row r="58">
          <cell r="B58" t="str">
            <v>Fernando Bastanta Ginting</v>
          </cell>
        </row>
        <row r="59">
          <cell r="B59" t="str">
            <v>Iffat Ahmad Baihaki</v>
          </cell>
        </row>
        <row r="60">
          <cell r="B60" t="str">
            <v>Ofeber Tafonao</v>
          </cell>
        </row>
        <row r="61">
          <cell r="B61" t="str">
            <v>Muhammad Gusti Agung</v>
          </cell>
        </row>
        <row r="62">
          <cell r="B62" t="str">
            <v>Afri Yunaldo</v>
          </cell>
        </row>
        <row r="63">
          <cell r="B63" t="str">
            <v>Muhammad Baskara</v>
          </cell>
        </row>
        <row r="64">
          <cell r="B64" t="str">
            <v>Reza Digusli A Siregar</v>
          </cell>
        </row>
        <row r="65">
          <cell r="B65" t="str">
            <v>Aryangga Madya Kurniawan</v>
          </cell>
        </row>
        <row r="66">
          <cell r="B66" t="str">
            <v>Rahmat Taufiq</v>
          </cell>
        </row>
        <row r="67">
          <cell r="B67" t="str">
            <v>Muhammad Ganda Sriwitjayanto</v>
          </cell>
        </row>
        <row r="68">
          <cell r="B68" t="str">
            <v>Galih Syahri Romadoni</v>
          </cell>
        </row>
        <row r="69">
          <cell r="B69" t="str">
            <v>Reski Afdhila</v>
          </cell>
        </row>
        <row r="70">
          <cell r="B70" t="str">
            <v>Jemi Sastra</v>
          </cell>
        </row>
        <row r="71">
          <cell r="B71" t="str">
            <v>Muhammad Ilham PLG</v>
          </cell>
        </row>
        <row r="72">
          <cell r="B72" t="str">
            <v>Fajar Nugraha</v>
          </cell>
        </row>
        <row r="73">
          <cell r="B73" t="str">
            <v>Robert Parulian</v>
          </cell>
        </row>
        <row r="74">
          <cell r="B74" t="str">
            <v>Daniel George</v>
          </cell>
        </row>
        <row r="75">
          <cell r="B75" t="str">
            <v>Remondo Extrada Simanjuntak</v>
          </cell>
        </row>
        <row r="76">
          <cell r="B76" t="str">
            <v>Muhammad Oktanto D</v>
          </cell>
        </row>
        <row r="77">
          <cell r="B77" t="str">
            <v>Ali Mukti</v>
          </cell>
        </row>
        <row r="78">
          <cell r="B78" t="str">
            <v>Graldi Firson Sualang</v>
          </cell>
        </row>
        <row r="79">
          <cell r="B79" t="str">
            <v>Wahyudi Aulia</v>
          </cell>
        </row>
        <row r="80">
          <cell r="B80" t="str">
            <v>Syafrudin</v>
          </cell>
        </row>
        <row r="81">
          <cell r="B81" t="str">
            <v>Muhammad Afrizal</v>
          </cell>
        </row>
        <row r="82">
          <cell r="B82" t="str">
            <v>Aris Munandar</v>
          </cell>
        </row>
        <row r="83">
          <cell r="B83" t="str">
            <v>Bagas Widya Ananta</v>
          </cell>
        </row>
        <row r="84">
          <cell r="B84" t="str">
            <v>Nelpan Safputra</v>
          </cell>
        </row>
        <row r="85">
          <cell r="B85" t="str">
            <v>Yudha Aryadi Zuhal</v>
          </cell>
        </row>
        <row r="86">
          <cell r="B86" t="str">
            <v>Lukmanul Hakim</v>
          </cell>
        </row>
        <row r="87">
          <cell r="B87" t="str">
            <v>Revi Irsanda</v>
          </cell>
        </row>
        <row r="88">
          <cell r="B88" t="str">
            <v>Muh. Amri Irianto</v>
          </cell>
        </row>
        <row r="89">
          <cell r="B89" t="str">
            <v>Prasetyo Hadi Saputra</v>
          </cell>
        </row>
        <row r="90">
          <cell r="B90" t="str">
            <v>Mulia</v>
          </cell>
        </row>
        <row r="91">
          <cell r="B91" t="str">
            <v>Syahrul Ramadani</v>
          </cell>
        </row>
        <row r="92">
          <cell r="B92" t="str">
            <v>Rendi Ariyanto</v>
          </cell>
        </row>
        <row r="93">
          <cell r="B93" t="str">
            <v>M Dicky Syahputra</v>
          </cell>
        </row>
        <row r="94">
          <cell r="B94" t="str">
            <v>Ardiansyah</v>
          </cell>
        </row>
        <row r="95">
          <cell r="B95" t="str">
            <v>Abdimas Pasa</v>
          </cell>
        </row>
        <row r="96">
          <cell r="B96" t="str">
            <v>Muhammad Ilham JKT</v>
          </cell>
        </row>
        <row r="97">
          <cell r="B97" t="str">
            <v>Muhammad Faris Akbar</v>
          </cell>
        </row>
        <row r="98">
          <cell r="B98" t="str">
            <v>Wawan Harianto</v>
          </cell>
        </row>
        <row r="99">
          <cell r="B99" t="str">
            <v>Faldy Agung Nugraha Koleba</v>
          </cell>
        </row>
        <row r="100">
          <cell r="B100" t="str">
            <v>Rizki Aprianto</v>
          </cell>
        </row>
        <row r="101">
          <cell r="B101" t="str">
            <v>Arifianto Refani</v>
          </cell>
        </row>
        <row r="102">
          <cell r="B102" t="str">
            <v>Muhammad Tri Prijaya</v>
          </cell>
        </row>
        <row r="103">
          <cell r="B103" t="str">
            <v>Achmad Gildas Thauty</v>
          </cell>
        </row>
        <row r="104">
          <cell r="B104" t="str">
            <v>Muhammad Faisol</v>
          </cell>
        </row>
        <row r="105">
          <cell r="B105" t="str">
            <v>M Triwahyudi Damanik</v>
          </cell>
        </row>
        <row r="106">
          <cell r="B106" t="str">
            <v>Dwiki Dhamuristya</v>
          </cell>
        </row>
        <row r="107">
          <cell r="B107" t="str">
            <v>Abdul Arif Manoppo</v>
          </cell>
        </row>
        <row r="108">
          <cell r="B108" t="str">
            <v>Azkoni Gumlaya</v>
          </cell>
        </row>
        <row r="109">
          <cell r="B109" t="str">
            <v>Dicky Raychan</v>
          </cell>
        </row>
        <row r="110">
          <cell r="B110" t="str">
            <v>Finardi</v>
          </cell>
        </row>
        <row r="111">
          <cell r="B111" t="str">
            <v>Abdul Rahman</v>
          </cell>
        </row>
        <row r="112">
          <cell r="B112" t="str">
            <v>Wiranto Biki</v>
          </cell>
        </row>
        <row r="113">
          <cell r="B113" t="str">
            <v>Muhammad Farhan Maskur</v>
          </cell>
        </row>
        <row r="114">
          <cell r="B114" t="str">
            <v>Bayu Saputra</v>
          </cell>
        </row>
        <row r="115">
          <cell r="B115" t="str">
            <v>Viqri Haikal</v>
          </cell>
        </row>
        <row r="116">
          <cell r="B116" t="str">
            <v>Ardian Pragusti</v>
          </cell>
        </row>
        <row r="117">
          <cell r="B117" t="str">
            <v>Abd. Rasman</v>
          </cell>
        </row>
        <row r="118">
          <cell r="B118" t="str">
            <v>Taufiqurahman Yusuf</v>
          </cell>
        </row>
        <row r="119">
          <cell r="B119" t="str">
            <v>Feri Wahyudi</v>
          </cell>
        </row>
        <row r="120">
          <cell r="B120" t="str">
            <v>Korniawan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guh Priambodo" refreshedDate="45645.606884490742" createdVersion="8" refreshedVersion="8" minRefreshableVersion="3" recordCount="352" xr:uid="{9D7AAD12-344E-4CFA-B3D3-2AA28854CC1D}">
  <cacheSource type="worksheet">
    <worksheetSource ref="A4:BK349" sheet="Assesment"/>
  </cacheSource>
  <cacheFields count="62">
    <cacheField name="No" numFmtId="0">
      <sharedItems containsSemiMixedTypes="0" containsString="0" containsNumber="1" containsInteger="1" minValue="1" maxValue="352"/>
    </cacheField>
    <cacheField name="Name" numFmtId="0">
      <sharedItems/>
    </cacheField>
    <cacheField name="CE Id" numFmtId="0">
      <sharedItems/>
    </cacheField>
    <cacheField name="Role" numFmtId="0">
      <sharedItems/>
    </cacheField>
    <cacheField name="Area Group" numFmtId="0">
      <sharedItems/>
    </cacheField>
    <cacheField name="Region" numFmtId="0">
      <sharedItems/>
    </cacheField>
    <cacheField name="Vendor" numFmtId="0">
      <sharedItems/>
    </cacheField>
    <cacheField name="Join Date" numFmtId="164">
      <sharedItems containsSemiMixedTypes="0" containsNonDate="0" containsDate="1" containsString="0" minDate="2016-03-04T00:00:00" maxDate="2024-10-02T00:00:00"/>
    </cacheField>
    <cacheField name="Assesment Date" numFmtId="164">
      <sharedItems containsSemiMixedTypes="0" containsNonDate="0" containsDate="1" containsString="0" minDate="2024-10-31T00:00:00" maxDate="2024-11-01T00:00:00"/>
    </cacheField>
    <cacheField name="Experience" numFmtId="0">
      <sharedItems/>
    </cacheField>
    <cacheField name="Duration (Day)" numFmtId="0">
      <sharedItems containsSemiMixedTypes="0" containsString="0" containsNumber="1" containsInteger="1" minValue="30" maxValue="3163"/>
    </cacheField>
    <cacheField name="Total Machine" numFmtId="0">
      <sharedItems containsSemiMixedTypes="0" containsString="0" containsNumber="1" containsInteger="1" minValue="0" maxValue="1384"/>
    </cacheField>
    <cacheField name="Total CE Area" numFmtId="0">
      <sharedItems containsSemiMixedTypes="0" containsString="0" containsNumber="1" containsInteger="1" minValue="1" maxValue="22"/>
    </cacheField>
    <cacheField name="Total SO Area" numFmtId="0">
      <sharedItems containsSemiMixedTypes="0" containsString="0" containsNumber="1" containsInteger="1" minValue="0" maxValue="7455"/>
    </cacheField>
    <cacheField name="SO Area / CE Area" numFmtId="1">
      <sharedItems containsSemiMixedTypes="0" containsString="0" containsNumber="1" minValue="0" maxValue="1500"/>
    </cacheField>
    <cacheField name="Total SO Individual" numFmtId="0">
      <sharedItems containsSemiMixedTypes="0" containsString="0" containsNumber="1" containsInteger="1" minValue="0" maxValue="837"/>
    </cacheField>
    <cacheField name="Index" numFmtId="2">
      <sharedItems containsSemiMixedTypes="0" containsString="0" containsNumber="1" minValue="0.2" maxValue="1"/>
    </cacheField>
    <cacheField name="Score" numFmtId="0">
      <sharedItems containsSemiMixedTypes="0" containsString="0" containsNumber="1" containsInteger="1" minValue="1" maxValue="5"/>
    </cacheField>
    <cacheField name="Percentage" numFmtId="9">
      <sharedItems containsSemiMixedTypes="0" containsString="0" containsNumber="1" minValue="0" maxValue="2.3230769230769233"/>
    </cacheField>
    <cacheField name="KPI Achievement" numFmtId="9">
      <sharedItems containsSemiMixedTypes="0" containsString="0" containsNumber="1" minValue="0" maxValue="0.46461538461538465"/>
    </cacheField>
    <cacheField name="Zona 1 &lt;=1.5 Hour" numFmtId="20">
      <sharedItems containsSemiMixedTypes="0" containsNonDate="0" containsDate="1" containsString="0" minDate="1899-12-30T00:00:00" maxDate="2007-06-23T10:23:30"/>
    </cacheField>
    <cacheField name="Zona 2 &lt;= 3 Hours" numFmtId="20">
      <sharedItems containsSemiMixedTypes="0" containsNonDate="0" containsDate="1" containsString="0" minDate="1899-12-30T00:00:00" maxDate="2024-10-24T21:57:00"/>
    </cacheField>
    <cacheField name="Zona 3 24 Hours Max" numFmtId="20">
      <sharedItems containsSemiMixedTypes="0" containsNonDate="0" containsDate="1" containsString="0" minDate="1899-12-30T00:00:00" maxDate="2024-09-12T17:36:17"/>
    </cacheField>
    <cacheField name="Zona 1 &lt;=1.5 Hour2" numFmtId="2">
      <sharedItems containsSemiMixedTypes="0" containsString="0" containsNumber="1" containsInteger="1" minValue="0" maxValue="1"/>
    </cacheField>
    <cacheField name="Zona 2 &lt;= 3 Hours2" numFmtId="2">
      <sharedItems containsSemiMixedTypes="0" containsString="0" containsNumber="1" containsInteger="1" minValue="0" maxValue="1"/>
    </cacheField>
    <cacheField name="Zona 3 24 Hours Max2" numFmtId="2">
      <sharedItems containsSemiMixedTypes="0" containsString="0" containsNumber="1" containsInteger="1" minValue="0" maxValue="1"/>
    </cacheField>
    <cacheField name="Index2" numFmtId="2">
      <sharedItems containsSemiMixedTypes="0" containsString="0" containsNumber="1" minValue="0" maxValue="1.25"/>
    </cacheField>
    <cacheField name="Score2" numFmtId="0">
      <sharedItems containsSemiMixedTypes="0" containsString="0" containsNumber="1" containsInteger="1" minValue="0" maxValue="3"/>
    </cacheField>
    <cacheField name="Percentage2" numFmtId="10">
      <sharedItems containsSemiMixedTypes="0" containsString="0" containsNumber="1" minValue="0" maxValue="1"/>
    </cacheField>
    <cacheField name="KPI Achievement2" numFmtId="10">
      <sharedItems containsSemiMixedTypes="0" containsString="0" containsNumber="1" minValue="0" maxValue="0.25"/>
    </cacheField>
    <cacheField name="Resolution Time" numFmtId="21">
      <sharedItems containsSemiMixedTypes="0" containsNonDate="0" containsDate="1" containsString="0" minDate="1899-12-30T00:00:00" maxDate="1899-12-30T07:39:54"/>
    </cacheField>
    <cacheField name="Index3" numFmtId="2">
      <sharedItems containsSemiMixedTypes="0" containsString="0" containsNumber="1" minValue="0.25" maxValue="1.25"/>
    </cacheField>
    <cacheField name="Score3" numFmtId="0">
      <sharedItems containsSemiMixedTypes="0" containsString="0" containsNumber="1" containsInteger="1" minValue="1" maxValue="5"/>
    </cacheField>
    <cacheField name="Percentage3" numFmtId="10">
      <sharedItems containsSemiMixedTypes="0" containsString="0" containsNumber="1" minValue="0" maxValue="1"/>
    </cacheField>
    <cacheField name="KPI Achievement3" numFmtId="10">
      <sharedItems containsSemiMixedTypes="0" containsString="0" containsNumber="1" minValue="0" maxValue="0.25"/>
    </cacheField>
    <cacheField name="SR" numFmtId="0">
      <sharedItems containsSemiMixedTypes="0" containsString="0" containsNumber="1" containsInteger="1" minValue="1" maxValue="1"/>
    </cacheField>
    <cacheField name="VS" numFmtId="0">
      <sharedItems containsSemiMixedTypes="0" containsString="0" containsNumber="1" containsInteger="1" minValue="1" maxValue="1"/>
    </cacheField>
    <cacheField name="TCR" numFmtId="0">
      <sharedItems containsSemiMixedTypes="0" containsString="0" containsNumber="1" containsInteger="1" minValue="0" maxValue="1"/>
    </cacheField>
    <cacheField name="CASHSHOTER" numFmtId="0">
      <sharedItems containsSemiMixedTypes="0" containsString="0" containsNumber="1" containsInteger="1" minValue="0" maxValue="1"/>
    </cacheField>
    <cacheField name="EDC" numFmtId="0">
      <sharedItems containsSemiMixedTypes="0" containsString="0" containsNumber="1" containsInteger="1" minValue="0" maxValue="1"/>
    </cacheField>
    <cacheField name="UPS" numFmtId="0">
      <sharedItems containsSemiMixedTypes="0" containsString="0" containsNumber="1" containsInteger="1" minValue="0" maxValue="1"/>
    </cacheField>
    <cacheField name="POS" numFmtId="0">
      <sharedItems containsSemiMixedTypes="0" containsString="0" containsNumber="1" containsInteger="1" minValue="0" maxValue="1"/>
    </cacheField>
    <cacheField name="MOBILE APP" numFmtId="0">
      <sharedItems containsSemiMixedTypes="0" containsString="0" containsNumber="1" containsInteger="1" minValue="0" maxValue="1"/>
    </cacheField>
    <cacheField name="Index4" numFmtId="2">
      <sharedItems containsSemiMixedTypes="0" containsString="0" containsNumber="1" minValue="0.4" maxValue="1"/>
    </cacheField>
    <cacheField name="Score4" numFmtId="0">
      <sharedItems containsSemiMixedTypes="0" containsString="0" containsNumber="1" containsInteger="1" minValue="2" maxValue="8"/>
    </cacheField>
    <cacheField name="Percentage4" numFmtId="10">
      <sharedItems containsSemiMixedTypes="0" containsString="0" containsNumber="1" minValue="0.25" maxValue="1"/>
    </cacheField>
    <cacheField name="KPI Achievement4" numFmtId="10">
      <sharedItems containsSemiMixedTypes="0" containsString="0" containsNumber="1" minValue="3.7499999999999999E-2" maxValue="0.15"/>
    </cacheField>
    <cacheField name="Analytical Thinking" numFmtId="1">
      <sharedItems containsSemiMixedTypes="0" containsString="0" containsNumber="1" containsInteger="1" minValue="65" maxValue="85"/>
    </cacheField>
    <cacheField name="Communication &amp; Coordination with Internal &amp; External Parties" numFmtId="1">
      <sharedItems containsSemiMixedTypes="0" containsString="0" containsNumber="1" containsInteger="1" minValue="60" maxValue="90"/>
    </cacheField>
    <cacheField name="SOP" numFmtId="1">
      <sharedItems containsSemiMixedTypes="0" containsString="0" containsNumber="1" containsInteger="1" minValue="60" maxValue="95"/>
    </cacheField>
    <cacheField name="Team Work" numFmtId="1">
      <sharedItems containsSemiMixedTypes="0" containsString="0" containsNumber="1" containsInteger="1" minValue="60" maxValue="95"/>
    </cacheField>
    <cacheField name="Inovation &amp; Willing to Learn" numFmtId="1">
      <sharedItems containsSemiMixedTypes="0" containsString="0" containsNumber="1" containsInteger="1" minValue="60" maxValue="90"/>
    </cacheField>
    <cacheField name="Index5" numFmtId="2">
      <sharedItems containsSemiMixedTypes="0" containsString="0" containsNumber="1" minValue="0.8" maxValue="1"/>
    </cacheField>
    <cacheField name="Score5" numFmtId="0">
      <sharedItems containsSemiMixedTypes="0" containsString="0" containsNumber="1" containsInteger="1" minValue="330" maxValue="435"/>
    </cacheField>
    <cacheField name="Percentage5" numFmtId="10">
      <sharedItems containsSemiMixedTypes="0" containsString="0" containsNumber="1" minValue="0.98484848484848486" maxValue="0.9885057471264368"/>
    </cacheField>
    <cacheField name="KPI Achievement5" numFmtId="10">
      <sharedItems containsSemiMixedTypes="0" containsString="0" containsNumber="1" minValue="0.19696969696969699" maxValue="0.19770114942528738"/>
    </cacheField>
    <cacheField name="Quantitative Index" numFmtId="2">
      <sharedItems containsSemiMixedTypes="0" containsString="0" containsNumber="1" minValue="2.5499999999999998" maxValue="5.3"/>
    </cacheField>
    <cacheField name="Qualitative Score" numFmtId="2">
      <sharedItems containsSemiMixedTypes="0" containsString="0" containsNumber="1" containsInteger="1" minValue="66" maxValue="87"/>
    </cacheField>
    <cacheField name="Total KPI Achievement" numFmtId="10">
      <sharedItems containsSemiMixedTypes="0" containsString="0" containsNumber="1" minValue="0.31003086419753084" maxValue="0.98923777223066356"/>
    </cacheField>
    <cacheField name="Remarks" numFmtId="2">
      <sharedItems/>
    </cacheField>
    <cacheField name="Result" numFmtId="2">
      <sharedItems/>
    </cacheField>
    <cacheField name="Assesment" numFmtId="0">
      <sharedItems count="5">
        <s v="Senior engineer"/>
        <s v="Engineer"/>
        <s v="Associate engineer"/>
        <s v="Terminated"/>
        <s v="Resign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guh Priambodo" refreshedDate="45687.630387500001" createdVersion="8" refreshedVersion="8" minRefreshableVersion="3" recordCount="361" xr:uid="{17C5FB9A-1723-4717-80CE-F461B877A482}">
  <cacheSource type="worksheet">
    <worksheetSource ref="A4:BK365" sheet="Assesment"/>
  </cacheSource>
  <cacheFields count="62">
    <cacheField name="No" numFmtId="0">
      <sharedItems containsSemiMixedTypes="0" containsString="0" containsNumber="1" containsInteger="1" minValue="1" maxValue="361"/>
    </cacheField>
    <cacheField name="Name" numFmtId="0">
      <sharedItems/>
    </cacheField>
    <cacheField name="CE Id" numFmtId="0">
      <sharedItems/>
    </cacheField>
    <cacheField name="Role" numFmtId="0">
      <sharedItems/>
    </cacheField>
    <cacheField name="Area Group" numFmtId="0">
      <sharedItems count="84">
        <s v="Surabaya"/>
        <s v="Jakarta 2"/>
        <s v="Manokwari"/>
        <s v="Bandung"/>
        <s v="Semarang"/>
        <s v="Lampung"/>
        <s v="Lahat"/>
        <s v="Ternate"/>
        <s v="Parepare"/>
        <s v="Makassar"/>
        <s v="Palangkaraya"/>
        <s v="Jakarta 1"/>
        <s v="Jakarta 3"/>
        <s v="Muara Bungo"/>
        <s v="Gorontalo"/>
        <s v="Blora"/>
        <s v="Padang"/>
        <s v="Denpasar"/>
        <s v="Pekanbaru"/>
        <s v="Palopo"/>
        <s v="Madiun"/>
        <s v="Bulukumba"/>
        <s v="Tangerang"/>
        <s v="Solo"/>
        <s v="Kediri"/>
        <s v="Ketapang"/>
        <s v="Waikabubak"/>
        <s v="Ruteng"/>
        <s v="Pontianak"/>
        <s v="Bengkulu"/>
        <s v="Belitung"/>
        <s v="Jayapura"/>
        <s v="Serang"/>
        <s v="Cikampek"/>
        <s v="Medan"/>
        <s v="Bekasi"/>
        <s v="Jambi"/>
        <s v="Ambon"/>
        <s v="Payakumbuh"/>
        <s v="Dumai"/>
        <s v="Palembang"/>
        <s v="Batam"/>
        <s v="Cirebon"/>
        <s v="Mataram"/>
        <s v="Palu"/>
        <s v="Bontang"/>
        <s v="Tasikmalaya"/>
        <s v="Yogyakarta"/>
        <s v="Kupang"/>
        <s v="Balikpapan"/>
        <s v="Pekalongan"/>
        <s v="Banjarmasin"/>
        <s v="Manado"/>
        <s v="Probolinggo"/>
        <s v="Kendari"/>
        <s v="Sukabumi"/>
        <s v="Tarutung"/>
        <s v="Sanggau"/>
        <s v="Bogor"/>
        <s v="Bima"/>
        <s v="Bangka"/>
        <s v="Jember"/>
        <s v="Rantau Prapat"/>
        <s v="Purwokerto"/>
        <s v="Tegal"/>
        <s v="Banyuwangi"/>
        <s v="Pangkalan Bun"/>
        <s v="Lubuk Linggau"/>
        <s v="Samarinda"/>
        <s v="Pematang Siantar"/>
        <s v="Merauke"/>
        <s v="Tarakan"/>
        <s v="Depok"/>
        <s v="Ende"/>
        <s v="Timika"/>
        <s v="Sorong"/>
        <s v="Malang"/>
        <s v="Aceh"/>
        <s v="Pamekasan"/>
        <s v="Tembilahan"/>
        <s v="Atambua"/>
        <s v="Larantuka"/>
        <s v="Bintan"/>
        <s v="Bojonegoro"/>
      </sharedItems>
    </cacheField>
    <cacheField name="Region" numFmtId="0">
      <sharedItems count="3">
        <s v="Region 2"/>
        <s v="Region 1"/>
        <s v="Region 3"/>
      </sharedItems>
    </cacheField>
    <cacheField name="Vendor" numFmtId="0">
      <sharedItems/>
    </cacheField>
    <cacheField name="Join Date" numFmtId="0">
      <sharedItems containsSemiMixedTypes="0" containsNonDate="0" containsDate="1" containsString="0" minDate="2016-03-04T00:00:00" maxDate="2025-01-22T00:00:00"/>
    </cacheField>
    <cacheField name="Assesment Date" numFmtId="0">
      <sharedItems containsNonDate="0" containsDate="1" containsString="0" containsBlank="1" minDate="2024-10-31T00:00:00" maxDate="2024-11-01T00:00:00"/>
    </cacheField>
    <cacheField name="Experience" numFmtId="0">
      <sharedItems containsBlank="1"/>
    </cacheField>
    <cacheField name="Duration (Day)" numFmtId="0">
      <sharedItems containsString="0" containsBlank="1" containsNumber="1" containsInteger="1" minValue="30" maxValue="3163"/>
    </cacheField>
    <cacheField name="Total Machine" numFmtId="0">
      <sharedItems containsString="0" containsBlank="1" containsNumber="1" containsInteger="1" minValue="0" maxValue="1384"/>
    </cacheField>
    <cacheField name="Total CE Area" numFmtId="0">
      <sharedItems containsString="0" containsBlank="1" containsNumber="1" containsInteger="1" minValue="1" maxValue="22"/>
    </cacheField>
    <cacheField name="Total SO Area" numFmtId="0">
      <sharedItems containsString="0" containsBlank="1" containsNumber="1" containsInteger="1" minValue="0" maxValue="7455"/>
    </cacheField>
    <cacheField name="SO Area / CE Area" numFmtId="0">
      <sharedItems containsString="0" containsBlank="1" containsNumber="1" minValue="0" maxValue="1500"/>
    </cacheField>
    <cacheField name="Total SO Individual" numFmtId="0">
      <sharedItems containsString="0" containsBlank="1" containsNumber="1" containsInteger="1" minValue="0" maxValue="837"/>
    </cacheField>
    <cacheField name="Index" numFmtId="0">
      <sharedItems containsString="0" containsBlank="1" containsNumber="1" minValue="0.2" maxValue="1"/>
    </cacheField>
    <cacheField name="Score" numFmtId="0">
      <sharedItems containsString="0" containsBlank="1" containsNumber="1" containsInteger="1" minValue="1" maxValue="5"/>
    </cacheField>
    <cacheField name="Percentage" numFmtId="0">
      <sharedItems containsString="0" containsBlank="1" containsNumber="1" minValue="0" maxValue="2.3230769230769233"/>
    </cacheField>
    <cacheField name="KPI Achievement" numFmtId="0">
      <sharedItems containsString="0" containsBlank="1" containsNumber="1" minValue="0" maxValue="0.46461538461538465"/>
    </cacheField>
    <cacheField name="Zona 1 &lt;=1.5 Hour" numFmtId="0">
      <sharedItems containsNonDate="0" containsDate="1" containsString="0" containsBlank="1" minDate="1899-12-30T00:00:00" maxDate="2007-06-23T10:23:30"/>
    </cacheField>
    <cacheField name="Zona 2 &lt;= 3 Hours" numFmtId="0">
      <sharedItems containsNonDate="0" containsDate="1" containsString="0" containsBlank="1" minDate="1899-12-30T00:00:00" maxDate="2024-10-24T21:57:00"/>
    </cacheField>
    <cacheField name="Zona 3 24 Hours Max" numFmtId="0">
      <sharedItems containsNonDate="0" containsDate="1" containsString="0" containsBlank="1" minDate="1899-12-30T00:00:00" maxDate="2024-09-12T17:36:17"/>
    </cacheField>
    <cacheField name="Zona 1 &lt;=1.5 Hour2" numFmtId="0">
      <sharedItems containsString="0" containsBlank="1" containsNumber="1" containsInteger="1" minValue="0" maxValue="1"/>
    </cacheField>
    <cacheField name="Zona 2 &lt;= 3 Hours2" numFmtId="0">
      <sharedItems containsString="0" containsBlank="1" containsNumber="1" containsInteger="1" minValue="0" maxValue="1"/>
    </cacheField>
    <cacheField name="Zona 3 24 Hours Max2" numFmtId="0">
      <sharedItems containsString="0" containsBlank="1" containsNumber="1" containsInteger="1" minValue="0" maxValue="1"/>
    </cacheField>
    <cacheField name="Index2" numFmtId="0">
      <sharedItems containsString="0" containsBlank="1" containsNumber="1" minValue="0" maxValue="1.25"/>
    </cacheField>
    <cacheField name="Score2" numFmtId="0">
      <sharedItems containsString="0" containsBlank="1" containsNumber="1" containsInteger="1" minValue="0" maxValue="3"/>
    </cacheField>
    <cacheField name="Percentage2" numFmtId="0">
      <sharedItems containsString="0" containsBlank="1" containsNumber="1" minValue="0" maxValue="1"/>
    </cacheField>
    <cacheField name="KPI Achievement2" numFmtId="0">
      <sharedItems containsString="0" containsBlank="1" containsNumber="1" minValue="0" maxValue="0.25"/>
    </cacheField>
    <cacheField name="Resolution Time" numFmtId="0">
      <sharedItems containsNonDate="0" containsDate="1" containsString="0" containsBlank="1" minDate="1899-12-30T00:00:00" maxDate="1899-12-30T07:39:54"/>
    </cacheField>
    <cacheField name="Index3" numFmtId="0">
      <sharedItems containsString="0" containsBlank="1" containsNumber="1" minValue="0.25" maxValue="1.25"/>
    </cacheField>
    <cacheField name="Score3" numFmtId="0">
      <sharedItems containsString="0" containsBlank="1" containsNumber="1" containsInteger="1" minValue="1" maxValue="5"/>
    </cacheField>
    <cacheField name="Percentage3" numFmtId="0">
      <sharedItems containsString="0" containsBlank="1" containsNumber="1" minValue="0" maxValue="1"/>
    </cacheField>
    <cacheField name="KPI Achievement3" numFmtId="0">
      <sharedItems containsString="0" containsBlank="1" containsNumber="1" minValue="0" maxValue="0.25"/>
    </cacheField>
    <cacheField name="SR" numFmtId="0">
      <sharedItems containsString="0" containsBlank="1" containsNumber="1" containsInteger="1" minValue="1" maxValue="1"/>
    </cacheField>
    <cacheField name="VS" numFmtId="0">
      <sharedItems containsString="0" containsBlank="1" containsNumber="1" containsInteger="1" minValue="1" maxValue="1"/>
    </cacheField>
    <cacheField name="TCR" numFmtId="0">
      <sharedItems containsString="0" containsBlank="1" containsNumber="1" containsInteger="1" minValue="0" maxValue="1"/>
    </cacheField>
    <cacheField name="CASHSHOTER" numFmtId="0">
      <sharedItems containsString="0" containsBlank="1" containsNumber="1" containsInteger="1" minValue="0" maxValue="1"/>
    </cacheField>
    <cacheField name="EDC" numFmtId="0">
      <sharedItems containsString="0" containsBlank="1" containsNumber="1" containsInteger="1" minValue="0" maxValue="1"/>
    </cacheField>
    <cacheField name="UPS" numFmtId="0">
      <sharedItems containsString="0" containsBlank="1" containsNumber="1" containsInteger="1" minValue="0" maxValue="1"/>
    </cacheField>
    <cacheField name="POS" numFmtId="0">
      <sharedItems containsString="0" containsBlank="1" containsNumber="1" containsInteger="1" minValue="0" maxValue="1"/>
    </cacheField>
    <cacheField name="MOBILE APP" numFmtId="0">
      <sharedItems containsString="0" containsBlank="1" containsNumber="1" containsInteger="1" minValue="0" maxValue="1"/>
    </cacheField>
    <cacheField name="Index4" numFmtId="0">
      <sharedItems containsString="0" containsBlank="1" containsNumber="1" minValue="0.4" maxValue="1"/>
    </cacheField>
    <cacheField name="Score4" numFmtId="0">
      <sharedItems containsString="0" containsBlank="1" containsNumber="1" containsInteger="1" minValue="2" maxValue="8"/>
    </cacheField>
    <cacheField name="Percentage4" numFmtId="0">
      <sharedItems containsString="0" containsBlank="1" containsNumber="1" minValue="0.25" maxValue="1"/>
    </cacheField>
    <cacheField name="KPI Achievement4" numFmtId="0">
      <sharedItems containsString="0" containsBlank="1" containsNumber="1" minValue="3.7499999999999999E-2" maxValue="0.15"/>
    </cacheField>
    <cacheField name="Analytical Thinking" numFmtId="0">
      <sharedItems containsString="0" containsBlank="1" containsNumber="1" containsInteger="1" minValue="65" maxValue="85"/>
    </cacheField>
    <cacheField name="Communication &amp; Coordination with Internal &amp; External Parties" numFmtId="0">
      <sharedItems containsString="0" containsBlank="1" containsNumber="1" containsInteger="1" minValue="60" maxValue="90"/>
    </cacheField>
    <cacheField name="SOP" numFmtId="0">
      <sharedItems containsString="0" containsBlank="1" containsNumber="1" containsInteger="1" minValue="65" maxValue="95"/>
    </cacheField>
    <cacheField name="Team Work" numFmtId="0">
      <sharedItems containsString="0" containsBlank="1" containsNumber="1" containsInteger="1" minValue="70" maxValue="95"/>
    </cacheField>
    <cacheField name="Inovation &amp; Willing to Learn" numFmtId="0">
      <sharedItems containsString="0" containsBlank="1" containsNumber="1" containsInteger="1" minValue="65" maxValue="90"/>
    </cacheField>
    <cacheField name="Index5" numFmtId="0">
      <sharedItems containsString="0" containsBlank="1" containsNumber="1" minValue="0.8" maxValue="1"/>
    </cacheField>
    <cacheField name="Score5" numFmtId="0">
      <sharedItems containsString="0" containsBlank="1" containsNumber="1" containsInteger="1" minValue="355" maxValue="435"/>
    </cacheField>
    <cacheField name="Percentage5" numFmtId="0">
      <sharedItems containsString="0" containsBlank="1" containsNumber="1" minValue="0.9859154929577465" maxValue="0.9885057471264368"/>
    </cacheField>
    <cacheField name="KPI Achievement5" numFmtId="0">
      <sharedItems containsString="0" containsBlank="1" containsNumber="1" minValue="0.19718309859154931" maxValue="0.19770114942528738"/>
    </cacheField>
    <cacheField name="Quantitative Index" numFmtId="0">
      <sharedItems containsString="0" containsBlank="1" containsNumber="1" minValue="2.7" maxValue="5.3"/>
    </cacheField>
    <cacheField name="Qualitative Score" numFmtId="0">
      <sharedItems containsString="0" containsBlank="1" containsNumber="1" containsInteger="1" minValue="71" maxValue="87"/>
    </cacheField>
    <cacheField name="Total KPI Achievement" numFmtId="0">
      <sharedItems containsString="0" containsBlank="1" containsNumber="1" minValue="0.31003086419753084" maxValue="0.98923777223066356"/>
    </cacheField>
    <cacheField name="Remarks" numFmtId="0">
      <sharedItems containsBlank="1"/>
    </cacheField>
    <cacheField name="Result" numFmtId="0">
      <sharedItems containsBlank="1"/>
    </cacheField>
    <cacheField name="Asses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2">
  <r>
    <n v="1"/>
    <s v="Fidiaji Susilo"/>
    <s v="IDH40006"/>
    <s v="Senior engineer"/>
    <s v="Surabaya"/>
    <s v="Region 2"/>
    <s v="GSS"/>
    <d v="2017-08-01T00:00:00"/>
    <d v="2024-10-31T00:00:00"/>
    <s v="7 Tahun 4 Bulan 18 Hari "/>
    <n v="2648"/>
    <n v="1384"/>
    <n v="22"/>
    <n v="6775"/>
    <n v="307.95454545454544"/>
    <n v="619"/>
    <n v="1"/>
    <n v="5"/>
    <n v="2.0100369003690037"/>
    <n v="0.40200738007380077"/>
    <d v="1917-11-10T16:38:13"/>
    <d v="1899-12-30T00:17:54"/>
    <d v="1899-12-30T00:00:00"/>
    <n v="0"/>
    <n v="1"/>
    <n v="0"/>
    <n v="0.4"/>
    <n v="1"/>
    <n v="0.33333333333333331"/>
    <n v="8.3333333333333329E-2"/>
    <d v="1899-12-30T00:47:52"/>
    <n v="1.25"/>
    <n v="5"/>
    <n v="1"/>
    <n v="0.25"/>
    <n v="1"/>
    <n v="1"/>
    <n v="1"/>
    <n v="0"/>
    <n v="0"/>
    <n v="0"/>
    <n v="0"/>
    <n v="0"/>
    <n v="0.6"/>
    <n v="3"/>
    <n v="0.375"/>
    <n v="5.6249999999999994E-2"/>
    <n v="80"/>
    <n v="85"/>
    <n v="90"/>
    <n v="85"/>
    <n v="85"/>
    <n v="1"/>
    <n v="425"/>
    <n v="0.9882352941176471"/>
    <n v="0.19764705882352943"/>
    <n v="4.25"/>
    <n v="85"/>
    <n v="0.98923777223066356"/>
    <s v="Sangat Baik"/>
    <s v="Stay"/>
    <x v="0"/>
  </r>
  <r>
    <n v="2"/>
    <s v="Handika Juliansyah"/>
    <s v="IDH60020"/>
    <s v="Engineer"/>
    <s v="Jakarta 2"/>
    <s v="Region 1"/>
    <s v="CITIUS"/>
    <d v="2021-09-27T00:00:00"/>
    <d v="2024-10-31T00:00:00"/>
    <s v="3 Tahun 2 Bulan 22 Hari "/>
    <n v="1130"/>
    <n v="893"/>
    <n v="14"/>
    <n v="6172"/>
    <n v="440.85714285714283"/>
    <n v="749"/>
    <n v="1"/>
    <n v="5"/>
    <n v="1.6989630589760207"/>
    <n v="0.33979261179520415"/>
    <d v="1997-01-18T11:34:44"/>
    <d v="2024-06-22T14:27:10"/>
    <d v="2024-05-31T18:53:24"/>
    <n v="0"/>
    <n v="0"/>
    <n v="1"/>
    <n v="0.4"/>
    <n v="1"/>
    <n v="0.33333333333333331"/>
    <n v="8.3333333333333329E-2"/>
    <d v="1899-12-30T00:58:27"/>
    <n v="1.25"/>
    <n v="5"/>
    <n v="1"/>
    <n v="0.25"/>
    <n v="1"/>
    <n v="1"/>
    <n v="1"/>
    <n v="1"/>
    <n v="0"/>
    <n v="0"/>
    <n v="1"/>
    <n v="1"/>
    <n v="1"/>
    <n v="6"/>
    <n v="0.75"/>
    <n v="0.11249999999999999"/>
    <n v="85"/>
    <n v="65"/>
    <n v="85"/>
    <n v="90"/>
    <n v="90"/>
    <n v="1"/>
    <n v="415"/>
    <n v="0.98795180722891562"/>
    <n v="0.19759036144578312"/>
    <n v="4.6500000000000004"/>
    <n v="83"/>
    <n v="0.98321630657432058"/>
    <s v="Sangat Baik"/>
    <s v="Level Up"/>
    <x v="0"/>
  </r>
  <r>
    <n v="3"/>
    <s v="Bimantara Dwi Januarianto"/>
    <s v="IDH70004"/>
    <s v="Associate engineer"/>
    <s v="Surabaya"/>
    <s v="Region 2"/>
    <s v="SIPRAMA"/>
    <d v="2022-08-22T00:00:00"/>
    <d v="2024-10-31T00:00:00"/>
    <s v="2 Tahun 3 Bulan 27 Hari "/>
    <n v="801"/>
    <n v="1384"/>
    <n v="22"/>
    <n v="6775"/>
    <n v="307.95454545454544"/>
    <n v="608"/>
    <n v="1"/>
    <n v="5"/>
    <n v="1.9743173431734318"/>
    <n v="0.39486346863468635"/>
    <d v="1907-07-18T06:10:32"/>
    <d v="1899-12-30T00:00:00"/>
    <d v="1899-12-30T00:01:46"/>
    <n v="0"/>
    <n v="0"/>
    <n v="1"/>
    <n v="0.4"/>
    <n v="1"/>
    <n v="0.33333333333333331"/>
    <n v="8.3333333333333329E-2"/>
    <d v="1899-12-30T00:59:59"/>
    <n v="1.25"/>
    <n v="5"/>
    <n v="1"/>
    <n v="0.25"/>
    <n v="1"/>
    <n v="1"/>
    <n v="1"/>
    <n v="0"/>
    <n v="0"/>
    <n v="0"/>
    <n v="0"/>
    <n v="0"/>
    <n v="0.6"/>
    <n v="3"/>
    <n v="0.375"/>
    <n v="5.6249999999999994E-2"/>
    <n v="75"/>
    <n v="70"/>
    <n v="80"/>
    <n v="90"/>
    <n v="90"/>
    <n v="1"/>
    <n v="405"/>
    <n v="0.98765432098765427"/>
    <n v="0.19753086419753085"/>
    <n v="4.25"/>
    <n v="81"/>
    <n v="0.98197766616555049"/>
    <s v="Sangat Baik"/>
    <s v="Level Up"/>
    <x v="1"/>
  </r>
  <r>
    <n v="4"/>
    <s v="Adytia Tri Aprilianto Priyono"/>
    <s v="IDH40059"/>
    <s v="Engineer"/>
    <s v="Surabaya"/>
    <s v="Region 2"/>
    <s v="GSS"/>
    <d v="2019-01-07T00:00:00"/>
    <d v="2024-10-31T00:00:00"/>
    <s v="5 Tahun 11 Bulan 12 Hari "/>
    <n v="2124"/>
    <n v="1384"/>
    <n v="22"/>
    <n v="6775"/>
    <n v="307.95454545454544"/>
    <n v="489"/>
    <n v="1"/>
    <n v="5"/>
    <n v="1.5878966789667897"/>
    <n v="0.31757933579335795"/>
    <d v="1899-12-30T00:31:48"/>
    <d v="1899-12-30T00:00:06"/>
    <d v="1899-12-30T00:00:00"/>
    <n v="1"/>
    <n v="1"/>
    <n v="0"/>
    <n v="0.8"/>
    <n v="2"/>
    <n v="0.66666666666666663"/>
    <n v="0.16666666666666666"/>
    <d v="1899-12-30T01:08:17"/>
    <n v="1"/>
    <n v="4"/>
    <n v="0.8"/>
    <n v="0.2"/>
    <n v="1"/>
    <n v="1"/>
    <n v="1"/>
    <n v="1"/>
    <n v="0"/>
    <n v="1"/>
    <n v="0"/>
    <n v="0"/>
    <n v="1"/>
    <n v="5"/>
    <n v="0.625"/>
    <n v="9.375E-2"/>
    <n v="75"/>
    <n v="75"/>
    <n v="80"/>
    <n v="80"/>
    <n v="80"/>
    <n v="1"/>
    <n v="390"/>
    <n v="0.98717948717948723"/>
    <n v="0.19743589743589746"/>
    <n v="4.8"/>
    <n v="78"/>
    <n v="0.97543189989592194"/>
    <s v="Sangat Baik"/>
    <s v="Level Up"/>
    <x v="0"/>
  </r>
  <r>
    <n v="5"/>
    <s v="Roland"/>
    <s v="IDH80078"/>
    <s v="Associate engineer"/>
    <s v="Manokwari"/>
    <s v="Region 1"/>
    <s v="IMPACT"/>
    <d v="2023-07-24T00:00:00"/>
    <d v="2024-10-31T00:00:00"/>
    <s v="1 Tahun 4 Bulan 25 Hari "/>
    <n v="465"/>
    <n v="25"/>
    <n v="1"/>
    <n v="202"/>
    <n v="202"/>
    <n v="235"/>
    <n v="1"/>
    <n v="5"/>
    <n v="1.1633663366336633"/>
    <n v="0.23267326732673266"/>
    <d v="1899-12-30T01:27:00"/>
    <d v="1899-12-30T01:38:39"/>
    <d v="1906-12-01T16:27:07"/>
    <n v="1"/>
    <n v="1"/>
    <n v="1"/>
    <n v="1.25"/>
    <n v="3"/>
    <n v="1"/>
    <n v="0.25"/>
    <d v="1899-12-30T01:35:02"/>
    <n v="1"/>
    <n v="4"/>
    <n v="0.8"/>
    <n v="0.2"/>
    <n v="1"/>
    <n v="1"/>
    <n v="1"/>
    <n v="0"/>
    <n v="1"/>
    <n v="1"/>
    <n v="0"/>
    <n v="0"/>
    <n v="1"/>
    <n v="5"/>
    <n v="0.625"/>
    <n v="9.375E-2"/>
    <n v="75"/>
    <n v="75"/>
    <n v="90"/>
    <n v="85"/>
    <n v="80"/>
    <n v="1"/>
    <n v="405"/>
    <n v="0.98765432098765427"/>
    <n v="0.19753086419753085"/>
    <n v="5.25"/>
    <n v="81"/>
    <n v="0.97395413152426347"/>
    <s v="Sangat Baik"/>
    <s v="Level Up"/>
    <x v="1"/>
  </r>
  <r>
    <n v="6"/>
    <s v="Virgiawan Rachman Daeng Rate"/>
    <s v="IDH40034"/>
    <s v="Senior engineer"/>
    <s v="Bandung"/>
    <s v="Region 2"/>
    <s v="SIPRAMA"/>
    <d v="2018-11-14T00:00:00"/>
    <d v="2024-10-31T00:00:00"/>
    <s v="6 Tahun 1 Bulan 5 Hari "/>
    <n v="2178"/>
    <n v="872"/>
    <n v="15"/>
    <n v="5975"/>
    <n v="398.33333333333331"/>
    <n v="454"/>
    <n v="1"/>
    <n v="5"/>
    <n v="1.1397489539748955"/>
    <n v="0.22794979079497912"/>
    <d v="1923-09-10T01:38:54"/>
    <d v="1899-12-30T00:00:08"/>
    <d v="1899-12-30T00:00:00"/>
    <n v="1"/>
    <n v="1"/>
    <n v="0"/>
    <n v="0.8"/>
    <n v="2"/>
    <n v="0.66666666666666663"/>
    <n v="0.16666666666666666"/>
    <d v="1899-12-30T00:40:32"/>
    <n v="1.25"/>
    <n v="5"/>
    <n v="1"/>
    <n v="0.25"/>
    <n v="1"/>
    <n v="1"/>
    <n v="1"/>
    <n v="0"/>
    <n v="1"/>
    <n v="1"/>
    <n v="1"/>
    <n v="1"/>
    <n v="1"/>
    <n v="7"/>
    <n v="0.875"/>
    <n v="0.13125000000000001"/>
    <n v="80"/>
    <n v="75"/>
    <n v="85"/>
    <n v="85"/>
    <n v="85"/>
    <n v="1"/>
    <n v="410"/>
    <n v="0.98780487804878048"/>
    <n v="0.19756097560975611"/>
    <n v="5.05"/>
    <n v="82"/>
    <n v="0.97342743307140189"/>
    <s v="Sangat Baik"/>
    <s v="Stay"/>
    <x v="0"/>
  </r>
  <r>
    <n v="7"/>
    <s v="Fajar Dhiki Satriatama"/>
    <s v="IDH60079"/>
    <s v="Engineer"/>
    <s v="Semarang"/>
    <s v="Region 2"/>
    <s v="CITIUS"/>
    <d v="2022-07-04T00:00:00"/>
    <d v="2024-10-31T00:00:00"/>
    <s v="2 Tahun 5 Bulan 15 Hari "/>
    <n v="850"/>
    <n v="625"/>
    <n v="10"/>
    <n v="4149"/>
    <n v="414.9"/>
    <n v="375"/>
    <n v="0.8"/>
    <n v="4"/>
    <n v="0.90383224873463486"/>
    <n v="0.18076644974692699"/>
    <d v="1899-12-30T01:09:17"/>
    <d v="1899-12-30T02:02:10"/>
    <d v="1899-12-30T02:36:50"/>
    <n v="1"/>
    <n v="1"/>
    <n v="1"/>
    <n v="1.25"/>
    <n v="3"/>
    <n v="1"/>
    <n v="0.25"/>
    <d v="1899-12-30T00:43:36"/>
    <n v="1.25"/>
    <n v="5"/>
    <n v="1"/>
    <n v="0.25"/>
    <n v="1"/>
    <n v="1"/>
    <n v="1"/>
    <n v="0"/>
    <n v="0"/>
    <n v="1"/>
    <n v="0"/>
    <n v="1"/>
    <n v="1"/>
    <n v="5"/>
    <n v="0.625"/>
    <n v="9.375E-2"/>
    <n v="75"/>
    <n v="75"/>
    <n v="75"/>
    <n v="80"/>
    <n v="75"/>
    <n v="1"/>
    <n v="380"/>
    <n v="0.98684210526315785"/>
    <n v="0.19736842105263158"/>
    <n v="5.3"/>
    <n v="76"/>
    <n v="0.97188487079955865"/>
    <s v="Sangat Baik"/>
    <s v="Stay"/>
    <x v="1"/>
  </r>
  <r>
    <n v="8"/>
    <s v="Rison Siregar"/>
    <s v="IDH80126"/>
    <s v="Associate engineer"/>
    <s v="Lampung"/>
    <s v="Region 1"/>
    <s v="IMPACT"/>
    <d v="2023-11-01T00:00:00"/>
    <d v="2024-10-31T00:00:00"/>
    <s v="1 Tahun 1 Bulan 18 Hari "/>
    <n v="365"/>
    <n v="329"/>
    <n v="6"/>
    <n v="1945"/>
    <n v="324.16666666666669"/>
    <n v="255"/>
    <n v="0.6"/>
    <n v="3"/>
    <n v="0.78663239074550129"/>
    <n v="0.15732647814910028"/>
    <d v="1899-12-30T00:29:46"/>
    <d v="1899-12-30T01:57:24"/>
    <d v="1899-12-30T00:56:57"/>
    <n v="1"/>
    <n v="1"/>
    <n v="1"/>
    <n v="1.25"/>
    <n v="3"/>
    <n v="1"/>
    <n v="0.25"/>
    <d v="1899-12-30T00:57:44"/>
    <n v="1.25"/>
    <n v="5"/>
    <n v="1"/>
    <n v="0.25"/>
    <n v="1"/>
    <n v="1"/>
    <n v="1"/>
    <n v="0"/>
    <n v="1"/>
    <n v="1"/>
    <n v="1"/>
    <n v="0"/>
    <n v="1"/>
    <n v="6"/>
    <n v="0.75"/>
    <n v="0.11249999999999999"/>
    <n v="75"/>
    <n v="75"/>
    <n v="90"/>
    <n v="85"/>
    <n v="80"/>
    <n v="1"/>
    <n v="405"/>
    <n v="0.98765432098765427"/>
    <n v="0.19753086419753085"/>
    <n v="5.0999999999999996"/>
    <n v="81"/>
    <n v="0.96735734234663107"/>
    <s v="Sangat Baik"/>
    <s v="Level Up"/>
    <x v="1"/>
  </r>
  <r>
    <n v="9"/>
    <s v="Ardian Pragusti"/>
    <s v="IDH10009"/>
    <s v="Associate engineer"/>
    <s v="Lahat"/>
    <s v="Region 3"/>
    <s v="KINARYA"/>
    <d v="2024-06-01T00:00:00"/>
    <d v="2024-10-31T00:00:00"/>
    <s v="0 Tahun 6 Bulan 18 Hari "/>
    <n v="152"/>
    <n v="52"/>
    <n v="2"/>
    <n v="350"/>
    <n v="175"/>
    <n v="151"/>
    <n v="0.8"/>
    <n v="4"/>
    <n v="0.86285714285714288"/>
    <n v="0.1725714285714286"/>
    <d v="1899-12-30T00:04:23"/>
    <d v="1899-12-30T00:38:15"/>
    <d v="1912-06-20T19:31:11"/>
    <n v="1"/>
    <n v="1"/>
    <n v="1"/>
    <n v="1.25"/>
    <n v="3"/>
    <n v="1"/>
    <n v="0.25"/>
    <d v="1899-12-30T00:43:24"/>
    <n v="1.25"/>
    <n v="5"/>
    <n v="1"/>
    <n v="0.25"/>
    <n v="1"/>
    <n v="1"/>
    <n v="1"/>
    <n v="0"/>
    <n v="1"/>
    <n v="1"/>
    <n v="0"/>
    <n v="0"/>
    <n v="1"/>
    <n v="5"/>
    <n v="0.625"/>
    <n v="9.375E-2"/>
    <n v="75"/>
    <n v="75"/>
    <n v="85"/>
    <n v="85"/>
    <n v="85"/>
    <n v="0.8"/>
    <n v="405"/>
    <n v="0.98765432098765427"/>
    <n v="0.19753086419753085"/>
    <n v="5.0999999999999996"/>
    <n v="81"/>
    <n v="0.96385229276895945"/>
    <s v="New CE"/>
    <s v="Stay"/>
    <x v="2"/>
  </r>
  <r>
    <n v="10"/>
    <s v="Sadam Arifin"/>
    <s v="IDH80097"/>
    <s v="Associate engineer"/>
    <s v="Ternate"/>
    <s v="Region 1"/>
    <s v="IMPACT"/>
    <d v="2023-09-04T00:00:00"/>
    <d v="2024-10-31T00:00:00"/>
    <s v="1 Tahun 3 Bulan 15 Hari "/>
    <n v="423"/>
    <n v="60"/>
    <n v="2"/>
    <n v="480"/>
    <n v="240"/>
    <n v="206"/>
    <n v="0.8"/>
    <n v="4"/>
    <n v="0.85833333333333328"/>
    <n v="0.17166666666666666"/>
    <d v="1899-12-30T00:41:00"/>
    <d v="1899-12-30T00:41:00"/>
    <d v="1899-12-30T10:03:34"/>
    <n v="1"/>
    <n v="1"/>
    <n v="1"/>
    <n v="1.25"/>
    <n v="3"/>
    <n v="1"/>
    <n v="0.25"/>
    <d v="1899-12-30T00:34:53"/>
    <n v="1.25"/>
    <n v="5"/>
    <n v="1"/>
    <n v="0.25"/>
    <n v="1"/>
    <n v="1"/>
    <n v="1"/>
    <n v="0"/>
    <n v="0"/>
    <n v="1"/>
    <n v="0"/>
    <n v="1"/>
    <n v="1"/>
    <n v="5"/>
    <n v="0.625"/>
    <n v="9.375E-2"/>
    <n v="75"/>
    <n v="75"/>
    <n v="90"/>
    <n v="85"/>
    <n v="80"/>
    <n v="1"/>
    <n v="405"/>
    <n v="0.98765432098765427"/>
    <n v="0.19753086419753085"/>
    <n v="5.3"/>
    <n v="81"/>
    <n v="0.96294753086419749"/>
    <s v="Sangat Baik"/>
    <s v="Level Up"/>
    <x v="1"/>
  </r>
  <r>
    <n v="12"/>
    <s v="Achmad Azizul Hakim Nugroho"/>
    <s v="IDH40041"/>
    <s v="Senior engineer"/>
    <s v="Surabaya"/>
    <s v="Region 2"/>
    <s v="GSS"/>
    <d v="2018-10-15T00:00:00"/>
    <d v="2024-10-31T00:00:00"/>
    <s v="6 Tahun 2 Bulan 4 Hari "/>
    <n v="2208"/>
    <n v="1384"/>
    <n v="22"/>
    <n v="6775"/>
    <n v="307.95454545454544"/>
    <n v="525"/>
    <n v="1"/>
    <n v="5"/>
    <n v="1.7047970479704797"/>
    <n v="0.34095940959409599"/>
    <d v="1920-12-04T22:00:11"/>
    <d v="1899-12-30T00:03:33"/>
    <d v="1899-12-30T00:12:16"/>
    <n v="0"/>
    <n v="1"/>
    <n v="1"/>
    <n v="0.8"/>
    <n v="2"/>
    <n v="0.66666666666666663"/>
    <n v="0.16666666666666666"/>
    <d v="1899-12-30T01:43:04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80"/>
    <n v="80"/>
    <n v="80"/>
    <n v="80"/>
    <n v="1"/>
    <n v="395"/>
    <n v="0.98734177215189878"/>
    <n v="0.19746835443037977"/>
    <n v="4.4000000000000004"/>
    <n v="79"/>
    <n v="0.9613444306911425"/>
    <s v="Sangat Baik"/>
    <s v="Stay"/>
    <x v="0"/>
  </r>
  <r>
    <n v="13"/>
    <s v="Muhammad Faisal"/>
    <s v="IDH70042"/>
    <s v="Senior engineer"/>
    <s v="Parepare"/>
    <s v="Region 3"/>
    <s v="SIPRAMA"/>
    <d v="2020-10-19T00:00:00"/>
    <d v="2024-10-31T00:00:00"/>
    <s v="4 Tahun 2 Bulan 0 Hari "/>
    <n v="1473"/>
    <n v="171"/>
    <n v="4"/>
    <n v="1473"/>
    <n v="368.25"/>
    <n v="611"/>
    <n v="1"/>
    <n v="5"/>
    <n v="1.6591989137813985"/>
    <n v="0.33183978275627973"/>
    <d v="1985-01-13T13:47:20"/>
    <d v="1988-06-10T02:31:32"/>
    <d v="2004-05-31T13:27:03"/>
    <n v="0"/>
    <n v="0"/>
    <n v="1"/>
    <n v="0.75"/>
    <n v="1"/>
    <n v="0.33333333333333331"/>
    <n v="8.3333333333333329E-2"/>
    <d v="1899-12-30T00:48:49"/>
    <n v="1.25"/>
    <n v="5"/>
    <n v="1"/>
    <n v="0.25"/>
    <n v="1"/>
    <n v="1"/>
    <n v="1"/>
    <n v="0"/>
    <n v="1"/>
    <n v="1"/>
    <n v="0"/>
    <n v="0"/>
    <n v="1"/>
    <n v="5"/>
    <n v="0.625"/>
    <n v="9.375E-2"/>
    <n v="75"/>
    <n v="60"/>
    <n v="85"/>
    <n v="90"/>
    <n v="90"/>
    <n v="1"/>
    <n v="400"/>
    <n v="0.98750000000000004"/>
    <n v="0.19750000000000001"/>
    <n v="5"/>
    <n v="80"/>
    <n v="0.95642311608961306"/>
    <s v="Sangat Baik"/>
    <s v="Stay"/>
    <x v="0"/>
  </r>
  <r>
    <n v="14"/>
    <s v="M. Rahmatullah Habibuddin"/>
    <s v="IDH60081"/>
    <s v="Engineer"/>
    <s v="Makassar"/>
    <s v="Region 3"/>
    <s v="CITIUS"/>
    <d v="2022-07-04T00:00:00"/>
    <d v="2024-10-31T00:00:00"/>
    <s v="2 Tahun 5 Bulan 15 Hari "/>
    <n v="850"/>
    <n v="448"/>
    <n v="7"/>
    <n v="2614"/>
    <n v="373.42857142857144"/>
    <n v="374"/>
    <n v="1"/>
    <n v="5"/>
    <n v="1.0015302218821729"/>
    <n v="0.20030604437643459"/>
    <d v="1899-12-30T01:01:46"/>
    <d v="1899-12-30T00:20:05"/>
    <d v="1899-12-30T02:43:17"/>
    <n v="1"/>
    <n v="1"/>
    <n v="1"/>
    <n v="1.25"/>
    <n v="3"/>
    <n v="1"/>
    <n v="0.25"/>
    <d v="1899-12-30T00:49:44"/>
    <n v="1.25"/>
    <n v="5"/>
    <n v="1"/>
    <n v="0.25"/>
    <n v="1"/>
    <n v="1"/>
    <n v="1"/>
    <n v="0"/>
    <n v="0"/>
    <n v="0"/>
    <n v="0"/>
    <n v="0"/>
    <n v="0.6"/>
    <n v="3"/>
    <n v="0.375"/>
    <n v="5.6249999999999994E-2"/>
    <n v="75"/>
    <n v="85"/>
    <n v="85"/>
    <n v="85"/>
    <n v="85"/>
    <n v="1"/>
    <n v="415"/>
    <n v="0.98795180722891562"/>
    <n v="0.19759036144578312"/>
    <n v="5.0999999999999996"/>
    <n v="83"/>
    <n v="0.95414640582221777"/>
    <s v="Sangat Baik"/>
    <s v="Stay"/>
    <x v="1"/>
  </r>
  <r>
    <n v="15"/>
    <s v="Markus Damai"/>
    <s v="IDH60067"/>
    <s v="Engineer"/>
    <s v="Palangkaraya"/>
    <s v="Region 3"/>
    <s v="CITIUS"/>
    <d v="2022-05-09T00:00:00"/>
    <d v="2024-10-31T00:00:00"/>
    <s v="2 Tahun 7 Bulan 10 Hari "/>
    <n v="906"/>
    <n v="69"/>
    <n v="1"/>
    <n v="505"/>
    <n v="505"/>
    <n v="457"/>
    <n v="0.8"/>
    <n v="4"/>
    <n v="0.90495049504950498"/>
    <n v="0.18099009900990101"/>
    <d v="1899-12-30T01:25:00"/>
    <d v="1899-12-30T00:00:00"/>
    <d v="1982-12-28T19:15:00"/>
    <n v="1"/>
    <n v="1"/>
    <n v="1"/>
    <n v="1.25"/>
    <n v="3"/>
    <n v="1"/>
    <n v="0.25"/>
    <d v="1899-12-30T00:31:36"/>
    <n v="1.25"/>
    <n v="5"/>
    <n v="1"/>
    <n v="0.25"/>
    <n v="1"/>
    <n v="1"/>
    <n v="1"/>
    <n v="0"/>
    <n v="1"/>
    <n v="0"/>
    <n v="0"/>
    <n v="0"/>
    <n v="0.8"/>
    <n v="4"/>
    <n v="0.5"/>
    <n v="7.4999999999999997E-2"/>
    <n v="75"/>
    <n v="75"/>
    <n v="85"/>
    <n v="90"/>
    <n v="85"/>
    <n v="1"/>
    <n v="410"/>
    <n v="0.98780487804878048"/>
    <n v="0.19756097560975611"/>
    <n v="5.0999999999999996"/>
    <n v="82"/>
    <n v="0.95355107461965716"/>
    <s v="Sangat Baik"/>
    <s v="Level Up"/>
    <x v="0"/>
  </r>
  <r>
    <n v="16"/>
    <s v="Rizaldy Wahyu P"/>
    <s v="IDH40081"/>
    <s v="Engineer"/>
    <s v="Jakarta 1"/>
    <s v="Region 1"/>
    <s v="SIPRAMA"/>
    <d v="2019-10-02T00:00:00"/>
    <d v="2024-10-31T00:00:00"/>
    <s v="5 Tahun 2 Bulan 17 Hari "/>
    <n v="1856"/>
    <n v="897"/>
    <n v="13"/>
    <n v="6212"/>
    <n v="477.84615384615387"/>
    <n v="785"/>
    <n v="1"/>
    <n v="5"/>
    <n v="1.6427881519639407"/>
    <n v="0.32855763039278818"/>
    <d v="2007-06-23T10:23:30"/>
    <d v="2024-08-16T18:43:20"/>
    <d v="2024-08-25T04:14:11"/>
    <n v="0"/>
    <n v="0"/>
    <n v="1"/>
    <n v="0.4"/>
    <n v="1"/>
    <n v="0.33333333333333331"/>
    <n v="8.3333333333333329E-2"/>
    <d v="1899-12-30T00:48:16"/>
    <n v="1.25"/>
    <n v="5"/>
    <n v="1"/>
    <n v="0.25"/>
    <n v="1"/>
    <n v="1"/>
    <n v="1"/>
    <n v="0"/>
    <n v="1"/>
    <n v="1"/>
    <n v="0"/>
    <n v="0"/>
    <n v="1"/>
    <n v="5"/>
    <n v="0.625"/>
    <n v="9.375E-2"/>
    <n v="80"/>
    <n v="90"/>
    <n v="90"/>
    <n v="90"/>
    <n v="85"/>
    <n v="1"/>
    <n v="435"/>
    <n v="0.9885057471264368"/>
    <n v="0.19770114942528738"/>
    <n v="4.6500000000000004"/>
    <n v="87"/>
    <n v="0.95334211315140882"/>
    <s v="Sangat Baik"/>
    <s v="Level Up"/>
    <x v="0"/>
  </r>
  <r>
    <n v="17"/>
    <s v="Fajar Nurohman"/>
    <s v="IDH20035"/>
    <s v="Senior engineer"/>
    <s v="Jakarta 3"/>
    <s v="Region 1"/>
    <s v="IMPACT"/>
    <d v="2018-10-05T00:00:00"/>
    <d v="2024-10-31T00:00:00"/>
    <s v="6 Tahun 2 Bulan 14 Hari "/>
    <n v="2218"/>
    <n v="1040"/>
    <n v="17"/>
    <n v="7455"/>
    <n v="438.52941176470586"/>
    <n v="837"/>
    <n v="0.8"/>
    <n v="4"/>
    <n v="0.80480769230769234"/>
    <n v="0.16096153846153849"/>
    <d v="1899-12-30T01:05:00"/>
    <d v="1899-12-30T01:43:00"/>
    <d v="2024-07-22T08:56:19"/>
    <n v="1"/>
    <n v="1"/>
    <n v="1"/>
    <n v="1.25"/>
    <n v="3"/>
    <n v="1"/>
    <n v="0.25"/>
    <d v="1899-12-30T00:21:50"/>
    <n v="1.25"/>
    <n v="5"/>
    <n v="1"/>
    <n v="0.25"/>
    <n v="1"/>
    <n v="1"/>
    <n v="1"/>
    <n v="1"/>
    <n v="1"/>
    <n v="0"/>
    <n v="0"/>
    <n v="0"/>
    <n v="1"/>
    <n v="5"/>
    <n v="0.625"/>
    <n v="9.375E-2"/>
    <n v="80"/>
    <n v="85"/>
    <n v="90"/>
    <n v="90"/>
    <n v="90"/>
    <n v="1"/>
    <n v="435"/>
    <n v="0.9885057471264368"/>
    <n v="0.19770114942528738"/>
    <n v="5.3"/>
    <n v="87"/>
    <n v="0.95241268788682587"/>
    <s v="Sangat Baik"/>
    <s v="Stay"/>
    <x v="0"/>
  </r>
  <r>
    <n v="18"/>
    <s v="Viqri Haikal"/>
    <s v="IDH10008"/>
    <s v="Associate engineer"/>
    <s v="Muara Bungo"/>
    <s v="Region 3"/>
    <s v="KINARYA"/>
    <d v="2024-06-01T00:00:00"/>
    <d v="2024-10-31T00:00:00"/>
    <s v="0 Tahun 6 Bulan 18 Hari "/>
    <n v="152"/>
    <n v="42"/>
    <n v="1"/>
    <n v="65"/>
    <n v="65"/>
    <n v="151"/>
    <n v="1"/>
    <n v="5"/>
    <n v="2.3230769230769233"/>
    <n v="0.46461538461538465"/>
    <d v="1899-12-30T00:34:39"/>
    <d v="1899-12-30T01:23:17"/>
    <d v="1908-04-19T13:52:48"/>
    <n v="1"/>
    <n v="1"/>
    <n v="1"/>
    <n v="1.25"/>
    <n v="3"/>
    <n v="1"/>
    <n v="0.25"/>
    <d v="1899-12-30T00:00:00"/>
    <n v="1.25"/>
    <n v="5"/>
    <n v="0"/>
    <n v="0"/>
    <n v="1"/>
    <n v="1"/>
    <n v="0"/>
    <n v="0"/>
    <n v="0"/>
    <n v="0"/>
    <n v="0"/>
    <n v="0"/>
    <n v="0.4"/>
    <n v="2"/>
    <n v="0.25"/>
    <n v="3.7499999999999999E-2"/>
    <n v="75"/>
    <n v="70"/>
    <n v="75"/>
    <n v="70"/>
    <n v="75"/>
    <n v="0.8"/>
    <n v="365"/>
    <n v="0.98630136986301364"/>
    <n v="0.19726027397260273"/>
    <n v="4.7"/>
    <n v="73"/>
    <n v="0.94937565858798734"/>
    <s v="New CE"/>
    <s v="Stay"/>
    <x v="2"/>
  </r>
  <r>
    <n v="19"/>
    <s v="M Sugi Arto"/>
    <s v="IDH70017"/>
    <s v="Engineer"/>
    <s v="Lampung"/>
    <s v="Region 1"/>
    <s v="SIPRAMA"/>
    <d v="2022-10-03T00:00:00"/>
    <d v="2024-10-31T00:00:00"/>
    <s v="2 Tahun 2 Bulan 16 Hari "/>
    <n v="759"/>
    <n v="329"/>
    <n v="6"/>
    <n v="1945"/>
    <n v="324.16666666666669"/>
    <n v="335"/>
    <n v="1"/>
    <n v="5"/>
    <n v="1.0334190231362468"/>
    <n v="0.20668380462724936"/>
    <d v="1899-12-30T00:43:10"/>
    <d v="1899-12-30T00:20:18"/>
    <d v="1899-12-30T02:26:27"/>
    <n v="1"/>
    <n v="1"/>
    <n v="1"/>
    <n v="1.25"/>
    <n v="3"/>
    <n v="1"/>
    <n v="0.25"/>
    <d v="1899-12-30T01:55:15"/>
    <n v="1"/>
    <n v="4"/>
    <n v="0.8"/>
    <n v="0.2"/>
    <n v="1"/>
    <n v="1"/>
    <n v="0"/>
    <n v="0"/>
    <n v="1"/>
    <n v="1"/>
    <n v="1"/>
    <n v="0"/>
    <n v="1"/>
    <n v="5"/>
    <n v="0.625"/>
    <n v="9.375E-2"/>
    <n v="75"/>
    <n v="60"/>
    <n v="90"/>
    <n v="90"/>
    <n v="85"/>
    <n v="1"/>
    <n v="400"/>
    <n v="0.98750000000000004"/>
    <n v="0.19750000000000001"/>
    <n v="5.25"/>
    <n v="80"/>
    <n v="0.94793380462724941"/>
    <s v="Sangat Baik"/>
    <s v="Level Up"/>
    <x v="0"/>
  </r>
  <r>
    <n v="20"/>
    <s v="Aprilian K Tamau"/>
    <s v="IDH80025"/>
    <s v="Associate engineer"/>
    <s v="Gorontalo"/>
    <s v="Region 3"/>
    <s v="IMPACT"/>
    <d v="2023-09-04T00:00:00"/>
    <d v="2024-10-31T00:00:00"/>
    <s v="1 Tahun 3 Bulan 15 Hari "/>
    <n v="423"/>
    <n v="59"/>
    <n v="2"/>
    <n v="448"/>
    <n v="224"/>
    <n v="268"/>
    <n v="1"/>
    <n v="5"/>
    <n v="1.1964285714285714"/>
    <n v="0.2392857142857143"/>
    <d v="1899-12-30T01:26:00"/>
    <d v="1899-12-30T00:28:03"/>
    <d v="1937-04-29T17:52:29"/>
    <n v="1"/>
    <n v="1"/>
    <n v="1"/>
    <n v="1.25"/>
    <n v="3"/>
    <n v="1"/>
    <n v="0.25"/>
    <d v="1899-12-30T01:28:25"/>
    <n v="1"/>
    <n v="4"/>
    <n v="0.8"/>
    <n v="0.2"/>
    <n v="1"/>
    <n v="1"/>
    <n v="0"/>
    <n v="0"/>
    <n v="1"/>
    <n v="0"/>
    <n v="0"/>
    <n v="0"/>
    <n v="0.6"/>
    <n v="3"/>
    <n v="0.375"/>
    <n v="5.6249999999999994E-2"/>
    <n v="75"/>
    <n v="75"/>
    <n v="85"/>
    <n v="85"/>
    <n v="85"/>
    <n v="1"/>
    <n v="405"/>
    <n v="0.98765432098765427"/>
    <n v="0.19753086419753085"/>
    <n v="4.8499999999999996"/>
    <n v="81"/>
    <n v="0.94306657848324515"/>
    <s v="Sangat Baik"/>
    <s v="Level Up"/>
    <x v="1"/>
  </r>
  <r>
    <n v="21"/>
    <s v="Bintang Soekarno Adji"/>
    <s v="IDH80035"/>
    <s v="Associate engineer"/>
    <s v="Surabaya"/>
    <s v="Region 2"/>
    <s v="IMPACT"/>
    <d v="2023-02-09T00:00:00"/>
    <d v="2024-10-31T00:00:00"/>
    <s v="1 Tahun 10 Bulan 10 Hari "/>
    <n v="630"/>
    <n v="1384"/>
    <n v="22"/>
    <n v="6775"/>
    <n v="307.95454545454544"/>
    <n v="541"/>
    <n v="1"/>
    <n v="5"/>
    <n v="1.7567527675276753"/>
    <n v="0.35135055350553507"/>
    <d v="1903-11-19T00:56:51"/>
    <d v="2024-04-01T10:57:44"/>
    <d v="1899-12-30T00:00:00"/>
    <n v="1"/>
    <n v="0"/>
    <n v="0"/>
    <n v="0.4"/>
    <n v="1"/>
    <n v="0.33333333333333331"/>
    <n v="8.3333333333333329E-2"/>
    <d v="1899-12-30T00:40:44"/>
    <n v="1.25"/>
    <n v="5"/>
    <n v="1"/>
    <n v="0.25"/>
    <n v="1"/>
    <n v="1"/>
    <n v="1"/>
    <n v="0"/>
    <n v="0"/>
    <n v="0"/>
    <n v="0"/>
    <n v="0"/>
    <n v="0.6"/>
    <n v="3"/>
    <n v="0.375"/>
    <n v="5.6249999999999994E-2"/>
    <n v="75"/>
    <n v="70"/>
    <n v="75"/>
    <n v="75"/>
    <n v="75"/>
    <n v="1"/>
    <n v="370"/>
    <n v="0.98648648648648651"/>
    <n v="0.19729729729729731"/>
    <n v="4.25"/>
    <n v="74"/>
    <n v="0.93823118413616569"/>
    <s v="Sangat Baik"/>
    <s v="Level Up"/>
    <x v="1"/>
  </r>
  <r>
    <n v="22"/>
    <s v="Muhammad Saiful Mujab"/>
    <s v="IDH80045"/>
    <s v="Associate engineer"/>
    <s v="Blora"/>
    <s v="Region 2"/>
    <s v="IMPACT"/>
    <d v="2023-05-29T00:00:00"/>
    <d v="2024-10-31T00:00:00"/>
    <s v="1 Tahun 6 Bulan 20 Hari "/>
    <n v="521"/>
    <n v="85"/>
    <n v="2"/>
    <n v="501"/>
    <n v="250.5"/>
    <n v="266"/>
    <n v="1"/>
    <n v="5"/>
    <n v="1.0618762475049901"/>
    <n v="0.21237524950099804"/>
    <d v="1899-12-30T00:46:51"/>
    <d v="1899-12-30T01:37:34"/>
    <d v="1899-12-30T00:33:01"/>
    <n v="1"/>
    <n v="1"/>
    <n v="1"/>
    <n v="1.25"/>
    <n v="3"/>
    <n v="1"/>
    <n v="0.25"/>
    <d v="1899-12-30T01:05:57"/>
    <n v="1"/>
    <n v="4"/>
    <n v="0.8"/>
    <n v="0.2"/>
    <n v="1"/>
    <n v="1"/>
    <n v="1"/>
    <n v="0"/>
    <n v="0"/>
    <n v="0"/>
    <n v="0"/>
    <n v="1"/>
    <n v="0.8"/>
    <n v="4"/>
    <n v="0.5"/>
    <n v="7.4999999999999997E-2"/>
    <n v="75"/>
    <n v="70"/>
    <n v="90"/>
    <n v="90"/>
    <n v="90"/>
    <n v="1"/>
    <n v="415"/>
    <n v="0.98795180722891562"/>
    <n v="0.19759036144578312"/>
    <n v="5.05"/>
    <n v="83"/>
    <n v="0.9349656109467811"/>
    <s v="Sangat Baik"/>
    <s v="Level Up"/>
    <x v="1"/>
  </r>
  <r>
    <n v="23"/>
    <s v="Wahyudi Aulia"/>
    <s v="IDH30023"/>
    <s v="Senior engineer"/>
    <s v="Padang"/>
    <s v="Region 3"/>
    <s v="IMPACT"/>
    <d v="2017-09-04T00:00:00"/>
    <d v="2024-10-31T00:00:00"/>
    <s v="7 Tahun 3 Bulan 15 Hari "/>
    <n v="2614"/>
    <n v="211"/>
    <n v="4"/>
    <n v="1415"/>
    <n v="353.75"/>
    <n v="447"/>
    <n v="1"/>
    <n v="5"/>
    <n v="1.2636042402826855"/>
    <n v="0.25272084805653711"/>
    <d v="1956-02-23T12:04:00"/>
    <d v="1931-01-27T11:09:28"/>
    <d v="1922-08-12T00:49:11"/>
    <n v="0"/>
    <n v="0"/>
    <n v="1"/>
    <n v="0.75"/>
    <n v="1"/>
    <n v="0.33333333333333331"/>
    <n v="8.3333333333333329E-2"/>
    <d v="1899-12-30T00:47:50"/>
    <n v="1.25"/>
    <n v="5"/>
    <n v="1"/>
    <n v="0.25"/>
    <n v="1"/>
    <n v="1"/>
    <n v="1"/>
    <n v="1"/>
    <n v="1"/>
    <n v="1"/>
    <n v="1"/>
    <n v="1"/>
    <n v="1"/>
    <n v="8"/>
    <n v="1"/>
    <n v="0.15"/>
    <n v="75"/>
    <n v="60"/>
    <n v="85"/>
    <n v="90"/>
    <n v="90"/>
    <n v="1"/>
    <n v="400"/>
    <n v="0.98750000000000004"/>
    <n v="0.19750000000000001"/>
    <n v="5"/>
    <n v="80"/>
    <n v="0.93355418138987045"/>
    <s v="Sangat Baik"/>
    <s v="Stay"/>
    <x v="0"/>
  </r>
  <r>
    <n v="60"/>
    <s v="I Gede Agus Satriya Bayu"/>
    <s v="IDH70071"/>
    <s v="Engineer"/>
    <s v="Denpasar"/>
    <s v="Region 3"/>
    <s v="SIPRAMA"/>
    <d v="2021-02-01T00:00:00"/>
    <d v="2024-10-31T00:00:00"/>
    <s v="3 Tahun 10 Bulan 18 Hari "/>
    <n v="1368"/>
    <n v="612"/>
    <n v="11"/>
    <n v="5254"/>
    <n v="477.63636363636363"/>
    <n v="483"/>
    <n v="1"/>
    <n v="5"/>
    <n v="1.0112295393985535"/>
    <n v="0.20224590787971072"/>
    <d v="1899-12-30T01:28:00"/>
    <d v="1899-12-30T01:50:00"/>
    <d v="1899-12-30T00:00:06"/>
    <n v="0"/>
    <n v="1"/>
    <n v="1"/>
    <n v="0.8"/>
    <n v="2"/>
    <n v="0.66666666666666663"/>
    <n v="0.16666666666666666"/>
    <d v="1899-12-30T00:59:57"/>
    <n v="1.25"/>
    <n v="5"/>
    <n v="1"/>
    <n v="0.25"/>
    <n v="1"/>
    <n v="1"/>
    <n v="1"/>
    <n v="1"/>
    <n v="1"/>
    <n v="0"/>
    <n v="1"/>
    <n v="0"/>
    <n v="1"/>
    <n v="6"/>
    <n v="0.75"/>
    <n v="0.11249999999999999"/>
    <n v="75"/>
    <n v="75"/>
    <n v="85"/>
    <n v="95"/>
    <n v="90"/>
    <n v="1"/>
    <n v="420"/>
    <n v="0.98809523809523814"/>
    <n v="0.19761904761904764"/>
    <n v="5.05"/>
    <n v="84"/>
    <n v="0.9290316221654249"/>
    <s v="Sangat Baik"/>
    <s v="Level Up"/>
    <x v="0"/>
  </r>
  <r>
    <n v="24"/>
    <s v="Heru Pangihutan Tobing"/>
    <s v="IDH60009"/>
    <s v="Engineer"/>
    <s v="Pekanbaru"/>
    <s v="Region 3"/>
    <s v="CITIUS"/>
    <d v="2021-08-23T00:00:00"/>
    <d v="2024-10-31T00:00:00"/>
    <s v="3 Tahun 3 Bulan 26 Hari "/>
    <n v="1165"/>
    <n v="401"/>
    <n v="7"/>
    <n v="2754"/>
    <n v="393.42857142857144"/>
    <n v="533"/>
    <n v="1"/>
    <n v="5"/>
    <n v="1.3547567175018156"/>
    <n v="0.27095134350036315"/>
    <d v="1904-04-12T14:46:43"/>
    <d v="1899-12-30T00:24:18"/>
    <d v="1908-04-19T13:43:57"/>
    <n v="0"/>
    <n v="1"/>
    <n v="1"/>
    <n v="0.8"/>
    <n v="2"/>
    <n v="0.66666666666666663"/>
    <n v="0.16666666666666666"/>
    <d v="1899-12-30T01:20:43"/>
    <n v="1"/>
    <n v="4"/>
    <n v="0.8"/>
    <n v="0.2"/>
    <n v="1"/>
    <n v="1"/>
    <n v="1"/>
    <n v="0"/>
    <n v="1"/>
    <n v="1"/>
    <n v="0"/>
    <n v="0"/>
    <n v="1"/>
    <n v="5"/>
    <n v="0.625"/>
    <n v="9.375E-2"/>
    <n v="80"/>
    <n v="80"/>
    <n v="80"/>
    <n v="85"/>
    <n v="85"/>
    <n v="1"/>
    <n v="410"/>
    <n v="0.98780487804878048"/>
    <n v="0.19756097560975611"/>
    <n v="4.8"/>
    <n v="82"/>
    <n v="0.92892898577678595"/>
    <s v="Sangat Baik"/>
    <s v="Stay"/>
    <x v="1"/>
  </r>
  <r>
    <n v="25"/>
    <s v="Zeth Taba Mangiwa"/>
    <s v="IDH50009"/>
    <s v="Engineer"/>
    <s v="Palopo"/>
    <s v="Region 3"/>
    <s v="SIPRAMA"/>
    <d v="2020-10-19T00:00:00"/>
    <d v="2024-10-31T00:00:00"/>
    <s v="4 Tahun 2 Bulan 0 Hari "/>
    <n v="1473"/>
    <n v="64"/>
    <n v="2"/>
    <n v="500"/>
    <n v="250"/>
    <n v="277"/>
    <n v="1"/>
    <n v="5"/>
    <n v="1.1080000000000001"/>
    <n v="0.22160000000000002"/>
    <d v="1899-12-30T00:41:00"/>
    <d v="1917-09-26T01:26:06"/>
    <d v="1936-07-24T04:11:06"/>
    <n v="1"/>
    <n v="1"/>
    <n v="1"/>
    <n v="1.25"/>
    <n v="3"/>
    <n v="1"/>
    <n v="0.25"/>
    <d v="1899-12-30T01:19:10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85"/>
    <n v="85"/>
    <n v="85"/>
    <n v="1"/>
    <n v="405"/>
    <n v="0.98765432098765427"/>
    <n v="0.19753086419753085"/>
    <n v="4.8499999999999996"/>
    <n v="81"/>
    <n v="0.92538086419753085"/>
    <s v="Sangat Baik"/>
    <s v="Level Up"/>
    <x v="0"/>
  </r>
  <r>
    <n v="26"/>
    <s v="Muhammad Sofyan"/>
    <s v="IDH40093"/>
    <s v="Engineer"/>
    <s v="Madiun"/>
    <s v="Region 2"/>
    <s v="GSS"/>
    <d v="2020-01-06T00:00:00"/>
    <d v="2024-10-31T00:00:00"/>
    <s v="4 Tahun 11 Bulan 13 Hari "/>
    <n v="1760"/>
    <n v="213"/>
    <n v="3"/>
    <n v="1330"/>
    <n v="443.33333333333331"/>
    <n v="472"/>
    <n v="1"/>
    <n v="5"/>
    <n v="1.0646616541353384"/>
    <n v="0.2129323308270677"/>
    <d v="1902-10-30T12:31:06"/>
    <d v="1899-12-30T01:15:24"/>
    <d v="1899-12-30T00:07:14"/>
    <n v="0"/>
    <n v="1"/>
    <n v="1"/>
    <n v="1"/>
    <n v="2"/>
    <n v="0.66666666666666663"/>
    <n v="0.16666666666666666"/>
    <d v="1899-12-30T00:50:06"/>
    <n v="1.25"/>
    <n v="5"/>
    <n v="1"/>
    <n v="0.25"/>
    <n v="1"/>
    <n v="1"/>
    <n v="1"/>
    <n v="0"/>
    <n v="1"/>
    <n v="0"/>
    <n v="0"/>
    <n v="1"/>
    <n v="1"/>
    <n v="5"/>
    <n v="0.625"/>
    <n v="9.375E-2"/>
    <n v="85"/>
    <n v="70"/>
    <n v="90"/>
    <n v="90"/>
    <n v="90"/>
    <n v="1"/>
    <n v="425"/>
    <n v="0.9882352941176471"/>
    <n v="0.19764705882352943"/>
    <n v="5.25"/>
    <n v="85"/>
    <n v="0.92099605631726378"/>
    <s v="Sangat Baik"/>
    <s v="Level Up"/>
    <x v="0"/>
  </r>
  <r>
    <n v="27"/>
    <s v="Yusuf Saputra"/>
    <s v="IDH70050"/>
    <s v="Associate engineer"/>
    <s v="Semarang"/>
    <s v="Region 2"/>
    <s v="SIPRAMA"/>
    <d v="2022-11-17T00:00:00"/>
    <d v="2024-10-31T00:00:00"/>
    <s v="2 Tahun 1 Bulan 2 Hari "/>
    <n v="714"/>
    <n v="625"/>
    <n v="10"/>
    <n v="4149"/>
    <n v="414.9"/>
    <n v="450"/>
    <n v="1"/>
    <n v="5"/>
    <n v="1.0845986984815619"/>
    <n v="0.2169197396963124"/>
    <d v="1899-12-30T00:11:18"/>
    <d v="1899-12-30T00:49:01"/>
    <d v="1899-12-30T00:00:16"/>
    <n v="1"/>
    <n v="1"/>
    <n v="1"/>
    <n v="1.25"/>
    <n v="3"/>
    <n v="1"/>
    <n v="0.25"/>
    <d v="1899-12-30T01:06:18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80"/>
    <n v="80"/>
    <n v="80"/>
    <n v="1"/>
    <n v="390"/>
    <n v="0.98717948717948723"/>
    <n v="0.19743589743589746"/>
    <n v="4.8499999999999996"/>
    <n v="78"/>
    <n v="0.92060563713221"/>
    <s v="Sangat Baik"/>
    <s v="Level Up"/>
    <x v="1"/>
  </r>
  <r>
    <n v="28"/>
    <s v="Syahrul Ramadani"/>
    <s v="IDH80099"/>
    <s v="Associate engineer"/>
    <s v="Bulukumba"/>
    <s v="Region 3"/>
    <s v="IMPACT"/>
    <d v="2023-09-04T00:00:00"/>
    <d v="2024-10-31T00:00:00"/>
    <s v="1 Tahun 3 Bulan 15 Hari "/>
    <n v="423"/>
    <n v="49"/>
    <n v="1"/>
    <n v="262"/>
    <n v="262"/>
    <n v="366"/>
    <n v="1"/>
    <n v="5"/>
    <n v="1.3969465648854962"/>
    <n v="0.27938931297709924"/>
    <d v="1926-03-19T11:55:20"/>
    <d v="1899-12-30T01:35:00"/>
    <d v="1911-04-24T17:54:39"/>
    <n v="0"/>
    <n v="1"/>
    <n v="1"/>
    <n v="0.8"/>
    <n v="2"/>
    <n v="0.66666666666666663"/>
    <n v="0.16666666666666666"/>
    <d v="1899-12-30T01:52:11"/>
    <n v="1"/>
    <n v="4"/>
    <n v="0.8"/>
    <n v="0.2"/>
    <n v="1"/>
    <n v="1"/>
    <n v="0"/>
    <n v="0"/>
    <n v="0"/>
    <n v="1"/>
    <n v="0"/>
    <n v="1"/>
    <n v="0.8"/>
    <n v="4"/>
    <n v="0.5"/>
    <n v="7.4999999999999997E-2"/>
    <n v="80"/>
    <n v="70"/>
    <n v="85"/>
    <n v="85"/>
    <n v="85"/>
    <n v="1"/>
    <n v="405"/>
    <n v="0.98765432098765427"/>
    <n v="0.19753086419753085"/>
    <n v="4.5999999999999996"/>
    <n v="81"/>
    <n v="0.91858684384129674"/>
    <s v="Sangat Baik"/>
    <s v="Level Up"/>
    <x v="1"/>
  </r>
  <r>
    <n v="29"/>
    <s v="Rizky Pratama Putra"/>
    <s v="IDH60066"/>
    <s v="Associate engineer"/>
    <s v="Surabaya"/>
    <s v="Region 2"/>
    <s v="CITIUS"/>
    <d v="2022-05-09T00:00:00"/>
    <d v="2024-10-31T00:00:00"/>
    <s v="2 Tahun 7 Bulan 10 Hari "/>
    <n v="906"/>
    <n v="1384"/>
    <n v="22"/>
    <n v="6775"/>
    <n v="307.95454545454544"/>
    <n v="480"/>
    <n v="1"/>
    <n v="5"/>
    <n v="1.5586715867158671"/>
    <n v="0.31173431734317347"/>
    <d v="1904-04-14T14:42:38"/>
    <d v="1899-12-30T00:00:05"/>
    <d v="1899-12-30T00:00:00"/>
    <n v="0"/>
    <n v="1"/>
    <n v="0"/>
    <n v="0.4"/>
    <n v="1"/>
    <n v="0.33333333333333331"/>
    <n v="8.3333333333333329E-2"/>
    <d v="1899-12-30T00:37:12"/>
    <n v="1.25"/>
    <n v="5"/>
    <n v="1"/>
    <n v="0.25"/>
    <n v="1"/>
    <n v="1"/>
    <n v="1"/>
    <n v="1"/>
    <n v="0"/>
    <n v="0"/>
    <n v="0"/>
    <n v="0"/>
    <n v="0.8"/>
    <n v="4"/>
    <n v="0.5"/>
    <n v="7.4999999999999997E-2"/>
    <n v="75"/>
    <n v="80"/>
    <n v="80"/>
    <n v="80"/>
    <n v="80"/>
    <n v="1"/>
    <n v="395"/>
    <n v="0.98734177215189878"/>
    <n v="0.19746835443037977"/>
    <n v="4.45"/>
    <n v="79"/>
    <n v="0.91753600510688649"/>
    <s v="Sangat Baik"/>
    <s v="Level Up"/>
    <x v="1"/>
  </r>
  <r>
    <n v="30"/>
    <s v="Ilham Ramadhan"/>
    <s v="IDH40119"/>
    <s v="Engineer"/>
    <s v="Tangerang"/>
    <s v="Region 1"/>
    <s v="GSS"/>
    <d v="2021-04-05T00:00:00"/>
    <d v="2024-10-31T00:00:00"/>
    <s v="3 Tahun 8 Bulan 14 Hari "/>
    <n v="1305"/>
    <n v="760"/>
    <n v="13"/>
    <n v="5863"/>
    <n v="451"/>
    <n v="362"/>
    <n v="0.8"/>
    <n v="4"/>
    <n v="0.80266075388026603"/>
    <n v="0.16053215077605321"/>
    <d v="1936-06-30T00:29:45"/>
    <d v="1899-12-30T00:00:00"/>
    <d v="1899-12-30T00:00:00"/>
    <n v="1"/>
    <n v="1"/>
    <n v="1"/>
    <n v="1.25"/>
    <n v="3"/>
    <n v="1"/>
    <n v="0.25"/>
    <d v="1899-12-30T00:41:32"/>
    <n v="1.25"/>
    <n v="5"/>
    <n v="1"/>
    <n v="0.25"/>
    <n v="1"/>
    <n v="1"/>
    <n v="1"/>
    <n v="0"/>
    <n v="0"/>
    <n v="0"/>
    <n v="0"/>
    <n v="0"/>
    <n v="0.6"/>
    <n v="3"/>
    <n v="0.375"/>
    <n v="5.6249999999999994E-2"/>
    <n v="75"/>
    <n v="75"/>
    <n v="90"/>
    <n v="90"/>
    <n v="80"/>
    <n v="1"/>
    <n v="410"/>
    <n v="0.98780487804878048"/>
    <n v="0.19756097560975611"/>
    <n v="4.9000000000000004"/>
    <n v="82"/>
    <n v="0.91434312638580928"/>
    <s v="Sangat Baik"/>
    <s v="Level Up"/>
    <x v="0"/>
  </r>
  <r>
    <n v="31"/>
    <s v="Surya Lesmana"/>
    <s v="IDH80002"/>
    <s v="Associate engineer"/>
    <s v="Solo"/>
    <s v="Region 2"/>
    <s v="IMPACT"/>
    <d v="2023-01-09T00:00:00"/>
    <d v="2024-10-31T00:00:00"/>
    <s v="1 Tahun 11 Bulan 10 Hari "/>
    <n v="661"/>
    <n v="305"/>
    <n v="6"/>
    <n v="2074"/>
    <n v="345.66666666666669"/>
    <n v="274"/>
    <n v="0.6"/>
    <n v="3"/>
    <n v="0.7926711668273867"/>
    <n v="0.15853423336547734"/>
    <d v="1899-12-30T01:08:00"/>
    <d v="1899-12-30T00:24:00"/>
    <d v="1899-12-30T00:24:00"/>
    <n v="1"/>
    <n v="1"/>
    <n v="1"/>
    <n v="1.25"/>
    <n v="3"/>
    <n v="1"/>
    <n v="0.25"/>
    <d v="1899-12-30T00:41:16"/>
    <n v="1.25"/>
    <n v="5"/>
    <n v="1"/>
    <n v="0.25"/>
    <n v="1"/>
    <n v="1"/>
    <n v="0"/>
    <n v="0"/>
    <n v="1"/>
    <n v="0"/>
    <n v="0"/>
    <n v="0"/>
    <n v="0.6"/>
    <n v="3"/>
    <n v="0.375"/>
    <n v="5.6249999999999994E-2"/>
    <n v="75"/>
    <n v="75"/>
    <n v="80"/>
    <n v="80"/>
    <n v="80"/>
    <n v="1"/>
    <n v="390"/>
    <n v="0.98717948717948723"/>
    <n v="0.19743589743589746"/>
    <n v="4.7"/>
    <n v="78"/>
    <n v="0.91222013080137487"/>
    <s v="Sangat Baik"/>
    <s v="Level Up"/>
    <x v="1"/>
  </r>
  <r>
    <n v="32"/>
    <s v="Sampoerna Fitra Dharmawan"/>
    <s v="IDH60018"/>
    <s v="Engineer"/>
    <s v="Semarang"/>
    <s v="Region 2"/>
    <s v="CITIUS"/>
    <d v="2021-09-27T00:00:00"/>
    <d v="2024-10-31T00:00:00"/>
    <s v="3 Tahun 2 Bulan 22 Hari "/>
    <n v="1130"/>
    <n v="625"/>
    <n v="10"/>
    <n v="4149"/>
    <n v="414.9"/>
    <n v="379"/>
    <n v="0.8"/>
    <n v="4"/>
    <n v="0.91347312605447095"/>
    <n v="0.18269462521089419"/>
    <d v="1899-12-30T00:12:01"/>
    <d v="1899-12-30T00:20:54"/>
    <d v="1899-12-30T01:36:59"/>
    <n v="1"/>
    <n v="1"/>
    <n v="1"/>
    <n v="1.25"/>
    <n v="3"/>
    <n v="1"/>
    <n v="0.25"/>
    <d v="1899-12-30T01:54:15"/>
    <n v="1"/>
    <n v="4"/>
    <n v="0.8"/>
    <n v="0.2"/>
    <n v="1"/>
    <n v="1"/>
    <n v="1"/>
    <n v="0"/>
    <n v="0"/>
    <n v="1"/>
    <n v="0"/>
    <n v="0"/>
    <n v="0.8"/>
    <n v="4"/>
    <n v="0.5"/>
    <n v="7.4999999999999997E-2"/>
    <n v="75"/>
    <n v="75"/>
    <n v="80"/>
    <n v="80"/>
    <n v="80"/>
    <n v="1"/>
    <n v="390"/>
    <n v="0.98717948717948723"/>
    <n v="0.19743589743589746"/>
    <n v="4.8499999999999996"/>
    <n v="78"/>
    <n v="0.90513052264679161"/>
    <s v="Sangat Baik"/>
    <s v="Stay"/>
    <x v="1"/>
  </r>
  <r>
    <n v="33"/>
    <s v="Ruso Mahesa"/>
    <s v="IDH40097"/>
    <s v="Engineer"/>
    <s v="Kediri"/>
    <s v="Region 2"/>
    <s v="GSS"/>
    <d v="2020-01-06T00:00:00"/>
    <d v="2024-10-31T00:00:00"/>
    <s v="4 Tahun 11 Bulan 13 Hari "/>
    <n v="1760"/>
    <n v="358"/>
    <n v="7"/>
    <n v="2648"/>
    <n v="378.28571428571428"/>
    <n v="444"/>
    <n v="1"/>
    <n v="5"/>
    <n v="1.1737160120845922"/>
    <n v="0.23474320241691846"/>
    <d v="1915-07-26T21:14:22"/>
    <d v="1899-12-30T00:08:28"/>
    <d v="2024-07-09T20:52:52"/>
    <n v="0"/>
    <n v="1"/>
    <n v="1"/>
    <n v="0.8"/>
    <n v="2"/>
    <n v="0.66666666666666663"/>
    <n v="0.16666666666666666"/>
    <d v="1899-12-30T00:35:14"/>
    <n v="1.25"/>
    <n v="5"/>
    <n v="1"/>
    <n v="0.25"/>
    <n v="1"/>
    <n v="1"/>
    <n v="1"/>
    <n v="0"/>
    <n v="0"/>
    <n v="0"/>
    <n v="0"/>
    <n v="0"/>
    <n v="0.6"/>
    <n v="3"/>
    <n v="0.375"/>
    <n v="5.6249999999999994E-2"/>
    <n v="75"/>
    <n v="80"/>
    <n v="75"/>
    <n v="75"/>
    <n v="75"/>
    <n v="1"/>
    <n v="380"/>
    <n v="0.98684210526315785"/>
    <n v="0.19736842105263158"/>
    <n v="4.6500000000000004"/>
    <n v="76"/>
    <n v="0.90502829013621677"/>
    <s v="Sangat Baik"/>
    <s v="Stay"/>
    <x v="1"/>
  </r>
  <r>
    <n v="34"/>
    <s v="Rendi Ariyanto"/>
    <s v="IDH80101"/>
    <s v="Associate engineer"/>
    <s v="Ketapang"/>
    <s v="Region 3"/>
    <s v="IMPACT"/>
    <d v="2023-09-11T00:00:00"/>
    <d v="2024-10-31T00:00:00"/>
    <s v="1 Tahun 3 Bulan 8 Hari "/>
    <n v="416"/>
    <n v="28"/>
    <n v="1"/>
    <n v="254"/>
    <n v="254"/>
    <n v="247"/>
    <n v="0.8"/>
    <n v="4"/>
    <n v="0.97244094488188981"/>
    <n v="0.19448818897637798"/>
    <d v="1909-12-15T07:31:29"/>
    <d v="1899-12-30T02:27:55"/>
    <d v="1899-12-30T05:02:47"/>
    <n v="0"/>
    <n v="1"/>
    <n v="1"/>
    <n v="0.8"/>
    <n v="2"/>
    <n v="0.66666666666666663"/>
    <n v="0.16666666666666666"/>
    <d v="1899-12-30T00:58:42"/>
    <n v="1.25"/>
    <n v="5"/>
    <n v="1"/>
    <n v="0.25"/>
    <n v="1"/>
    <n v="1"/>
    <n v="1"/>
    <n v="0"/>
    <n v="0"/>
    <n v="1"/>
    <n v="0"/>
    <n v="1"/>
    <n v="1"/>
    <n v="5"/>
    <n v="0.625"/>
    <n v="9.375E-2"/>
    <n v="75"/>
    <n v="70"/>
    <n v="80"/>
    <n v="80"/>
    <n v="80"/>
    <n v="1"/>
    <n v="385"/>
    <n v="0.98701298701298701"/>
    <n v="0.19740259740259741"/>
    <n v="4.8499999999999996"/>
    <n v="77"/>
    <n v="0.90230745304564208"/>
    <s v="Sangat Baik"/>
    <s v="Level Up"/>
    <x v="1"/>
  </r>
  <r>
    <n v="35"/>
    <s v="Wahyu Danang Adi Saputra"/>
    <s v="IDH40121"/>
    <s v="Associate engineer"/>
    <s v="Jakarta 1"/>
    <s v="Region 1"/>
    <s v="SIPRAMA"/>
    <d v="2021-04-05T00:00:00"/>
    <d v="2024-10-31T00:00:00"/>
    <s v="3 Tahun 8 Bulan 14 Hari "/>
    <n v="1305"/>
    <n v="897"/>
    <n v="13"/>
    <n v="6212"/>
    <n v="477.84615384615387"/>
    <n v="310"/>
    <n v="0.6"/>
    <n v="3"/>
    <n v="0.64874436574372185"/>
    <n v="0.12974887314874436"/>
    <d v="1899-12-30T00:26:00"/>
    <d v="1899-12-30T00:26:00"/>
    <d v="1899-12-30T00:26:00"/>
    <n v="1"/>
    <n v="1"/>
    <n v="1"/>
    <n v="1.25"/>
    <n v="3"/>
    <n v="1"/>
    <n v="0.25"/>
    <d v="1899-12-30T00:35:50"/>
    <n v="1.25"/>
    <n v="5"/>
    <n v="1"/>
    <n v="0.25"/>
    <n v="1"/>
    <n v="1"/>
    <n v="1"/>
    <n v="1"/>
    <n v="0"/>
    <n v="0"/>
    <n v="0"/>
    <n v="0"/>
    <n v="0.8"/>
    <n v="4"/>
    <n v="0.5"/>
    <n v="7.4999999999999997E-2"/>
    <n v="75"/>
    <n v="75"/>
    <n v="90"/>
    <n v="85"/>
    <n v="80"/>
    <n v="1"/>
    <n v="405"/>
    <n v="0.98765432098765427"/>
    <n v="0.19753086419753085"/>
    <n v="4.9000000000000004"/>
    <n v="81"/>
    <n v="0.9022797373462752"/>
    <s v="Sangat Baik"/>
    <s v="Level Up"/>
    <x v="1"/>
  </r>
  <r>
    <n v="36"/>
    <s v="Sony Arip"/>
    <s v="IDH70002"/>
    <s v="Associate engineer"/>
    <s v="Surabaya"/>
    <s v="Region 2"/>
    <s v="SIPRAMA"/>
    <d v="2022-08-22T00:00:00"/>
    <d v="2024-10-31T00:00:00"/>
    <s v="2 Tahun 3 Bulan 27 Hari "/>
    <n v="801"/>
    <n v="1384"/>
    <n v="22"/>
    <n v="6775"/>
    <n v="307.95454545454544"/>
    <n v="531"/>
    <n v="1"/>
    <n v="5"/>
    <n v="1.724280442804428"/>
    <n v="0.34485608856088562"/>
    <d v="1913-08-17T05:54:57"/>
    <d v="1939-04-05T05:29:01"/>
    <d v="1899-12-30T00:00:04"/>
    <n v="0"/>
    <n v="0"/>
    <n v="1"/>
    <n v="0.75"/>
    <n v="1"/>
    <n v="0.33333333333333331"/>
    <n v="8.3333333333333329E-2"/>
    <d v="1899-12-30T01:39:47"/>
    <n v="1"/>
    <n v="4"/>
    <n v="0.8"/>
    <n v="0.2"/>
    <n v="1"/>
    <n v="1"/>
    <n v="1"/>
    <n v="1"/>
    <n v="0"/>
    <n v="0"/>
    <n v="0"/>
    <n v="0"/>
    <n v="0.8"/>
    <n v="4"/>
    <n v="0.5"/>
    <n v="7.4999999999999997E-2"/>
    <n v="80"/>
    <n v="75"/>
    <n v="90"/>
    <n v="90"/>
    <n v="85"/>
    <n v="1"/>
    <n v="420"/>
    <n v="0.98809523809523814"/>
    <n v="0.19761904761904764"/>
    <n v="4.55"/>
    <n v="84"/>
    <n v="0.90080846951326654"/>
    <s v="Sangat Baik"/>
    <s v="Level Up"/>
    <x v="1"/>
  </r>
  <r>
    <n v="37"/>
    <s v="Adam Fatchur Rozi"/>
    <s v="IDH70115"/>
    <s v="Associate engineer"/>
    <s v="Surabaya"/>
    <s v="Region 2"/>
    <s v="SIPRAMA"/>
    <d v="2024-02-01T00:00:00"/>
    <d v="2024-10-31T00:00:00"/>
    <s v="0 Tahun 10 Bulan 18 Hari "/>
    <n v="273"/>
    <n v="1384"/>
    <n v="22"/>
    <n v="6775"/>
    <n v="307.95454545454544"/>
    <n v="401"/>
    <n v="1"/>
    <n v="5"/>
    <n v="1.3021402214022142"/>
    <n v="0.26042804428044286"/>
    <d v="1899-12-30T00:48:25"/>
    <d v="1899-12-30T01:45:48"/>
    <d v="1899-12-30T00:00:00"/>
    <n v="1"/>
    <n v="1"/>
    <n v="0"/>
    <n v="0.8"/>
    <n v="2"/>
    <n v="0.66666666666666663"/>
    <n v="0.16666666666666666"/>
    <d v="1899-12-30T01:10:44"/>
    <n v="1"/>
    <n v="4"/>
    <n v="0.8"/>
    <n v="0.2"/>
    <n v="1"/>
    <n v="1"/>
    <n v="1"/>
    <n v="0"/>
    <n v="0"/>
    <n v="1"/>
    <n v="0"/>
    <n v="0"/>
    <n v="0.8"/>
    <n v="4"/>
    <n v="0.5"/>
    <n v="7.4999999999999997E-2"/>
    <n v="75"/>
    <n v="75"/>
    <n v="80"/>
    <n v="80"/>
    <n v="80"/>
    <n v="0.8"/>
    <n v="390"/>
    <n v="0.98717948717948723"/>
    <n v="0.19743589743589746"/>
    <n v="4.3999999999999995"/>
    <n v="78"/>
    <n v="0.8995306083830068"/>
    <s v="New CE"/>
    <s v="Stay"/>
    <x v="2"/>
  </r>
  <r>
    <n v="38"/>
    <s v="Hutri Leonard Adson Umbu Goyi"/>
    <s v="IDH80046"/>
    <s v="Associate engineer"/>
    <s v="Waikabubak"/>
    <s v="Region 1"/>
    <s v="IMPACT"/>
    <d v="2023-07-07T00:00:00"/>
    <d v="2024-10-31T00:00:00"/>
    <s v="1 Tahun 5 Bulan 12 Hari "/>
    <n v="482"/>
    <n v="26"/>
    <n v="1"/>
    <n v="133"/>
    <n v="133"/>
    <n v="130"/>
    <n v="0.8"/>
    <n v="4"/>
    <n v="0.97744360902255634"/>
    <n v="0.19548872180451127"/>
    <d v="1917-09-26T01:26:06"/>
    <d v="1899-12-30T01:01:52"/>
    <d v="1913-10-30T03:59:09"/>
    <n v="1"/>
    <n v="1"/>
    <n v="1"/>
    <n v="1.25"/>
    <n v="3"/>
    <n v="1"/>
    <n v="0.25"/>
    <d v="1899-12-30T01:51:56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90"/>
    <n v="85"/>
    <n v="80"/>
    <n v="0.8"/>
    <n v="405"/>
    <n v="0.98765432098765427"/>
    <n v="0.19753086419753085"/>
    <n v="4.45"/>
    <n v="81"/>
    <n v="0.89926958600204221"/>
    <s v="Baik"/>
    <s v="Level Up"/>
    <x v="1"/>
  </r>
  <r>
    <n v="39"/>
    <s v="Marsianus Bonavantura Ria"/>
    <s v="IDH80094"/>
    <s v="Associate engineer"/>
    <s v="Ruteng"/>
    <s v="Region 1"/>
    <s v="IMPACT"/>
    <d v="2023-09-04T00:00:00"/>
    <d v="2024-10-31T00:00:00"/>
    <s v="1 Tahun 3 Bulan 15 Hari "/>
    <n v="423"/>
    <n v="37"/>
    <n v="1"/>
    <n v="207"/>
    <n v="207"/>
    <n v="214"/>
    <n v="1"/>
    <n v="5"/>
    <n v="1.0338164251207729"/>
    <n v="0.20676328502415459"/>
    <d v="1899-12-30T00:45:31"/>
    <d v="1899-12-30T02:22:57"/>
    <d v="1909-07-21T23:50:36"/>
    <n v="1"/>
    <n v="1"/>
    <n v="1"/>
    <n v="1.25"/>
    <n v="3"/>
    <n v="1"/>
    <n v="0.25"/>
    <d v="1899-12-30T02:26:47"/>
    <n v="0.75"/>
    <n v="3"/>
    <n v="0.6"/>
    <n v="0.15"/>
    <n v="1"/>
    <n v="1"/>
    <n v="1"/>
    <n v="0"/>
    <n v="0"/>
    <n v="1"/>
    <n v="0"/>
    <n v="1"/>
    <n v="1"/>
    <n v="5"/>
    <n v="0.625"/>
    <n v="9.375E-2"/>
    <n v="75"/>
    <n v="70"/>
    <n v="90"/>
    <n v="85"/>
    <n v="80"/>
    <n v="0.8"/>
    <n v="400"/>
    <n v="0.98750000000000004"/>
    <n v="0.19750000000000001"/>
    <n v="4.8"/>
    <n v="80"/>
    <n v="0.89801328502415456"/>
    <s v="Baik"/>
    <s v="Stay"/>
    <x v="2"/>
  </r>
  <r>
    <n v="40"/>
    <s v="Bara Putra"/>
    <s v="IDH70031"/>
    <s v="Associate engineer"/>
    <s v="Pontianak"/>
    <s v="Region 3"/>
    <s v="SIPRAMA"/>
    <d v="2022-10-03T00:00:00"/>
    <d v="2024-10-31T00:00:00"/>
    <s v="2 Tahun 2 Bulan 16 Hari "/>
    <n v="759"/>
    <n v="221"/>
    <n v="4"/>
    <n v="1669"/>
    <n v="417.25"/>
    <n v="539"/>
    <n v="1"/>
    <n v="5"/>
    <n v="1.2917914919113243"/>
    <n v="0.25835829838226487"/>
    <d v="1928-01-26T18:42:37"/>
    <d v="1899-12-30T00:35:06"/>
    <d v="1965-10-23T07:44:20"/>
    <n v="0"/>
    <n v="1"/>
    <n v="1"/>
    <n v="0.8"/>
    <n v="2"/>
    <n v="0.66666666666666663"/>
    <n v="0.16666666666666666"/>
    <d v="1899-12-30T01:58:34"/>
    <n v="1"/>
    <n v="4"/>
    <n v="0.8"/>
    <n v="0.2"/>
    <n v="1"/>
    <n v="1"/>
    <n v="1"/>
    <n v="0"/>
    <n v="0"/>
    <n v="1"/>
    <n v="0"/>
    <n v="0"/>
    <n v="0.8"/>
    <n v="4"/>
    <n v="0.5"/>
    <n v="7.4999999999999997E-2"/>
    <n v="75"/>
    <n v="80"/>
    <n v="75"/>
    <n v="75"/>
    <n v="75"/>
    <n v="0.8"/>
    <n v="380"/>
    <n v="0.98684210526315785"/>
    <n v="0.19736842105263158"/>
    <n v="4.3999999999999995"/>
    <n v="76"/>
    <n v="0.89739338610156305"/>
    <s v="Baik"/>
    <s v="Stay"/>
    <x v="2"/>
  </r>
  <r>
    <n v="41"/>
    <s v="Bayu Saputra"/>
    <s v="IDH80134"/>
    <s v="Associate engineer"/>
    <s v="Bengkulu"/>
    <s v="Region 3"/>
    <s v="IMPACT"/>
    <d v="2024-02-01T00:00:00"/>
    <d v="2024-10-31T00:00:00"/>
    <s v="0 Tahun 10 Bulan 18 Hari "/>
    <n v="273"/>
    <n v="126"/>
    <n v="3"/>
    <n v="985"/>
    <n v="328.33333333333331"/>
    <n v="300"/>
    <n v="0.8"/>
    <n v="4"/>
    <n v="0.91370558375634525"/>
    <n v="0.18274111675126906"/>
    <d v="1903-06-15T13:21:18"/>
    <d v="1899-12-30T00:48:15"/>
    <d v="1899-12-30T01:12:34"/>
    <n v="0"/>
    <n v="1"/>
    <n v="1"/>
    <n v="0.8"/>
    <n v="2"/>
    <n v="0.66666666666666663"/>
    <n v="0.16666666666666666"/>
    <d v="1899-12-30T01:07:37"/>
    <n v="1"/>
    <n v="4"/>
    <n v="0.8"/>
    <n v="0.2"/>
    <n v="1"/>
    <n v="1"/>
    <n v="1"/>
    <n v="1"/>
    <n v="1"/>
    <n v="1"/>
    <n v="1"/>
    <n v="1"/>
    <n v="1"/>
    <n v="8"/>
    <n v="1"/>
    <n v="0.15"/>
    <n v="75"/>
    <n v="70"/>
    <n v="85"/>
    <n v="85"/>
    <n v="85"/>
    <n v="0.8"/>
    <n v="400"/>
    <n v="0.98750000000000004"/>
    <n v="0.19750000000000001"/>
    <n v="4.4000000000000004"/>
    <n v="80"/>
    <n v="0.89690778341793576"/>
    <s v="New CE"/>
    <s v="Stay"/>
    <x v="2"/>
  </r>
  <r>
    <n v="42"/>
    <s v="Rifcky Fajar Firmanto"/>
    <s v="IDH60076"/>
    <s v="Associate engineer"/>
    <s v="Pekanbaru"/>
    <s v="Region 3"/>
    <s v="CITIUS"/>
    <d v="2022-07-04T00:00:00"/>
    <d v="2024-10-31T00:00:00"/>
    <s v="2 Tahun 5 Bulan 15 Hari "/>
    <n v="850"/>
    <n v="401"/>
    <n v="7"/>
    <n v="2754"/>
    <n v="393.42857142857144"/>
    <n v="358"/>
    <n v="0.8"/>
    <n v="4"/>
    <n v="0.90994916485112565"/>
    <n v="0.18198983297022514"/>
    <d v="1905-05-31T17:14:45"/>
    <d v="1899-12-30T01:43:05"/>
    <d v="1915-07-10T20:06:04"/>
    <n v="0"/>
    <n v="1"/>
    <n v="1"/>
    <n v="0.8"/>
    <n v="2"/>
    <n v="0.66666666666666663"/>
    <n v="0.16666666666666666"/>
    <d v="1899-12-30T01:02:54"/>
    <n v="1"/>
    <n v="4"/>
    <n v="0.8"/>
    <n v="0.2"/>
    <n v="1"/>
    <n v="1"/>
    <n v="1"/>
    <n v="1"/>
    <n v="1"/>
    <n v="1"/>
    <n v="1"/>
    <n v="1"/>
    <n v="1"/>
    <n v="8"/>
    <n v="1"/>
    <n v="0.15"/>
    <n v="80"/>
    <n v="75"/>
    <n v="85"/>
    <n v="85"/>
    <n v="80"/>
    <n v="0.8"/>
    <n v="405"/>
    <n v="0.98765432098765427"/>
    <n v="0.19753086419753085"/>
    <n v="4.4000000000000004"/>
    <n v="81"/>
    <n v="0.89618736383442277"/>
    <s v="Baik"/>
    <s v="Level Up"/>
    <x v="1"/>
  </r>
  <r>
    <n v="43"/>
    <s v="Febri Anggoro Guretno"/>
    <s v="IDH70118"/>
    <s v="Associate engineer"/>
    <s v="Blora"/>
    <s v="Region 2"/>
    <s v="SIPRAMA"/>
    <d v="2024-05-01T00:00:00"/>
    <d v="2024-10-31T00:00:00"/>
    <s v="0 Tahun 7 Bulan 18 Hari "/>
    <n v="183"/>
    <n v="85"/>
    <n v="2"/>
    <n v="501"/>
    <n v="250.5"/>
    <n v="280"/>
    <n v="1"/>
    <n v="5"/>
    <n v="1.1177644710578842"/>
    <n v="0.22355289421157687"/>
    <d v="1910-12-27T18:54:51"/>
    <d v="1899-12-30T00:20:24"/>
    <d v="1899-12-30T00:40:28"/>
    <n v="0"/>
    <n v="1"/>
    <n v="1"/>
    <n v="0.8"/>
    <n v="2"/>
    <n v="0.66666666666666663"/>
    <n v="0.16666666666666666"/>
    <d v="1899-12-30T00:57:21"/>
    <n v="1.25"/>
    <n v="5"/>
    <n v="1"/>
    <n v="0.25"/>
    <n v="1"/>
    <n v="1"/>
    <n v="1"/>
    <n v="0"/>
    <n v="0"/>
    <n v="0"/>
    <n v="0"/>
    <n v="0"/>
    <n v="0.6"/>
    <n v="3"/>
    <n v="0.375"/>
    <n v="5.6249999999999994E-2"/>
    <n v="75"/>
    <n v="70"/>
    <n v="80"/>
    <n v="80"/>
    <n v="80"/>
    <n v="0.8"/>
    <n v="385"/>
    <n v="0.98701298701298701"/>
    <n v="0.19740259740259741"/>
    <n v="4.45"/>
    <n v="77"/>
    <n v="0.89387215828084088"/>
    <s v="New CE"/>
    <s v="Stay"/>
    <x v="2"/>
  </r>
  <r>
    <n v="44"/>
    <s v="Finardi"/>
    <s v="IDH80129"/>
    <s v="Associate engineer"/>
    <s v="Belitung"/>
    <s v="Region 3"/>
    <s v="IMPACT"/>
    <d v="2024-01-15T00:00:00"/>
    <d v="2024-10-31T00:00:00"/>
    <s v="0 Tahun 11 Bulan 4 Hari "/>
    <n v="290"/>
    <n v="31"/>
    <n v="1"/>
    <n v="139"/>
    <n v="139"/>
    <n v="175"/>
    <n v="1"/>
    <n v="5"/>
    <n v="1.2589928057553956"/>
    <n v="0.25179856115107913"/>
    <d v="1899-12-30T00:21:01"/>
    <d v="1899-12-30T00:00:00"/>
    <d v="1913-10-23T13:36:54"/>
    <n v="1"/>
    <n v="0"/>
    <n v="1"/>
    <n v="0.8"/>
    <n v="2"/>
    <n v="0.66666666666666663"/>
    <n v="0.16666666666666666"/>
    <d v="1899-12-30T01:29:37"/>
    <n v="1"/>
    <n v="4"/>
    <n v="0.8"/>
    <n v="0.2"/>
    <n v="1"/>
    <n v="1"/>
    <n v="1"/>
    <n v="0"/>
    <n v="1"/>
    <n v="0"/>
    <n v="0"/>
    <n v="0"/>
    <n v="0.8"/>
    <n v="4"/>
    <n v="0.5"/>
    <n v="7.4999999999999997E-2"/>
    <n v="75"/>
    <n v="75"/>
    <n v="80"/>
    <n v="80"/>
    <n v="80"/>
    <n v="0.8"/>
    <n v="390"/>
    <n v="0.98717948717948723"/>
    <n v="0.19743589743589746"/>
    <n v="4.3999999999999995"/>
    <n v="78"/>
    <n v="0.89090112525364318"/>
    <s v="New CE"/>
    <s v="Stay"/>
    <x v="2"/>
  </r>
  <r>
    <n v="45"/>
    <s v="Hasanudin"/>
    <s v="IDH40032"/>
    <s v="Senior engineer"/>
    <s v="Jayapura"/>
    <s v="Region 1"/>
    <s v="IMPACT"/>
    <d v="2018-09-07T00:00:00"/>
    <d v="2024-10-31T00:00:00"/>
    <s v="6 Tahun 3 Bulan 12 Hari "/>
    <n v="2246"/>
    <n v="102"/>
    <n v="3"/>
    <n v="916"/>
    <n v="305.33333333333331"/>
    <n v="419"/>
    <n v="1"/>
    <n v="5"/>
    <n v="1.3722707423580787"/>
    <n v="0.27445414847161576"/>
    <d v="1982-02-16T18:36:45"/>
    <d v="1899-12-30T00:00:00"/>
    <d v="1981-07-17T05:56:34"/>
    <n v="0"/>
    <n v="0"/>
    <n v="1"/>
    <n v="0.75"/>
    <n v="1"/>
    <n v="0.33333333333333331"/>
    <n v="8.3333333333333329E-2"/>
    <d v="1899-12-30T01:06:29"/>
    <n v="1"/>
    <n v="4"/>
    <n v="0.8"/>
    <n v="0.2"/>
    <n v="1"/>
    <n v="1"/>
    <n v="1"/>
    <n v="0"/>
    <n v="1"/>
    <n v="1"/>
    <n v="1"/>
    <n v="1"/>
    <n v="1"/>
    <n v="7"/>
    <n v="0.875"/>
    <n v="0.13125000000000001"/>
    <n v="85"/>
    <n v="80"/>
    <n v="90"/>
    <n v="90"/>
    <n v="90"/>
    <n v="0.8"/>
    <n v="435"/>
    <n v="0.9885057471264368"/>
    <n v="0.19770114942528738"/>
    <n v="4.55"/>
    <n v="87"/>
    <n v="0.88673863123023644"/>
    <s v="Baik"/>
    <s v="Stay"/>
    <x v="0"/>
  </r>
  <r>
    <n v="46"/>
    <s v="Brian Anggito Abimanyu"/>
    <s v="IDH10013"/>
    <s v="Associate engineer"/>
    <s v="Serang"/>
    <s v="Region 1"/>
    <s v="KINARYA"/>
    <d v="2024-01-15T00:00:00"/>
    <d v="2024-10-31T00:00:00"/>
    <s v="0 Tahun 11 Bulan 4 Hari "/>
    <n v="290"/>
    <n v="218"/>
    <n v="4"/>
    <n v="1692"/>
    <n v="423"/>
    <n v="162"/>
    <n v="0.2"/>
    <n v="1"/>
    <n v="0.38297872340425532"/>
    <n v="7.6595744680851063E-2"/>
    <d v="1899-12-30T00:58:26"/>
    <d v="1899-12-30T01:10:45"/>
    <d v="1899-12-30T03:59:26"/>
    <n v="1"/>
    <n v="1"/>
    <n v="1"/>
    <n v="1.25"/>
    <n v="3"/>
    <n v="1"/>
    <n v="0.25"/>
    <d v="1899-12-30T00:53:41"/>
    <n v="1.25"/>
    <n v="5"/>
    <n v="1"/>
    <n v="0.25"/>
    <n v="1"/>
    <n v="1"/>
    <n v="1"/>
    <n v="0"/>
    <n v="1"/>
    <n v="1"/>
    <n v="1"/>
    <n v="0"/>
    <n v="1"/>
    <n v="6"/>
    <n v="0.75"/>
    <n v="0.11249999999999999"/>
    <n v="75"/>
    <n v="65"/>
    <n v="90"/>
    <n v="85"/>
    <n v="80"/>
    <n v="0.8"/>
    <n v="395"/>
    <n v="0.98734177215189878"/>
    <n v="0.19746835443037977"/>
    <n v="4.5"/>
    <n v="79"/>
    <n v="0.8865640991112308"/>
    <s v="New CE"/>
    <s v="Stay"/>
    <x v="2"/>
  </r>
  <r>
    <n v="47"/>
    <s v="Duvan Deswantara Putra"/>
    <s v="IDH60061"/>
    <s v="Engineer"/>
    <s v="Surabaya"/>
    <s v="Region 2"/>
    <s v="CITIUS"/>
    <d v="2022-03-21T00:00:00"/>
    <d v="2024-10-31T00:00:00"/>
    <s v="2 Tahun 8 Bulan 28 Hari "/>
    <n v="955"/>
    <n v="1384"/>
    <n v="22"/>
    <n v="6775"/>
    <n v="307.95454545454544"/>
    <n v="498"/>
    <n v="1"/>
    <n v="5"/>
    <n v="1.6171217712177122"/>
    <n v="0.32342435424354243"/>
    <d v="1902-01-12T16:55:08"/>
    <d v="1899-12-30T00:00:02"/>
    <d v="1899-12-30T00:00:00"/>
    <n v="0"/>
    <n v="1"/>
    <n v="0"/>
    <n v="0.4"/>
    <n v="1"/>
    <n v="0.33333333333333331"/>
    <n v="8.3333333333333329E-2"/>
    <d v="1899-12-30T01:11:44"/>
    <n v="1"/>
    <n v="4"/>
    <n v="0.8"/>
    <n v="0.2"/>
    <n v="1"/>
    <n v="1"/>
    <n v="1"/>
    <n v="1"/>
    <n v="0"/>
    <n v="0"/>
    <n v="0"/>
    <n v="0"/>
    <n v="0.8"/>
    <n v="4"/>
    <n v="0.5"/>
    <n v="7.4999999999999997E-2"/>
    <n v="80"/>
    <n v="65"/>
    <n v="80"/>
    <n v="75"/>
    <n v="80"/>
    <n v="0.8"/>
    <n v="380"/>
    <n v="0.98684210526315785"/>
    <n v="0.19736842105263158"/>
    <n v="4"/>
    <n v="76"/>
    <n v="0.87912610862950724"/>
    <s v="Baik"/>
    <s v="Stay"/>
    <x v="1"/>
  </r>
  <r>
    <n v="48"/>
    <s v="Angga Anugerah Illahi"/>
    <s v="IDH70020"/>
    <s v="Associate engineer"/>
    <s v="Cikampek"/>
    <s v="Region 2"/>
    <s v="SIPRAMA"/>
    <d v="2022-10-03T00:00:00"/>
    <d v="2024-10-31T00:00:00"/>
    <s v="2 Tahun 2 Bulan 16 Hari "/>
    <n v="759"/>
    <n v="304"/>
    <n v="5"/>
    <n v="2111"/>
    <n v="422.2"/>
    <n v="585"/>
    <n v="1"/>
    <n v="5"/>
    <n v="1.385599242065372"/>
    <n v="0.27711984841307441"/>
    <d v="1899-12-30T01:43:00"/>
    <d v="1899-12-30T03:20:00"/>
    <d v="2024-09-12T17:36:17"/>
    <n v="1"/>
    <n v="0"/>
    <n v="1"/>
    <n v="1"/>
    <n v="2"/>
    <n v="0.66666666666666663"/>
    <n v="0.16666666666666666"/>
    <d v="1899-12-30T01:12:58"/>
    <n v="1"/>
    <n v="4"/>
    <n v="0.8"/>
    <n v="0.2"/>
    <n v="1"/>
    <n v="1"/>
    <n v="0"/>
    <n v="0"/>
    <n v="0"/>
    <n v="0"/>
    <n v="0"/>
    <n v="0"/>
    <n v="0.4"/>
    <n v="2"/>
    <n v="0.25"/>
    <n v="3.7499999999999999E-2"/>
    <n v="75"/>
    <n v="75"/>
    <n v="90"/>
    <n v="90"/>
    <n v="90"/>
    <n v="0.8"/>
    <n v="420"/>
    <n v="0.98809523809523814"/>
    <n v="0.19761904761904764"/>
    <n v="4.2"/>
    <n v="84"/>
    <n v="0.87890556269878872"/>
    <s v="Baik"/>
    <s v="Level Up"/>
    <x v="1"/>
  </r>
  <r>
    <n v="50"/>
    <s v="Yayan Setiana"/>
    <s v="IDH60015"/>
    <s v="Associate engineer"/>
    <s v="Bandung"/>
    <s v="Region 2"/>
    <s v="CITIUS"/>
    <d v="2021-09-27T00:00:00"/>
    <d v="2024-10-31T00:00:00"/>
    <s v="3 Tahun 2 Bulan 22 Hari "/>
    <n v="1130"/>
    <n v="872"/>
    <n v="15"/>
    <n v="5975"/>
    <n v="398.33333333333331"/>
    <n v="435"/>
    <n v="1"/>
    <n v="5"/>
    <n v="1.092050209205021"/>
    <n v="0.21841004184100421"/>
    <d v="1899-12-30T00:48:00"/>
    <d v="1899-12-30T01:25:00"/>
    <d v="1899-12-30T00:00:00"/>
    <n v="1"/>
    <n v="1"/>
    <n v="0"/>
    <n v="0.8"/>
    <n v="2"/>
    <n v="0.66666666666666663"/>
    <n v="0.16666666666666666"/>
    <d v="1899-12-30T01:06:43"/>
    <n v="1"/>
    <n v="4"/>
    <n v="0.8"/>
    <n v="0.2"/>
    <n v="1"/>
    <n v="1"/>
    <n v="1"/>
    <n v="0"/>
    <n v="1"/>
    <n v="1"/>
    <n v="0"/>
    <n v="0"/>
    <n v="1"/>
    <n v="5"/>
    <n v="0.625"/>
    <n v="9.375E-2"/>
    <n v="75"/>
    <n v="75"/>
    <n v="90"/>
    <n v="90"/>
    <n v="90"/>
    <n v="0.8"/>
    <n v="420"/>
    <n v="0.98809523809523814"/>
    <n v="0.19761904761904764"/>
    <n v="4.5999999999999996"/>
    <n v="84"/>
    <n v="0.87644575612671849"/>
    <s v="Baik"/>
    <s v="Level Up"/>
    <x v="1"/>
  </r>
  <r>
    <n v="51"/>
    <s v="Muhammad Shafarizky"/>
    <s v="IDH80031"/>
    <s v="Associate engineer"/>
    <s v="Medan"/>
    <s v="Region 3"/>
    <s v="IMPACT"/>
    <d v="2023-02-09T00:00:00"/>
    <d v="2024-10-31T00:00:00"/>
    <s v="1 Tahun 10 Bulan 10 Hari "/>
    <n v="630"/>
    <n v="684"/>
    <n v="10"/>
    <n v="4972"/>
    <n v="497.2"/>
    <n v="476"/>
    <n v="0.8"/>
    <n v="4"/>
    <n v="0.95736122284794856"/>
    <n v="0.19147224456958972"/>
    <d v="1899-12-30T00:41:00"/>
    <d v="1899-12-30T02:41:00"/>
    <d v="1899-12-30T01:20:51"/>
    <n v="1"/>
    <n v="1"/>
    <n v="1"/>
    <n v="1.25"/>
    <n v="3"/>
    <n v="1"/>
    <n v="0.25"/>
    <d v="1899-12-30T01:12:57"/>
    <n v="1"/>
    <n v="4"/>
    <n v="0.8"/>
    <n v="0.2"/>
    <n v="1"/>
    <n v="1"/>
    <n v="0"/>
    <n v="0"/>
    <n v="0"/>
    <n v="0"/>
    <n v="0"/>
    <n v="0"/>
    <n v="0.4"/>
    <n v="2"/>
    <n v="0.25"/>
    <n v="3.7499999999999999E-2"/>
    <n v="75"/>
    <n v="75"/>
    <n v="80"/>
    <n v="80"/>
    <n v="80"/>
    <n v="0.8"/>
    <n v="390"/>
    <n v="0.98717948717948723"/>
    <n v="0.19743589743589746"/>
    <n v="4.25"/>
    <n v="78"/>
    <n v="0.87640814200548722"/>
    <s v="Baik"/>
    <s v="Stay"/>
    <x v="2"/>
  </r>
  <r>
    <n v="52"/>
    <s v="Eko Wahyu Pramono"/>
    <s v="IDH20023"/>
    <s v="Senior engineer"/>
    <s v="Semarang"/>
    <s v="Region 2"/>
    <s v="GSS"/>
    <d v="2016-10-03T00:00:00"/>
    <d v="2024-10-31T00:00:00"/>
    <s v="8 Tahun 2 Bulan 16 Hari "/>
    <n v="2950"/>
    <n v="625"/>
    <n v="10"/>
    <n v="4149"/>
    <n v="414.9"/>
    <n v="561"/>
    <n v="1"/>
    <n v="5"/>
    <n v="1.3521330441070138"/>
    <n v="0.27042660882140279"/>
    <d v="1990-03-23T22:25:37"/>
    <d v="1996-11-07T16:41:23"/>
    <d v="1941-05-17T11:21:27"/>
    <n v="0"/>
    <n v="0"/>
    <n v="1"/>
    <n v="0.4"/>
    <n v="1"/>
    <n v="0.33333333333333331"/>
    <n v="8.3333333333333329E-2"/>
    <d v="1899-12-30T00:28:17"/>
    <n v="1.25"/>
    <n v="5"/>
    <n v="1"/>
    <n v="0.25"/>
    <n v="1"/>
    <n v="1"/>
    <n v="1"/>
    <n v="0"/>
    <n v="0"/>
    <n v="1"/>
    <n v="0"/>
    <n v="0"/>
    <n v="0.8"/>
    <n v="4"/>
    <n v="0.5"/>
    <n v="7.4999999999999997E-2"/>
    <n v="70"/>
    <n v="70"/>
    <n v="90"/>
    <n v="80"/>
    <n v="80"/>
    <n v="0.8"/>
    <n v="390"/>
    <n v="0.98717948717948723"/>
    <n v="0.19743589743589746"/>
    <n v="4.25"/>
    <n v="78"/>
    <n v="0.87619583959063352"/>
    <s v="Baik"/>
    <s v="Stay"/>
    <x v="0"/>
  </r>
  <r>
    <n v="53"/>
    <s v="Widi Seftiawan Efendi"/>
    <s v="IDH30046"/>
    <s v="Engineer"/>
    <s v="Bekasi"/>
    <s v="Region 1"/>
    <s v="SIPRAMA"/>
    <d v="2020-03-02T00:00:00"/>
    <d v="2024-10-31T00:00:00"/>
    <s v="4 Tahun 9 Bulan 17 Hari "/>
    <n v="1704"/>
    <n v="510"/>
    <n v="9"/>
    <n v="3962"/>
    <n v="440.22222222222223"/>
    <n v="452"/>
    <n v="1"/>
    <n v="5"/>
    <n v="1.0267541645633518"/>
    <n v="0.20535083291267037"/>
    <d v="1899-12-30T01:13:00"/>
    <d v="1899-12-30T00:00:00"/>
    <d v="1899-12-30T00:00:00"/>
    <n v="1"/>
    <n v="1"/>
    <n v="0"/>
    <n v="0.8"/>
    <n v="2"/>
    <n v="0.66666666666666663"/>
    <n v="0.16666666666666666"/>
    <d v="1899-12-30T00:48:20"/>
    <n v="1.25"/>
    <n v="5"/>
    <n v="1"/>
    <n v="0.25"/>
    <n v="1"/>
    <n v="1"/>
    <n v="1"/>
    <n v="0"/>
    <n v="0"/>
    <n v="0"/>
    <n v="0"/>
    <n v="0"/>
    <n v="0.6"/>
    <n v="3"/>
    <n v="0.375"/>
    <n v="5.6249999999999994E-2"/>
    <n v="75"/>
    <n v="75"/>
    <n v="90"/>
    <n v="90"/>
    <n v="85"/>
    <n v="0.8"/>
    <n v="415"/>
    <n v="0.98795180722891562"/>
    <n v="0.19759036144578312"/>
    <n v="4.45"/>
    <n v="83"/>
    <n v="0.8758578610251202"/>
    <s v="Baik"/>
    <s v="Level Up"/>
    <x v="0"/>
  </r>
  <r>
    <n v="54"/>
    <s v="Fajry Ramadhan"/>
    <s v="IDH70047"/>
    <s v="Associate engineer"/>
    <s v="Jambi"/>
    <s v="Region 3"/>
    <s v="SIPRAMA"/>
    <d v="2022-11-17T00:00:00"/>
    <d v="2024-10-31T00:00:00"/>
    <s v="2 Tahun 1 Bulan 2 Hari "/>
    <n v="714"/>
    <n v="159"/>
    <n v="3"/>
    <n v="1272"/>
    <n v="424"/>
    <n v="402"/>
    <n v="0.8"/>
    <n v="4"/>
    <n v="0.94811320754716977"/>
    <n v="0.18962264150943398"/>
    <d v="1899-12-30T01:21:00"/>
    <d v="1899-12-30T00:31:00"/>
    <d v="1908-11-27T09:54:50"/>
    <n v="1"/>
    <n v="1"/>
    <n v="1"/>
    <n v="1.25"/>
    <n v="3"/>
    <n v="1"/>
    <n v="0.25"/>
    <d v="1899-12-30T01:03:53"/>
    <n v="1"/>
    <n v="4"/>
    <n v="0.8"/>
    <n v="0.2"/>
    <n v="1"/>
    <n v="1"/>
    <n v="0"/>
    <n v="0"/>
    <n v="0"/>
    <n v="0"/>
    <n v="0"/>
    <n v="0"/>
    <n v="0.4"/>
    <n v="2"/>
    <n v="0.25"/>
    <n v="3.7499999999999999E-2"/>
    <n v="75"/>
    <n v="75"/>
    <n v="85"/>
    <n v="85"/>
    <n v="85"/>
    <n v="0.8"/>
    <n v="405"/>
    <n v="0.98765432098765427"/>
    <n v="0.19753086419753085"/>
    <n v="4.25"/>
    <n v="81"/>
    <n v="0.87465350570696476"/>
    <s v="Baik"/>
    <s v="Level Up"/>
    <x v="1"/>
  </r>
  <r>
    <n v="55"/>
    <s v="Iffat Ahmad Baihaki"/>
    <s v="IDH80057"/>
    <s v="Associate engineer"/>
    <s v="Makassar"/>
    <s v="Region 3"/>
    <s v="IMPACT"/>
    <d v="2023-05-29T00:00:00"/>
    <d v="2024-10-31T00:00:00"/>
    <s v="1 Tahun 6 Bulan 20 Hari "/>
    <n v="521"/>
    <n v="448"/>
    <n v="7"/>
    <n v="2614"/>
    <n v="373.42857142857144"/>
    <n v="318"/>
    <n v="0.8"/>
    <n v="4"/>
    <n v="0.85156847742922726"/>
    <n v="0.17031369548584546"/>
    <d v="1899-12-30T01:17:00"/>
    <d v="1899-12-30T00:00:05"/>
    <d v="1962-01-23T03:56:28"/>
    <n v="1"/>
    <n v="1"/>
    <n v="1"/>
    <n v="1.25"/>
    <n v="3"/>
    <n v="1"/>
    <n v="0.25"/>
    <d v="1899-12-30T01:03:09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4.45"/>
    <n v="78"/>
    <n v="0.87399959292174301"/>
    <s v="Baik"/>
    <s v="Level Up"/>
    <x v="1"/>
  </r>
  <r>
    <n v="56"/>
    <s v="Hurdi Wahyu Luhudin Solissa"/>
    <s v="IDH80033"/>
    <s v="Associate engineer"/>
    <s v="Ambon"/>
    <s v="Region 1"/>
    <s v="IMPACT"/>
    <d v="2023-02-09T00:00:00"/>
    <d v="2024-10-31T00:00:00"/>
    <s v="1 Tahun 10 Bulan 10 Hari "/>
    <n v="630"/>
    <n v="75"/>
    <n v="2"/>
    <n v="680"/>
    <n v="340"/>
    <n v="321"/>
    <n v="0.8"/>
    <n v="4"/>
    <n v="0.94411764705882351"/>
    <n v="0.18882352941176472"/>
    <d v="1899-12-30T01:51:00"/>
    <d v="1899-12-30T00:32:00"/>
    <d v="1899-12-30T00:35:45"/>
    <n v="1"/>
    <n v="1"/>
    <n v="1"/>
    <n v="1.25"/>
    <n v="3"/>
    <n v="1"/>
    <n v="0.25"/>
    <d v="1899-12-30T01:27:19"/>
    <n v="1"/>
    <n v="4"/>
    <n v="0.8"/>
    <n v="0.2"/>
    <n v="1"/>
    <n v="1"/>
    <n v="0"/>
    <n v="0"/>
    <n v="0"/>
    <n v="0"/>
    <n v="0"/>
    <n v="0"/>
    <n v="0.4"/>
    <n v="2"/>
    <n v="0.25"/>
    <n v="3.7499999999999999E-2"/>
    <n v="75"/>
    <n v="75"/>
    <n v="90"/>
    <n v="85"/>
    <n v="80"/>
    <n v="0.8"/>
    <n v="405"/>
    <n v="0.98765432098765427"/>
    <n v="0.19753086419753085"/>
    <n v="4.25"/>
    <n v="81"/>
    <n v="0.87385439360929562"/>
    <s v="Baik"/>
    <s v="Level Up"/>
    <x v="1"/>
  </r>
  <r>
    <n v="57"/>
    <s v="Hendra Wahyu Aprilyanto"/>
    <s v="IDH60003"/>
    <s v="Engineer"/>
    <s v="Surabaya"/>
    <s v="Region 2"/>
    <s v="CITIUS"/>
    <d v="2021-08-23T00:00:00"/>
    <d v="2024-10-31T00:00:00"/>
    <s v="3 Tahun 3 Bulan 26 Hari "/>
    <n v="1165"/>
    <n v="1384"/>
    <n v="22"/>
    <n v="6775"/>
    <n v="307.95454545454544"/>
    <n v="570"/>
    <n v="1"/>
    <n v="5"/>
    <n v="1.8509225092250923"/>
    <n v="0.3701845018450185"/>
    <d v="1903-09-12T23:20:32"/>
    <d v="1899-12-30T00:00:00"/>
    <d v="1899-12-30T00:00:00"/>
    <n v="0"/>
    <n v="0"/>
    <n v="0"/>
    <n v="0"/>
    <n v="0"/>
    <n v="0"/>
    <n v="0"/>
    <d v="1899-12-30T00:48:25"/>
    <n v="1.25"/>
    <n v="5"/>
    <n v="1"/>
    <n v="0.25"/>
    <n v="1"/>
    <n v="1"/>
    <n v="1"/>
    <n v="0"/>
    <n v="0"/>
    <n v="0"/>
    <n v="0"/>
    <n v="0"/>
    <n v="0.6"/>
    <n v="3"/>
    <n v="0.375"/>
    <n v="5.6249999999999994E-2"/>
    <n v="75"/>
    <n v="60"/>
    <n v="75"/>
    <n v="75"/>
    <n v="75"/>
    <n v="0.8"/>
    <n v="360"/>
    <n v="0.98611111111111116"/>
    <n v="0.19722222222222224"/>
    <n v="3.6500000000000004"/>
    <n v="72"/>
    <n v="0.87365672406724082"/>
    <s v="Baik"/>
    <s v="Stay"/>
    <x v="1"/>
  </r>
  <r>
    <n v="58"/>
    <s v="Bima Putra Harsya"/>
    <s v="IDH80030"/>
    <s v="Associate engineer"/>
    <s v="Payakumbuh"/>
    <s v="Region 3"/>
    <s v="IMPACT"/>
    <d v="2023-02-09T00:00:00"/>
    <d v="2024-10-31T00:00:00"/>
    <s v="1 Tahun 10 Bulan 10 Hari "/>
    <n v="630"/>
    <n v="90"/>
    <n v="2"/>
    <n v="587"/>
    <n v="293.5"/>
    <n v="370"/>
    <n v="1"/>
    <n v="5"/>
    <n v="1.2606473594548553"/>
    <n v="0.25212947189097107"/>
    <d v="1899-12-30T01:04:00"/>
    <d v="1899-12-30T03:15:00"/>
    <d v="1913-10-14T23:07:44"/>
    <n v="1"/>
    <n v="0"/>
    <n v="1"/>
    <n v="0.8"/>
    <n v="2"/>
    <n v="0.66666666666666663"/>
    <n v="0.16666666666666666"/>
    <d v="1899-12-30T01:39:08"/>
    <n v="1"/>
    <n v="4"/>
    <n v="0.8"/>
    <n v="0.2"/>
    <n v="1"/>
    <n v="1"/>
    <n v="0"/>
    <n v="0"/>
    <n v="0"/>
    <n v="0"/>
    <n v="0"/>
    <n v="1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4.2"/>
    <n v="78"/>
    <n v="0.87248203599353524"/>
    <s v="Baik"/>
    <s v="Level Up"/>
    <x v="1"/>
  </r>
  <r>
    <n v="59"/>
    <s v="Ambali"/>
    <s v="IDH30033"/>
    <s v="Associate engineer"/>
    <s v="Bekasi"/>
    <s v="Region 1"/>
    <s v="SIPRAMA"/>
    <d v="2018-10-15T00:00:00"/>
    <d v="2024-10-31T00:00:00"/>
    <s v="6 Tahun 2 Bulan 4 Hari "/>
    <n v="2208"/>
    <n v="510"/>
    <n v="9"/>
    <n v="3962"/>
    <n v="440.22222222222223"/>
    <n v="441"/>
    <n v="1"/>
    <n v="5"/>
    <n v="1.0017667844522968"/>
    <n v="0.20035335689045938"/>
    <d v="1899-12-30T01:17:00"/>
    <d v="1899-12-30T00:13:00"/>
    <d v="1899-12-30T00:00:00"/>
    <n v="1"/>
    <n v="1"/>
    <n v="0"/>
    <n v="0.8"/>
    <n v="2"/>
    <n v="0.66666666666666663"/>
    <n v="0.16666666666666666"/>
    <d v="1899-12-30T00:44:38"/>
    <n v="1.25"/>
    <n v="5"/>
    <n v="1"/>
    <n v="0.25"/>
    <n v="1"/>
    <n v="1"/>
    <n v="1"/>
    <n v="0"/>
    <n v="0"/>
    <n v="0"/>
    <n v="0"/>
    <n v="0"/>
    <n v="0.6"/>
    <n v="3"/>
    <n v="0.375"/>
    <n v="5.6249999999999994E-2"/>
    <n v="75"/>
    <n v="75"/>
    <n v="90"/>
    <n v="85"/>
    <n v="80"/>
    <n v="0.8"/>
    <n v="405"/>
    <n v="0.98765432098765427"/>
    <n v="0.19753086419753085"/>
    <n v="4.45"/>
    <n v="81"/>
    <n v="0.87080088775465692"/>
    <s v="Baik"/>
    <s v="Stay"/>
    <x v="2"/>
  </r>
  <r>
    <n v="61"/>
    <s v="Abdul Rahman"/>
    <s v="IDH80130"/>
    <s v="Associate engineer"/>
    <s v="Dumai"/>
    <s v="Region 3"/>
    <s v="IMPACT"/>
    <d v="2024-02-01T00:00:00"/>
    <d v="2024-10-31T00:00:00"/>
    <s v="0 Tahun 10 Bulan 18 Hari "/>
    <n v="273"/>
    <n v="103"/>
    <n v="2"/>
    <n v="733"/>
    <n v="366.5"/>
    <n v="306"/>
    <n v="0.8"/>
    <n v="4"/>
    <n v="0.834924965893588"/>
    <n v="0.16698499317871762"/>
    <d v="1899-12-30T00:02:11"/>
    <d v="1899-12-30T00:02:28"/>
    <d v="1899-12-30T00:00:12"/>
    <n v="1"/>
    <n v="1"/>
    <n v="1"/>
    <n v="1.25"/>
    <n v="3"/>
    <n v="1"/>
    <n v="0.25"/>
    <d v="1899-12-30T01:42:38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0"/>
    <n v="80"/>
    <n v="80"/>
    <n v="80"/>
    <n v="0.8"/>
    <n v="385"/>
    <n v="0.98701298701298701"/>
    <n v="0.19740259740259741"/>
    <n v="4.45"/>
    <n v="77"/>
    <n v="0.87063759058131507"/>
    <s v="New CE"/>
    <s v="Stay"/>
    <x v="2"/>
  </r>
  <r>
    <n v="62"/>
    <s v="Reza Akhsan Noor"/>
    <s v="IDH80050"/>
    <s v="Associate engineer"/>
    <s v="Surabaya"/>
    <s v="Region 2"/>
    <s v="IMPACT"/>
    <d v="2023-05-29T00:00:00"/>
    <d v="2024-10-31T00:00:00"/>
    <s v="1 Tahun 6 Bulan 20 Hari "/>
    <n v="521"/>
    <n v="1384"/>
    <n v="22"/>
    <n v="6775"/>
    <n v="307.95454545454544"/>
    <n v="435"/>
    <n v="1"/>
    <n v="5"/>
    <n v="1.4125461254612546"/>
    <n v="0.2825092250922509"/>
    <d v="1903-12-02T12:46:55"/>
    <d v="1899-12-30T00:00:22"/>
    <d v="1899-12-30T00:00:00"/>
    <n v="0"/>
    <n v="1"/>
    <n v="0"/>
    <n v="0.4"/>
    <n v="1"/>
    <n v="0.33333333333333331"/>
    <n v="8.3333333333333329E-2"/>
    <d v="1899-12-30T00:43:06"/>
    <n v="1.25"/>
    <n v="5"/>
    <n v="1"/>
    <n v="0.25"/>
    <n v="1"/>
    <n v="1"/>
    <n v="1"/>
    <n v="0"/>
    <n v="0"/>
    <n v="0"/>
    <n v="0"/>
    <n v="0"/>
    <n v="0.6"/>
    <n v="3"/>
    <n v="0.375"/>
    <n v="5.6249999999999994E-2"/>
    <n v="75"/>
    <n v="70"/>
    <n v="70"/>
    <n v="75"/>
    <n v="80"/>
    <n v="0.8"/>
    <n v="370"/>
    <n v="0.98648648648648651"/>
    <n v="0.19729729729729731"/>
    <n v="4.05"/>
    <n v="74"/>
    <n v="0.86938985572288152"/>
    <s v="Baik"/>
    <s v="Stay"/>
    <x v="2"/>
  </r>
  <r>
    <n v="63"/>
    <s v="Yovi Bahtiar Aditya"/>
    <s v="IDH60051"/>
    <s v="Associate engineer"/>
    <s v="Bandung"/>
    <s v="Region 2"/>
    <s v="CITIUS"/>
    <d v="2022-03-01T00:00:00"/>
    <d v="2024-10-31T00:00:00"/>
    <s v="2 Tahun 9 Bulan 18 Hari "/>
    <n v="975"/>
    <n v="872"/>
    <n v="15"/>
    <n v="5975"/>
    <n v="398.33333333333331"/>
    <n v="395"/>
    <n v="0.8"/>
    <n v="4"/>
    <n v="0.99163179916318001"/>
    <n v="0.19832635983263602"/>
    <d v="1916-08-06T01:56:17"/>
    <d v="1899-12-30T01:19:00"/>
    <d v="1899-12-30T00:00:00"/>
    <n v="1"/>
    <n v="1"/>
    <n v="0"/>
    <n v="0.8"/>
    <n v="2"/>
    <n v="0.66666666666666663"/>
    <n v="0.16666666666666666"/>
    <d v="1899-12-30T00:55:33"/>
    <n v="1.25"/>
    <n v="5"/>
    <n v="1"/>
    <n v="0.25"/>
    <n v="1"/>
    <n v="1"/>
    <n v="1"/>
    <n v="0"/>
    <n v="0"/>
    <n v="0"/>
    <n v="0"/>
    <n v="0"/>
    <n v="0.6"/>
    <n v="3"/>
    <n v="0.375"/>
    <n v="5.6249999999999994E-2"/>
    <n v="75"/>
    <n v="75"/>
    <n v="85"/>
    <n v="90"/>
    <n v="85"/>
    <n v="0.8"/>
    <n v="410"/>
    <n v="0.98780487804878048"/>
    <n v="0.19756097560975611"/>
    <n v="4.25"/>
    <n v="82"/>
    <n v="0.86880400210905884"/>
    <s v="Baik"/>
    <s v="Level Up"/>
    <x v="1"/>
  </r>
  <r>
    <n v="64"/>
    <s v="Muhammad Baskara"/>
    <s v="IDH80068"/>
    <s v="Associate engineer"/>
    <s v="Padang"/>
    <s v="Region 3"/>
    <s v="IMPACT"/>
    <d v="2023-07-24T00:00:00"/>
    <d v="2024-10-31T00:00:00"/>
    <s v="1 Tahun 4 Bulan 25 Hari "/>
    <n v="465"/>
    <n v="211"/>
    <n v="4"/>
    <n v="1415"/>
    <n v="353.75"/>
    <n v="272"/>
    <n v="0.6"/>
    <n v="3"/>
    <n v="0.76890459363957597"/>
    <n v="0.15378091872791522"/>
    <d v="1905-03-04T22:33:51"/>
    <d v="1899-12-30T00:44:31"/>
    <d v="1908-04-10T12:48:34"/>
    <n v="0"/>
    <n v="1"/>
    <n v="1"/>
    <n v="0.8"/>
    <n v="2"/>
    <n v="0.66666666666666663"/>
    <n v="0.16666666666666666"/>
    <d v="1899-12-30T01:38:14"/>
    <n v="1"/>
    <n v="4"/>
    <n v="0.8"/>
    <n v="0.2"/>
    <n v="1"/>
    <n v="1"/>
    <n v="1"/>
    <n v="1"/>
    <n v="1"/>
    <n v="1"/>
    <n v="1"/>
    <n v="1"/>
    <n v="1"/>
    <n v="8"/>
    <n v="1"/>
    <n v="0.15"/>
    <n v="75"/>
    <n v="70"/>
    <n v="80"/>
    <n v="80"/>
    <n v="80"/>
    <n v="0.8"/>
    <n v="385"/>
    <n v="0.98701298701298701"/>
    <n v="0.19740259740259741"/>
    <n v="4.2"/>
    <n v="77"/>
    <n v="0.86785018279717918"/>
    <s v="Baik"/>
    <s v="Stay"/>
    <x v="2"/>
  </r>
  <r>
    <n v="65"/>
    <s v="Achmad Dandy Pahlevi"/>
    <s v="IDH70061"/>
    <s v="Associate engineer"/>
    <s v="Tangerang"/>
    <s v="Region 1"/>
    <s v="SIPRAMA"/>
    <d v="2022-11-17T00:00:00"/>
    <d v="2024-10-31T00:00:00"/>
    <s v="2 Tahun 1 Bulan 2 Hari "/>
    <n v="714"/>
    <n v="760"/>
    <n v="13"/>
    <n v="5863"/>
    <n v="451"/>
    <n v="555"/>
    <n v="1"/>
    <n v="5"/>
    <n v="1.23059866962306"/>
    <n v="0.24611973392461201"/>
    <d v="1899-12-30T01:14:00"/>
    <d v="1899-12-30T00:49:00"/>
    <d v="1899-12-30T00:00:00"/>
    <n v="1"/>
    <n v="1"/>
    <n v="0"/>
    <n v="0.8"/>
    <n v="2"/>
    <n v="0.66666666666666663"/>
    <n v="0.16666666666666666"/>
    <d v="1899-12-30T01:35:21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90"/>
    <n v="85"/>
    <n v="80"/>
    <n v="0.8"/>
    <n v="405"/>
    <n v="0.98765432098765427"/>
    <n v="0.19753086419753085"/>
    <n v="4.2"/>
    <n v="81"/>
    <n v="0.86656726478880952"/>
    <s v="Baik"/>
    <s v="Level Up"/>
    <x v="1"/>
  </r>
  <r>
    <n v="66"/>
    <s v="Rahmad Ade Kurniawan"/>
    <s v="IDH60068"/>
    <s v="Associate engineer"/>
    <s v="Palembang"/>
    <s v="Region 3"/>
    <s v="CITIUS"/>
    <d v="2022-05-10T00:00:00"/>
    <d v="2024-10-31T00:00:00"/>
    <s v="2 Tahun 7 Bulan 9 Hari "/>
    <n v="905"/>
    <n v="426"/>
    <n v="6"/>
    <n v="3000"/>
    <n v="500"/>
    <n v="488"/>
    <n v="0.8"/>
    <n v="4"/>
    <n v="0.97599999999999998"/>
    <n v="0.19520000000000001"/>
    <d v="1899-12-30T01:27:00"/>
    <d v="1899-12-30T03:03:00"/>
    <d v="1973-10-24T17:46:35"/>
    <n v="1"/>
    <n v="0"/>
    <n v="1"/>
    <n v="1"/>
    <n v="2"/>
    <n v="0.66666666666666663"/>
    <n v="0.16666666666666666"/>
    <d v="1899-12-30T00:53:13"/>
    <n v="1.25"/>
    <n v="5"/>
    <n v="1"/>
    <n v="0.25"/>
    <n v="1"/>
    <n v="1"/>
    <n v="1"/>
    <n v="0"/>
    <n v="0"/>
    <n v="0"/>
    <n v="0"/>
    <n v="0"/>
    <n v="0.6"/>
    <n v="3"/>
    <n v="0.375"/>
    <n v="5.6249999999999994E-2"/>
    <n v="75"/>
    <n v="75"/>
    <n v="85"/>
    <n v="90"/>
    <n v="85"/>
    <n v="0.8"/>
    <n v="410"/>
    <n v="0.98780487804878048"/>
    <n v="0.19756097560975611"/>
    <n v="4.45"/>
    <n v="82"/>
    <n v="0.86567764227642274"/>
    <s v="Baik"/>
    <s v="Level Up"/>
    <x v="1"/>
  </r>
  <r>
    <n v="67"/>
    <s v="Lukmanul Hakim"/>
    <s v="IDH80091"/>
    <s v="Associate engineer"/>
    <s v="Batam"/>
    <s v="Region 3"/>
    <s v="IMPACT"/>
    <d v="2023-09-04T00:00:00"/>
    <d v="2024-10-31T00:00:00"/>
    <s v="1 Tahun 3 Bulan 15 Hari "/>
    <n v="423"/>
    <n v="283"/>
    <n v="4"/>
    <n v="1878"/>
    <n v="469.5"/>
    <n v="457"/>
    <n v="0.8"/>
    <n v="4"/>
    <n v="0.97337593184238547"/>
    <n v="0.19467518636847711"/>
    <d v="1902-12-04T06:52:16"/>
    <d v="1899-12-30T01:43:35"/>
    <d v="1962-05-02T22:25:46"/>
    <n v="0"/>
    <n v="1"/>
    <n v="1"/>
    <n v="0.8"/>
    <n v="2"/>
    <n v="0.66666666666666663"/>
    <n v="0.16666666666666666"/>
    <d v="1899-12-30T00:58:49"/>
    <n v="1.25"/>
    <n v="5"/>
    <n v="1"/>
    <n v="0.25"/>
    <n v="1"/>
    <n v="1"/>
    <n v="0"/>
    <n v="0"/>
    <n v="0"/>
    <n v="1"/>
    <n v="0"/>
    <n v="0"/>
    <n v="0.6"/>
    <n v="3"/>
    <n v="0.375"/>
    <n v="5.6249999999999994E-2"/>
    <n v="75"/>
    <n v="85"/>
    <n v="80"/>
    <n v="80"/>
    <n v="80"/>
    <n v="0.8"/>
    <n v="400"/>
    <n v="0.98750000000000004"/>
    <n v="0.19750000000000001"/>
    <n v="4.25"/>
    <n v="80"/>
    <n v="0.8650918530351438"/>
    <s v="Baik"/>
    <s v="Stay"/>
    <x v="2"/>
  </r>
  <r>
    <n v="68"/>
    <s v="Endi Setiawan Anugerah"/>
    <s v="IDH80128"/>
    <s v="Associate engineer"/>
    <s v="Bontang"/>
    <s v="Region 3"/>
    <s v="IMPACT"/>
    <d v="2024-02-01T00:00:00"/>
    <d v="2024-10-31T00:00:00"/>
    <s v="0 Tahun 10 Bulan 18 Hari "/>
    <n v="273"/>
    <n v="27"/>
    <n v="1"/>
    <n v="81"/>
    <n v="81"/>
    <n v="220"/>
    <n v="0.8"/>
    <n v="4"/>
    <n v="0.80586080586080588"/>
    <n v="0.16117216117216118"/>
    <d v="1899-12-30T01:21:00"/>
    <d v="1899-12-30T00:11:34"/>
    <d v="1909-08-01T18:29:48"/>
    <n v="1"/>
    <n v="1"/>
    <n v="1"/>
    <n v="1.25"/>
    <n v="3"/>
    <n v="1"/>
    <n v="0.25"/>
    <d v="1899-12-30T01:22:48"/>
    <n v="1"/>
    <n v="4"/>
    <n v="0.8"/>
    <n v="0.2"/>
    <n v="1"/>
    <n v="1"/>
    <n v="0"/>
    <n v="0"/>
    <n v="0"/>
    <n v="1"/>
    <n v="0"/>
    <n v="0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4.45"/>
    <n v="78"/>
    <n v="0.86485805860805876"/>
    <s v="New CE"/>
    <s v="Stay"/>
    <x v="2"/>
  </r>
  <r>
    <n v="69"/>
    <s v="Muhammad Sudrajat"/>
    <s v="IDH40058"/>
    <s v="Engineer"/>
    <s v="Cirebon"/>
    <s v="Region 2"/>
    <s v="GSS"/>
    <d v="2019-01-07T00:00:00"/>
    <d v="2024-10-31T00:00:00"/>
    <s v="5 Tahun 11 Bulan 12 Hari "/>
    <n v="2124"/>
    <n v="332"/>
    <n v="6"/>
    <n v="2281"/>
    <n v="380.16666666666669"/>
    <n v="393"/>
    <n v="1"/>
    <n v="5"/>
    <n v="1.0337571240683909"/>
    <n v="0.2067514248136782"/>
    <d v="1899-12-30T01:12:00"/>
    <d v="1908-11-20T06:20:15"/>
    <d v="2024-07-12T22:13:14"/>
    <n v="1"/>
    <n v="0"/>
    <n v="1"/>
    <n v="0.8"/>
    <n v="2"/>
    <n v="0.66666666666666663"/>
    <n v="0.16666666666666666"/>
    <d v="1899-12-30T01:30:03"/>
    <n v="1"/>
    <n v="4"/>
    <n v="0.8"/>
    <n v="0.2"/>
    <n v="1"/>
    <n v="1"/>
    <n v="1"/>
    <n v="0"/>
    <n v="0"/>
    <n v="1"/>
    <n v="0"/>
    <n v="1"/>
    <n v="1"/>
    <n v="5"/>
    <n v="0.625"/>
    <n v="9.375E-2"/>
    <n v="75"/>
    <n v="75"/>
    <n v="90"/>
    <n v="90"/>
    <n v="90"/>
    <n v="0.8"/>
    <n v="420"/>
    <n v="0.98809523809523814"/>
    <n v="0.19761904761904764"/>
    <n v="4.5999999999999996"/>
    <n v="84"/>
    <n v="0.86478713909939242"/>
    <s v="Baik"/>
    <s v="Level Up"/>
    <x v="0"/>
  </r>
  <r>
    <n v="70"/>
    <s v="Doni Setiawan"/>
    <s v="IDH20025"/>
    <s v="Senior engineer"/>
    <s v="Surabaya"/>
    <s v="Region 2"/>
    <s v="GSS"/>
    <d v="2016-10-03T00:00:00"/>
    <d v="2024-10-31T00:00:00"/>
    <s v="8 Tahun 2 Bulan 16 Hari "/>
    <n v="2950"/>
    <n v="1384"/>
    <n v="22"/>
    <n v="6775"/>
    <n v="307.95454545454544"/>
    <n v="376"/>
    <n v="1"/>
    <n v="5"/>
    <n v="1.2209594095940961"/>
    <n v="0.24419188191881924"/>
    <d v="1912-11-29T00:46:01"/>
    <d v="1899-12-30T00:56:19"/>
    <d v="1931-01-04T12:29:14"/>
    <n v="0"/>
    <n v="1"/>
    <n v="1"/>
    <n v="0.8"/>
    <n v="2"/>
    <n v="0.66666666666666663"/>
    <n v="0.16666666666666666"/>
    <d v="1899-12-30T01:08:50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85"/>
    <n v="80"/>
    <n v="80"/>
    <n v="80"/>
    <n v="80"/>
    <n v="0.8"/>
    <n v="405"/>
    <n v="0.98765432098765427"/>
    <n v="0.19753086419753085"/>
    <n v="4.2"/>
    <n v="81"/>
    <n v="0.8646394127830167"/>
    <s v="Baik"/>
    <s v="Stay"/>
    <x v="0"/>
  </r>
  <r>
    <n v="71"/>
    <s v="Tejo Kumolo Wahyu"/>
    <s v="IDH60036"/>
    <s v="Senior engineer"/>
    <s v="Jakarta 1"/>
    <s v="Region 1"/>
    <s v="CITIUS"/>
    <d v="2021-11-02T00:00:00"/>
    <d v="2024-10-31T00:00:00"/>
    <s v="3 Tahun 1 Bulan 17 Hari "/>
    <n v="1094"/>
    <n v="897"/>
    <n v="13"/>
    <n v="6212"/>
    <n v="477.84615384615387"/>
    <n v="417"/>
    <n v="0.8"/>
    <n v="4"/>
    <n v="0.87266580811332906"/>
    <n v="0.17453316162266583"/>
    <d v="1965-05-24T05:53:41"/>
    <d v="1899-12-30T02:13:25"/>
    <d v="2024-06-03T16:41:15"/>
    <n v="0"/>
    <n v="1"/>
    <n v="1"/>
    <n v="0.8"/>
    <n v="2"/>
    <n v="0.66666666666666663"/>
    <n v="0.16666666666666666"/>
    <d v="1899-12-30T00:38:08"/>
    <n v="1.25"/>
    <n v="5"/>
    <n v="1"/>
    <n v="0.25"/>
    <n v="1"/>
    <n v="1"/>
    <n v="1"/>
    <n v="0"/>
    <n v="1"/>
    <n v="0"/>
    <n v="0"/>
    <n v="0"/>
    <n v="0.8"/>
    <n v="4"/>
    <n v="0.5"/>
    <n v="7.4999999999999997E-2"/>
    <n v="85"/>
    <n v="90"/>
    <n v="75"/>
    <n v="90"/>
    <n v="90"/>
    <n v="0.8"/>
    <n v="430"/>
    <n v="0.98837209302325579"/>
    <n v="0.19767441860465118"/>
    <n v="4.45"/>
    <n v="86"/>
    <n v="0.86387424689398362"/>
    <s v="Baik"/>
    <s v="Stay"/>
    <x v="0"/>
  </r>
  <r>
    <n v="72"/>
    <s v="M.Nurul Ihsan"/>
    <s v="IDH60017"/>
    <s v="Engineer"/>
    <s v="Surabaya"/>
    <s v="Region 2"/>
    <s v="SIPRAMA"/>
    <d v="2021-09-27T00:00:00"/>
    <d v="2024-10-31T00:00:00"/>
    <s v="3 Tahun 2 Bulan 22 Hari "/>
    <n v="1130"/>
    <n v="1384"/>
    <n v="22"/>
    <n v="6775"/>
    <n v="307.95454545454544"/>
    <n v="393"/>
    <n v="1"/>
    <n v="5"/>
    <n v="1.2761623616236164"/>
    <n v="0.25523247232472329"/>
    <d v="1906-07-03T14:14:05"/>
    <d v="1899-12-30T01:38:19"/>
    <d v="1899-12-30T00:00:00"/>
    <n v="0"/>
    <n v="1"/>
    <n v="0"/>
    <n v="0.4"/>
    <n v="1"/>
    <n v="0.33333333333333331"/>
    <n v="8.3333333333333329E-2"/>
    <d v="1899-12-30T00:40:31"/>
    <n v="1.25"/>
    <n v="5"/>
    <n v="1"/>
    <n v="0.25"/>
    <n v="1"/>
    <n v="1"/>
    <n v="1"/>
    <n v="0"/>
    <n v="0"/>
    <n v="0"/>
    <n v="0"/>
    <n v="1"/>
    <n v="0.8"/>
    <n v="4"/>
    <n v="0.5"/>
    <n v="7.4999999999999997E-2"/>
    <n v="75"/>
    <n v="60"/>
    <n v="80"/>
    <n v="75"/>
    <n v="80"/>
    <n v="0.8"/>
    <n v="370"/>
    <n v="0.98648648648648651"/>
    <n v="0.19729729729729731"/>
    <n v="4.25"/>
    <n v="74"/>
    <n v="0.86086310295535384"/>
    <s v="Baik"/>
    <s v="Stay"/>
    <x v="1"/>
  </r>
  <r>
    <n v="73"/>
    <s v="Arif Septianto"/>
    <s v="IDH70011"/>
    <s v="Associate engineer"/>
    <s v="Jakarta 2"/>
    <s v="Region 1"/>
    <s v="SIPRAMA"/>
    <d v="2022-08-22T00:00:00"/>
    <d v="2024-10-31T00:00:00"/>
    <s v="2 Tahun 3 Bulan 27 Hari "/>
    <n v="801"/>
    <n v="893"/>
    <n v="14"/>
    <n v="6172"/>
    <n v="440.85714285714283"/>
    <n v="375"/>
    <n v="0.8"/>
    <n v="4"/>
    <n v="0.85061568373298768"/>
    <n v="0.17012313674659754"/>
    <d v="1899-12-30T01:23:00"/>
    <d v="1899-12-30T00:45:00"/>
    <d v="1899-12-30T00:00:00"/>
    <n v="1"/>
    <n v="1"/>
    <n v="0"/>
    <n v="0.8"/>
    <n v="2"/>
    <n v="0.66666666666666663"/>
    <n v="0.16666666666666666"/>
    <d v="1899-12-30T00:49:05"/>
    <n v="1.25"/>
    <n v="5"/>
    <n v="1"/>
    <n v="0.25"/>
    <n v="1"/>
    <n v="1"/>
    <n v="0"/>
    <n v="1"/>
    <n v="0"/>
    <n v="1"/>
    <n v="0"/>
    <n v="0"/>
    <n v="0.8"/>
    <n v="4"/>
    <n v="0.5"/>
    <n v="7.4999999999999997E-2"/>
    <n v="75"/>
    <n v="75"/>
    <n v="90"/>
    <n v="85"/>
    <n v="80"/>
    <n v="0.8"/>
    <n v="405"/>
    <n v="0.98765432098765427"/>
    <n v="0.19753086419753085"/>
    <n v="4.45"/>
    <n v="81"/>
    <n v="0.85932066761079495"/>
    <s v="Baik"/>
    <s v="Level Up"/>
    <x v="1"/>
  </r>
  <r>
    <n v="74"/>
    <s v="Andre Fikriawan"/>
    <s v="IDH80010"/>
    <s v="Associate engineer"/>
    <s v="Mataram"/>
    <s v="Region 3"/>
    <s v="IMPACT"/>
    <d v="2023-01-09T00:00:00"/>
    <d v="2024-10-31T00:00:00"/>
    <s v="1 Tahun 11 Bulan 10 Hari "/>
    <n v="661"/>
    <n v="142"/>
    <n v="3"/>
    <n v="1369"/>
    <n v="456.33333333333331"/>
    <n v="355"/>
    <n v="0.6"/>
    <n v="3"/>
    <n v="0.77794010226442667"/>
    <n v="0.15558802045288533"/>
    <d v="1899-12-30T01:32:00"/>
    <d v="1899-12-30T01:59:00"/>
    <d v="1899-12-30T01:24:11"/>
    <n v="1"/>
    <n v="1"/>
    <n v="1"/>
    <n v="1.25"/>
    <n v="3"/>
    <n v="1"/>
    <n v="0.25"/>
    <d v="1899-12-30T01:27:15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4.25"/>
    <n v="78"/>
    <n v="0.85927391788878293"/>
    <s v="Baik"/>
    <s v="Stay"/>
    <x v="2"/>
  </r>
  <r>
    <n v="75"/>
    <s v="Adi Sujana Mahmud"/>
    <s v="IDH50026"/>
    <s v="Engineer"/>
    <s v="Palu"/>
    <s v="Region 3"/>
    <s v="SIPRAMA"/>
    <d v="2021-02-01T00:00:00"/>
    <d v="2024-10-31T00:00:00"/>
    <s v="3 Tahun 10 Bulan 18 Hari "/>
    <n v="1368"/>
    <n v="134"/>
    <n v="3"/>
    <n v="1306"/>
    <n v="435.33333333333331"/>
    <n v="592"/>
    <n v="1"/>
    <n v="5"/>
    <n v="1.3598774885145484"/>
    <n v="0.27197549770290969"/>
    <d v="1987-09-02T03:43:15"/>
    <d v="2024-08-10T11:02:00"/>
    <d v="2003-06-17T05:38:57"/>
    <n v="0"/>
    <n v="0"/>
    <n v="1"/>
    <n v="0.4"/>
    <n v="1"/>
    <n v="0.33333333333333331"/>
    <n v="8.3333333333333329E-2"/>
    <d v="1899-12-30T00:28:42"/>
    <n v="1.25"/>
    <n v="5"/>
    <n v="1"/>
    <n v="0.25"/>
    <n v="1"/>
    <n v="1"/>
    <n v="0"/>
    <n v="0"/>
    <n v="0"/>
    <n v="1"/>
    <n v="0"/>
    <n v="0"/>
    <n v="0.6"/>
    <n v="3"/>
    <n v="0.375"/>
    <n v="5.6249999999999994E-2"/>
    <n v="80"/>
    <n v="75"/>
    <n v="95"/>
    <n v="95"/>
    <n v="90"/>
    <n v="0.8"/>
    <n v="435"/>
    <n v="0.9885057471264368"/>
    <n v="0.19770114942528738"/>
    <n v="4.05"/>
    <n v="87"/>
    <n v="0.8592599804615304"/>
    <s v="Baik"/>
    <s v="Level Up"/>
    <x v="0"/>
  </r>
  <r>
    <n v="76"/>
    <s v="Muhammad Faris Akbar"/>
    <s v="IDH40100"/>
    <s v="Senior engineer"/>
    <s v="Samarinda"/>
    <s v="Region 3"/>
    <s v="GSS"/>
    <d v="2020-03-02T00:00:00"/>
    <d v="2024-10-31T00:00:00"/>
    <s v="4 Tahun 9 Bulan 17 Hari "/>
    <n v="1704"/>
    <n v="185"/>
    <n v="3"/>
    <n v="1462"/>
    <n v="487.33333333333331"/>
    <n v="489"/>
    <n v="1"/>
    <n v="5"/>
    <n v="1.0034199726402189"/>
    <n v="0.20068399452804378"/>
    <d v="1906-12-01T00:30:53"/>
    <d v="1899-12-30T00:00:54"/>
    <d v="1913-01-31T00:58:58"/>
    <n v="0"/>
    <n v="1"/>
    <n v="1"/>
    <n v="0.8"/>
    <n v="2"/>
    <n v="0.66666666666666663"/>
    <n v="0.16666666666666666"/>
    <d v="1899-12-30T01:10:04"/>
    <n v="1"/>
    <n v="4"/>
    <n v="0.8"/>
    <n v="0.2"/>
    <n v="1"/>
    <n v="1"/>
    <n v="1"/>
    <n v="0"/>
    <n v="1"/>
    <n v="1"/>
    <n v="0"/>
    <n v="0"/>
    <n v="1"/>
    <n v="5"/>
    <n v="0.625"/>
    <n v="9.375E-2"/>
    <n v="85"/>
    <n v="75"/>
    <n v="85"/>
    <n v="90"/>
    <n v="85"/>
    <n v="0.8"/>
    <n v="420"/>
    <n v="0.98809523809523814"/>
    <n v="0.19761904761904764"/>
    <n v="4.5999999999999996"/>
    <n v="84"/>
    <n v="0.85871970881375814"/>
    <s v="Baik"/>
    <s v="Stay"/>
    <x v="0"/>
  </r>
  <r>
    <n v="77"/>
    <s v="Bima Trihatandi"/>
    <s v="IDH30042"/>
    <s v="Associate engineer"/>
    <s v="Tangerang"/>
    <s v="Region 1"/>
    <s v="SIPRAMA"/>
    <d v="2023-11-01T00:00:00"/>
    <d v="2024-10-31T00:00:00"/>
    <s v="1 Tahun 1 Bulan 18 Hari "/>
    <n v="365"/>
    <n v="760"/>
    <n v="17"/>
    <n v="5863"/>
    <n v="344.88235294117646"/>
    <n v="499"/>
    <n v="1"/>
    <n v="5"/>
    <n v="1.446870202967764"/>
    <n v="0.28937404059355282"/>
    <d v="1904-05-26T00:42:47"/>
    <d v="1899-12-30T00:00:00"/>
    <d v="1899-12-30T00:00:00"/>
    <n v="1"/>
    <n v="0"/>
    <n v="0"/>
    <n v="0.4"/>
    <n v="1"/>
    <n v="0.33333333333333331"/>
    <n v="8.3333333333333329E-2"/>
    <d v="1899-12-30T00:30:57"/>
    <n v="1.25"/>
    <n v="5"/>
    <n v="1"/>
    <n v="0.25"/>
    <n v="1"/>
    <n v="1"/>
    <n v="0"/>
    <n v="0"/>
    <n v="0"/>
    <n v="0"/>
    <n v="0"/>
    <n v="0"/>
    <n v="0.4"/>
    <n v="2"/>
    <n v="0.25"/>
    <n v="3.7499999999999999E-2"/>
    <n v="75"/>
    <n v="75"/>
    <n v="90"/>
    <n v="85"/>
    <n v="80"/>
    <n v="0.8"/>
    <n v="405"/>
    <n v="0.98765432098765427"/>
    <n v="0.19753086419753085"/>
    <n v="3.8499999999999996"/>
    <n v="81"/>
    <n v="0.85773823812441696"/>
    <s v="Baik"/>
    <s v="Stay"/>
    <x v="2"/>
  </r>
  <r>
    <n v="78"/>
    <s v="Adi Sunandar"/>
    <s v="IDH80067"/>
    <s v="Associate engineer"/>
    <s v="Tasikmalaya"/>
    <s v="Region 2"/>
    <s v="IMPACT"/>
    <d v="2023-09-04T00:00:00"/>
    <d v="2024-10-31T00:00:00"/>
    <s v="1 Tahun 3 Bulan 15 Hari "/>
    <n v="423"/>
    <n v="313"/>
    <n v="6"/>
    <n v="2164"/>
    <n v="360.66666666666669"/>
    <n v="485"/>
    <n v="1"/>
    <n v="5"/>
    <n v="1.344731977818854"/>
    <n v="0.26894639556377081"/>
    <d v="1899-12-30T00:54:49"/>
    <d v="1906-09-25T13:53:32"/>
    <d v="1899-12-30T00:00:00"/>
    <n v="1"/>
    <n v="0"/>
    <n v="0"/>
    <n v="0.4"/>
    <n v="1"/>
    <n v="0.33333333333333331"/>
    <n v="8.3333333333333329E-2"/>
    <d v="1899-12-30T00:52:03"/>
    <n v="1.25"/>
    <n v="5"/>
    <n v="1"/>
    <n v="0.25"/>
    <n v="1"/>
    <n v="1"/>
    <n v="0"/>
    <n v="0"/>
    <n v="0"/>
    <n v="1"/>
    <n v="0"/>
    <n v="0"/>
    <n v="0.6"/>
    <n v="3"/>
    <n v="0.375"/>
    <n v="5.6249999999999994E-2"/>
    <n v="80"/>
    <n v="70"/>
    <n v="80"/>
    <n v="80"/>
    <n v="80"/>
    <n v="0.8"/>
    <n v="390"/>
    <n v="0.98717948717948723"/>
    <n v="0.19743589743589746"/>
    <n v="4.05"/>
    <n v="78"/>
    <n v="0.85596562633300155"/>
    <s v="Baik"/>
    <s v="Stay"/>
    <x v="2"/>
  </r>
  <r>
    <n v="79"/>
    <s v="Indi Galang Prakoso"/>
    <s v="IDH40014"/>
    <s v="Senior engineer"/>
    <s v="Surabaya"/>
    <s v="Region 2"/>
    <s v="GSS"/>
    <d v="2017-09-04T00:00:00"/>
    <d v="2024-10-31T00:00:00"/>
    <s v="7 Tahun 3 Bulan 15 Hari "/>
    <n v="2614"/>
    <n v="1384"/>
    <n v="22"/>
    <n v="6775"/>
    <n v="307.95454545454544"/>
    <n v="413"/>
    <n v="1"/>
    <n v="5"/>
    <n v="1.3411070110701109"/>
    <n v="0.26822140221402219"/>
    <d v="1904-08-25T05:36:55"/>
    <d v="1899-12-30T00:47:12"/>
    <d v="1899-12-30T00:00:00"/>
    <n v="0"/>
    <n v="1"/>
    <n v="0"/>
    <n v="0.4"/>
    <n v="1"/>
    <n v="0.33333333333333331"/>
    <n v="8.3333333333333329E-2"/>
    <d v="1899-12-30T00:45:38"/>
    <n v="1.25"/>
    <n v="5"/>
    <n v="1"/>
    <n v="0.25"/>
    <n v="1"/>
    <n v="1"/>
    <n v="1"/>
    <n v="0"/>
    <n v="0"/>
    <n v="0"/>
    <n v="0"/>
    <n v="0"/>
    <n v="0.6"/>
    <n v="3"/>
    <n v="0.375"/>
    <n v="5.6249999999999994E-2"/>
    <n v="75"/>
    <n v="65"/>
    <n v="75"/>
    <n v="75"/>
    <n v="80"/>
    <n v="0.8"/>
    <n v="370"/>
    <n v="0.98648648648648651"/>
    <n v="0.19729729729729731"/>
    <n v="4.05"/>
    <n v="74"/>
    <n v="0.8551020328446528"/>
    <s v="Baik"/>
    <s v="Stay"/>
    <x v="0"/>
  </r>
  <r>
    <n v="80"/>
    <s v="Taufiq Akbar"/>
    <s v="IDH80032"/>
    <s v="Associate engineer"/>
    <s v="Yogyakarta"/>
    <s v="Region 2"/>
    <s v="IMPACT"/>
    <d v="2023-02-09T00:00:00"/>
    <d v="2024-10-31T00:00:00"/>
    <s v="1 Tahun 10 Bulan 10 Hari "/>
    <n v="630"/>
    <n v="507"/>
    <n v="10"/>
    <n v="3304"/>
    <n v="330.4"/>
    <n v="304"/>
    <n v="0.8"/>
    <n v="4"/>
    <n v="0.92009685230024219"/>
    <n v="0.18401937046004846"/>
    <d v="1899-12-30T01:04:00"/>
    <d v="1899-12-30T01:52:28"/>
    <d v="1899-12-30T00:00:00"/>
    <n v="1"/>
    <n v="1"/>
    <n v="0"/>
    <n v="0.8"/>
    <n v="2"/>
    <n v="0.66666666666666663"/>
    <n v="0.16666666666666666"/>
    <d v="1899-12-30T00:45:07"/>
    <n v="1.25"/>
    <n v="5"/>
    <n v="1"/>
    <n v="0.25"/>
    <n v="1"/>
    <n v="1"/>
    <n v="1"/>
    <n v="0"/>
    <n v="0"/>
    <n v="0"/>
    <n v="0"/>
    <n v="0"/>
    <n v="0.6"/>
    <n v="3"/>
    <n v="0.375"/>
    <n v="5.6249999999999994E-2"/>
    <n v="75"/>
    <n v="75"/>
    <n v="90"/>
    <n v="85"/>
    <n v="90"/>
    <n v="0.8"/>
    <n v="415"/>
    <n v="0.98795180722891562"/>
    <n v="0.19759036144578312"/>
    <n v="4.25"/>
    <n v="83"/>
    <n v="0.85452639857249824"/>
    <s v="Baik"/>
    <s v="Level Up"/>
    <x v="1"/>
  </r>
  <r>
    <n v="81"/>
    <s v="Achmad Gildas Thauty"/>
    <s v="IDH90049"/>
    <s v="Associate engineer"/>
    <s v="Denpasar"/>
    <s v="Region 3"/>
    <s v="KINARYA"/>
    <d v="2023-11-01T00:00:00"/>
    <d v="2024-10-31T00:00:00"/>
    <s v="1 Tahun 1 Bulan 18 Hari "/>
    <n v="365"/>
    <n v="612"/>
    <n v="11"/>
    <n v="5254"/>
    <n v="477.63636363636363"/>
    <n v="509"/>
    <n v="1"/>
    <n v="5"/>
    <n v="1.0656642558051008"/>
    <n v="0.21313285116102018"/>
    <d v="1902-10-27T00:55:51"/>
    <d v="1899-12-30T02:44:00"/>
    <d v="1899-12-30T03:41:51"/>
    <n v="0"/>
    <n v="1"/>
    <n v="1"/>
    <n v="0.8"/>
    <n v="2"/>
    <n v="0.66666666666666663"/>
    <n v="0.16666666666666666"/>
    <d v="1899-12-30T01:06:26"/>
    <n v="1"/>
    <n v="4"/>
    <n v="0.8"/>
    <n v="0.2"/>
    <n v="1"/>
    <n v="1"/>
    <n v="1"/>
    <n v="0"/>
    <n v="0"/>
    <n v="1"/>
    <n v="0"/>
    <n v="0"/>
    <n v="0.8"/>
    <n v="4"/>
    <n v="0.5"/>
    <n v="7.4999999999999997E-2"/>
    <n v="75"/>
    <n v="75"/>
    <n v="85"/>
    <n v="90"/>
    <n v="85"/>
    <n v="0.8"/>
    <n v="410"/>
    <n v="0.98780487804878048"/>
    <n v="0.19756097560975611"/>
    <n v="4.3999999999999995"/>
    <n v="82"/>
    <n v="0.85236049343744291"/>
    <s v="Baik"/>
    <s v="Level Up"/>
    <x v="1"/>
  </r>
  <r>
    <n v="82"/>
    <s v="Muhammad Febri Prasetyo Utomo"/>
    <s v="IDH90007"/>
    <s v="Associate engineer"/>
    <s v="Surabaya"/>
    <s v="Region 2"/>
    <s v="GSS"/>
    <d v="2023-09-04T00:00:00"/>
    <d v="2024-10-31T00:00:00"/>
    <s v="1 Tahun 3 Bulan 15 Hari "/>
    <n v="423"/>
    <n v="1384"/>
    <n v="22"/>
    <n v="6775"/>
    <n v="307.95454545454544"/>
    <n v="279"/>
    <n v="0.8"/>
    <n v="4"/>
    <n v="0.90597785977859779"/>
    <n v="0.18119557195571956"/>
    <d v="1899-12-30T03:32:00"/>
    <d v="1899-12-30T00:34:41"/>
    <d v="1899-12-30T01:02:45"/>
    <n v="0"/>
    <n v="1"/>
    <n v="1"/>
    <n v="0.8"/>
    <n v="2"/>
    <n v="0.66666666666666663"/>
    <n v="0.16666666666666666"/>
    <d v="1899-12-30T00:39:13"/>
    <n v="1.25"/>
    <n v="5"/>
    <n v="1"/>
    <n v="0.25"/>
    <n v="1"/>
    <n v="1"/>
    <n v="1"/>
    <n v="0"/>
    <n v="0"/>
    <n v="0"/>
    <n v="0"/>
    <n v="0"/>
    <n v="0.6"/>
    <n v="3"/>
    <n v="0.375"/>
    <n v="5.6249999999999994E-2"/>
    <n v="75"/>
    <n v="70"/>
    <n v="80"/>
    <n v="80"/>
    <n v="80"/>
    <n v="0.8"/>
    <n v="385"/>
    <n v="0.98701298701298701"/>
    <n v="0.19740259740259741"/>
    <n v="4.25"/>
    <n v="77"/>
    <n v="0.85151483602498357"/>
    <s v="Baik"/>
    <s v="Stay"/>
    <x v="2"/>
  </r>
  <r>
    <n v="83"/>
    <s v="Ali Supriadi"/>
    <s v="IDH40072"/>
    <s v="Engineer"/>
    <s v="Bandung"/>
    <s v="Region 2"/>
    <s v="SIPRAMA"/>
    <d v="2019-06-11T00:00:00"/>
    <d v="2024-10-31T00:00:00"/>
    <s v="5 Tahun 6 Bulan 8 Hari "/>
    <n v="1969"/>
    <n v="872"/>
    <n v="15"/>
    <n v="5975"/>
    <n v="398.33333333333331"/>
    <n v="449"/>
    <n v="1"/>
    <n v="5"/>
    <n v="1.1271966527196653"/>
    <n v="0.22543933054393306"/>
    <d v="1943-10-22T19:46:35"/>
    <d v="1899-12-30T00:40:24"/>
    <d v="1899-12-30T00:00:00"/>
    <n v="0"/>
    <n v="1"/>
    <n v="0"/>
    <n v="0.4"/>
    <n v="1"/>
    <n v="0.33333333333333331"/>
    <n v="8.3333333333333329E-2"/>
    <d v="1899-12-30T00:52:15"/>
    <n v="1.25"/>
    <n v="5"/>
    <n v="1"/>
    <n v="0.25"/>
    <n v="1"/>
    <n v="1"/>
    <n v="1"/>
    <n v="0"/>
    <n v="1"/>
    <n v="1"/>
    <n v="0"/>
    <n v="0"/>
    <n v="1"/>
    <n v="5"/>
    <n v="0.625"/>
    <n v="9.375E-2"/>
    <n v="80"/>
    <n v="80"/>
    <n v="85"/>
    <n v="85"/>
    <n v="80"/>
    <n v="0.8"/>
    <n v="410"/>
    <n v="0.98780487804878048"/>
    <n v="0.19756097560975611"/>
    <n v="4.45"/>
    <n v="82"/>
    <n v="0.85008363948702237"/>
    <s v="Baik"/>
    <s v="Stay"/>
    <x v="1"/>
  </r>
  <r>
    <n v="84"/>
    <s v="Agung Sugianto"/>
    <s v="IDH20040"/>
    <s v="Engineer"/>
    <s v="Surabaya"/>
    <s v="Region 2"/>
    <s v="GSS"/>
    <d v="2019-01-07T00:00:00"/>
    <d v="2024-10-31T00:00:00"/>
    <s v="5 Tahun 11 Bulan 12 Hari "/>
    <n v="2124"/>
    <n v="1384"/>
    <n v="22"/>
    <n v="6775"/>
    <n v="307.95454545454544"/>
    <n v="453"/>
    <n v="1"/>
    <n v="5"/>
    <n v="1.4709963099630996"/>
    <n v="0.29419926199261992"/>
    <d v="1908-04-15T21:03:16"/>
    <d v="1899-12-30T01:50:45"/>
    <d v="1899-12-30T00:00:00"/>
    <n v="0"/>
    <n v="1"/>
    <n v="0"/>
    <n v="0.4"/>
    <n v="1"/>
    <n v="0.33333333333333331"/>
    <n v="8.3333333333333329E-2"/>
    <d v="1899-12-30T01:35:01"/>
    <n v="1"/>
    <n v="4"/>
    <n v="0.8"/>
    <n v="0.2"/>
    <n v="1"/>
    <n v="1"/>
    <n v="1"/>
    <n v="1"/>
    <n v="0"/>
    <n v="0"/>
    <n v="0"/>
    <n v="0"/>
    <n v="0.8"/>
    <n v="4"/>
    <n v="0.5"/>
    <n v="7.4999999999999997E-2"/>
    <n v="75"/>
    <n v="70"/>
    <n v="80"/>
    <n v="80"/>
    <n v="80"/>
    <n v="0.8"/>
    <n v="385"/>
    <n v="0.98701298701298701"/>
    <n v="0.19740259740259741"/>
    <n v="4"/>
    <n v="77"/>
    <n v="0.84993519272855056"/>
    <s v="Baik"/>
    <s v="Level Up"/>
    <x v="0"/>
  </r>
  <r>
    <n v="85"/>
    <s v="Hilarion Basriandi"/>
    <s v="IDH70062"/>
    <s v="Engineer"/>
    <s v="Kupang"/>
    <s v="Region 1"/>
    <s v="SIPRAMA"/>
    <d v="2022-11-17T00:00:00"/>
    <d v="2024-10-31T00:00:00"/>
    <s v="2 Tahun 1 Bulan 2 Hari "/>
    <n v="714"/>
    <n v="116"/>
    <n v="3"/>
    <n v="683"/>
    <n v="227.66666666666666"/>
    <n v="260"/>
    <n v="1"/>
    <n v="5"/>
    <n v="1.1420204978038069"/>
    <n v="0.22840409956076138"/>
    <d v="1899-12-30T01:20:00"/>
    <d v="1899-12-30T00:00:00"/>
    <d v="1953-05-25T14:58:11"/>
    <n v="1"/>
    <n v="0"/>
    <n v="1"/>
    <n v="0.8"/>
    <n v="2"/>
    <n v="0.66666666666666663"/>
    <n v="0.16666666666666666"/>
    <d v="1899-12-30T01:47:41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90"/>
    <n v="90"/>
    <n v="80"/>
    <n v="0.8"/>
    <n v="410"/>
    <n v="0.98780487804878048"/>
    <n v="0.19756097560975611"/>
    <n v="4.2"/>
    <n v="82"/>
    <n v="0.84888174183718412"/>
    <s v="Baik"/>
    <s v="Level Up"/>
    <x v="0"/>
  </r>
  <r>
    <n v="86"/>
    <s v="Reski Afdhila"/>
    <s v="IDH40125"/>
    <s v="Engineer"/>
    <s v="Pekanbaru"/>
    <s v="Region 3"/>
    <s v="IMPACT"/>
    <d v="2021-04-05T00:00:00"/>
    <d v="2024-10-31T00:00:00"/>
    <s v="3 Tahun 8 Bulan 14 Hari "/>
    <n v="1305"/>
    <n v="401"/>
    <n v="7"/>
    <n v="2754"/>
    <n v="393.42857142857144"/>
    <n v="573"/>
    <n v="1"/>
    <n v="5"/>
    <n v="1.4564270152505445"/>
    <n v="0.29128540305010892"/>
    <d v="1911-07-07T15:17:32"/>
    <d v="1909-08-04T14:56:22"/>
    <d v="1914-09-02T00:41:27"/>
    <n v="0"/>
    <n v="0"/>
    <n v="1"/>
    <n v="0.4"/>
    <n v="1"/>
    <n v="0.33333333333333331"/>
    <n v="8.3333333333333329E-2"/>
    <d v="1899-12-30T01:00:28"/>
    <n v="1"/>
    <n v="4"/>
    <n v="0.8"/>
    <n v="0.2"/>
    <n v="1"/>
    <n v="1"/>
    <n v="1"/>
    <n v="0"/>
    <n v="1"/>
    <n v="0"/>
    <n v="0"/>
    <n v="0"/>
    <n v="0.8"/>
    <n v="4"/>
    <n v="0.5"/>
    <n v="7.4999999999999997E-2"/>
    <n v="80"/>
    <n v="75"/>
    <n v="85"/>
    <n v="85"/>
    <n v="80"/>
    <n v="0.8"/>
    <n v="405"/>
    <n v="0.98765432098765427"/>
    <n v="0.19753086419753085"/>
    <n v="4"/>
    <n v="81"/>
    <n v="0.84714960058097311"/>
    <s v="Baik"/>
    <s v="Stay"/>
    <x v="1"/>
  </r>
  <r>
    <n v="87"/>
    <s v="Noval Wira Yudha"/>
    <s v="IDH70013"/>
    <s v="Engineer"/>
    <s v="Serang"/>
    <s v="Region 1"/>
    <s v="SIPRAMA"/>
    <d v="2022-08-22T00:00:00"/>
    <d v="2024-10-31T00:00:00"/>
    <s v="2 Tahun 3 Bulan 27 Hari "/>
    <n v="801"/>
    <n v="218"/>
    <n v="4"/>
    <n v="1692"/>
    <n v="423"/>
    <n v="478"/>
    <n v="1"/>
    <n v="5"/>
    <n v="1.1300236406619386"/>
    <n v="0.22600472813238773"/>
    <d v="1922-07-03T11:47:07"/>
    <d v="1899-12-30T02:47:10"/>
    <d v="1899-12-30T05:12:21"/>
    <n v="0"/>
    <n v="1"/>
    <n v="1"/>
    <n v="0.8"/>
    <n v="2"/>
    <n v="0.66666666666666663"/>
    <n v="0.16666666666666666"/>
    <d v="1899-12-30T01:09:31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80"/>
    <n v="85"/>
    <n v="90"/>
    <n v="90"/>
    <n v="85"/>
    <n v="0.8"/>
    <n v="430"/>
    <n v="0.98837209302325579"/>
    <n v="0.19767441860465118"/>
    <n v="4.2"/>
    <n v="86"/>
    <n v="0.8465958134037056"/>
    <s v="Baik"/>
    <s v="Stay"/>
    <x v="1"/>
  </r>
  <r>
    <n v="88"/>
    <s v="Angga Meisa Maulana"/>
    <s v="IDH80026"/>
    <s v="Associate engineer"/>
    <s v="Bandung"/>
    <s v="Region 2"/>
    <s v="IMPACT"/>
    <d v="2021-11-02T00:00:00"/>
    <d v="2024-10-31T00:00:00"/>
    <s v="3 Tahun 1 Bulan 17 Hari "/>
    <n v="1094"/>
    <n v="872"/>
    <n v="15"/>
    <n v="5975"/>
    <n v="398.33333333333331"/>
    <n v="449"/>
    <n v="1"/>
    <n v="5"/>
    <n v="1.1271966527196653"/>
    <n v="0.22543933054393306"/>
    <d v="1899-12-30T01:26:00"/>
    <d v="2024-06-01T20:19:37"/>
    <d v="2024-04-28T14:10:21"/>
    <n v="1"/>
    <n v="0"/>
    <n v="1"/>
    <n v="0.8"/>
    <n v="2"/>
    <n v="0.66666666666666663"/>
    <n v="0.16666666666666666"/>
    <d v="1899-12-30T01:29:26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90"/>
    <n v="90"/>
    <n v="90"/>
    <n v="0.8"/>
    <n v="420"/>
    <n v="0.98809523809523814"/>
    <n v="0.19761904761904764"/>
    <n v="4.2"/>
    <n v="84"/>
    <n v="0.84597504482964747"/>
    <s v="Baik"/>
    <s v="Level Up"/>
    <x v="1"/>
  </r>
  <r>
    <n v="89"/>
    <s v="Mualim Rohman"/>
    <s v="IDH70033"/>
    <s v="Associate engineer"/>
    <s v="Balikpapan"/>
    <s v="Region 3"/>
    <s v="SIPRAMA"/>
    <d v="2022-10-17T00:00:00"/>
    <d v="2024-10-31T00:00:00"/>
    <s v="2 Tahun 2 Bulan 2 Hari "/>
    <n v="745"/>
    <n v="153"/>
    <n v="3"/>
    <n v="1244"/>
    <n v="414.66666666666669"/>
    <n v="427"/>
    <n v="1"/>
    <n v="5"/>
    <n v="1.0297427652733118"/>
    <n v="0.20594855305466236"/>
    <d v="1907-12-10T15:13:57"/>
    <d v="1899-12-30T00:16:13"/>
    <d v="1931-01-15T02:34:36"/>
    <n v="0"/>
    <n v="1"/>
    <n v="1"/>
    <n v="0.8"/>
    <n v="2"/>
    <n v="0.66666666666666663"/>
    <n v="0.16666666666666666"/>
    <d v="1899-12-30T01:49:24"/>
    <n v="1"/>
    <n v="4"/>
    <n v="0.8"/>
    <n v="0.2"/>
    <n v="1"/>
    <n v="1"/>
    <n v="1"/>
    <n v="0"/>
    <n v="0"/>
    <n v="1"/>
    <n v="0"/>
    <n v="0"/>
    <n v="0.8"/>
    <n v="4"/>
    <n v="0.5"/>
    <n v="7.4999999999999997E-2"/>
    <n v="70"/>
    <n v="75"/>
    <n v="75"/>
    <n v="90"/>
    <n v="90"/>
    <n v="0.8"/>
    <n v="400"/>
    <n v="0.98750000000000004"/>
    <n v="0.19750000000000001"/>
    <n v="4.3999999999999995"/>
    <n v="80"/>
    <n v="0.84511521972132897"/>
    <s v="Baik"/>
    <s v="Level Up"/>
    <x v="1"/>
  </r>
  <r>
    <n v="90"/>
    <s v="Daniel George"/>
    <s v="IDH40003"/>
    <s v="Senior engineer"/>
    <s v="Pontianak"/>
    <s v="Region 3"/>
    <s v="IMPACT"/>
    <d v="2017-01-16T00:00:00"/>
    <d v="2024-10-31T00:00:00"/>
    <s v="7 Tahun 11 Bulan 3 Hari "/>
    <n v="2845"/>
    <n v="221"/>
    <n v="4"/>
    <n v="1669"/>
    <n v="417.25"/>
    <n v="453"/>
    <n v="1"/>
    <n v="5"/>
    <n v="1.0856800479328939"/>
    <n v="0.21713600958657878"/>
    <d v="1934-05-18T21:19:17"/>
    <d v="2024-05-22T14:59:39"/>
    <d v="2011-03-18T21:58:21"/>
    <n v="0"/>
    <n v="0"/>
    <n v="1"/>
    <n v="0.75"/>
    <n v="1"/>
    <n v="0.33333333333333331"/>
    <n v="8.3333333333333329E-2"/>
    <d v="1899-12-30T00:50:30"/>
    <n v="1.25"/>
    <n v="5"/>
    <n v="1"/>
    <n v="0.25"/>
    <n v="1"/>
    <n v="1"/>
    <n v="1"/>
    <n v="0"/>
    <n v="0"/>
    <n v="1"/>
    <n v="0"/>
    <n v="1"/>
    <n v="1"/>
    <n v="5"/>
    <n v="0.625"/>
    <n v="9.375E-2"/>
    <n v="65"/>
    <n v="65"/>
    <n v="85"/>
    <n v="80"/>
    <n v="80"/>
    <n v="0.8"/>
    <n v="375"/>
    <n v="0.98666666666666669"/>
    <n v="0.19733333333333336"/>
    <n v="4.8"/>
    <n v="75"/>
    <n v="0.84155267625324548"/>
    <s v="Baik"/>
    <s v="Stay"/>
    <x v="0"/>
  </r>
  <r>
    <n v="91"/>
    <s v="Khairul Annuar"/>
    <s v="IDH40073"/>
    <s v="Engineer"/>
    <s v="Jakarta 3"/>
    <s v="Region 1"/>
    <s v="SIPRAMA"/>
    <d v="2019-06-11T00:00:00"/>
    <d v="2024-10-31T00:00:00"/>
    <s v="5 Tahun 6 Bulan 8 Hari "/>
    <n v="1969"/>
    <n v="1040"/>
    <n v="17"/>
    <n v="7455"/>
    <n v="438.52941176470586"/>
    <n v="434"/>
    <n v="0.8"/>
    <n v="4"/>
    <n v="0.98967136150234747"/>
    <n v="0.1979342723004695"/>
    <d v="1899-12-30T01:26:00"/>
    <d v="1899-12-30T00:00:00"/>
    <d v="1899-12-30T00:00:00"/>
    <n v="1"/>
    <n v="0"/>
    <n v="0"/>
    <n v="0.4"/>
    <n v="1"/>
    <n v="0.33333333333333331"/>
    <n v="8.3333333333333329E-2"/>
    <d v="1899-12-30T00:42:48"/>
    <n v="1.25"/>
    <n v="5"/>
    <n v="1"/>
    <n v="0.25"/>
    <n v="1"/>
    <n v="1"/>
    <n v="1"/>
    <n v="1"/>
    <n v="0"/>
    <n v="1"/>
    <n v="0"/>
    <n v="1"/>
    <n v="1"/>
    <n v="6"/>
    <n v="0.75"/>
    <n v="0.11249999999999999"/>
    <n v="75"/>
    <n v="75"/>
    <n v="90"/>
    <n v="90"/>
    <n v="85"/>
    <n v="0.8"/>
    <n v="415"/>
    <n v="0.98795180722891562"/>
    <n v="0.19759036144578312"/>
    <n v="4.25"/>
    <n v="83"/>
    <n v="0.84135796707958599"/>
    <s v="Baik"/>
    <s v="Level Up"/>
    <x v="0"/>
  </r>
  <r>
    <n v="92"/>
    <s v="Nanang Nasrullah"/>
    <s v="IDH80085"/>
    <s v="Associate engineer"/>
    <s v="Pekalongan"/>
    <s v="Region 2"/>
    <s v="IMPACT"/>
    <d v="2023-09-04T00:00:00"/>
    <d v="2024-10-31T00:00:00"/>
    <s v="1 Tahun 3 Bulan 15 Hari "/>
    <n v="423"/>
    <n v="98"/>
    <n v="1"/>
    <n v="454"/>
    <n v="454"/>
    <n v="614"/>
    <n v="1"/>
    <n v="5"/>
    <n v="1.3524229074889869"/>
    <n v="0.27048458149779736"/>
    <d v="1899-12-30T01:12:00"/>
    <d v="1933-03-13T02:15:27"/>
    <d v="1899-12-30T00:09:55"/>
    <n v="1"/>
    <n v="0"/>
    <n v="1"/>
    <n v="0.8"/>
    <n v="2"/>
    <n v="0.66666666666666663"/>
    <n v="0.16666666666666666"/>
    <d v="1899-12-30T02:02:56"/>
    <n v="0.75"/>
    <n v="3"/>
    <n v="0.6"/>
    <n v="0.15"/>
    <n v="1"/>
    <n v="1"/>
    <n v="1"/>
    <n v="0"/>
    <n v="0"/>
    <n v="0"/>
    <n v="0"/>
    <n v="0"/>
    <n v="0.6"/>
    <n v="3"/>
    <n v="0.375"/>
    <n v="5.6249999999999994E-2"/>
    <n v="75"/>
    <n v="75"/>
    <n v="90"/>
    <n v="90"/>
    <n v="90"/>
    <n v="0.8"/>
    <n v="420"/>
    <n v="0.98809523809523814"/>
    <n v="0.19761904761904764"/>
    <n v="3.95"/>
    <n v="84"/>
    <n v="0.84102029578351178"/>
    <s v="Baik"/>
    <s v="Level Up"/>
    <x v="1"/>
  </r>
  <r>
    <n v="93"/>
    <s v="Muhammad Fikri Sudarso"/>
    <s v="IDH80024"/>
    <s v="Associate engineer"/>
    <s v="Banjarmasin"/>
    <s v="Region 3"/>
    <s v="IMPACT"/>
    <d v="2023-02-09T00:00:00"/>
    <d v="2024-10-31T00:00:00"/>
    <s v="1 Tahun 10 Bulan 10 Hari "/>
    <n v="630"/>
    <n v="295"/>
    <n v="5"/>
    <n v="2105"/>
    <n v="421"/>
    <n v="464"/>
    <n v="1"/>
    <n v="5"/>
    <n v="1.1021377672209025"/>
    <n v="0.22042755344418052"/>
    <d v="1908-01-09T14:34:59"/>
    <d v="1899-12-30T00:25:15"/>
    <d v="1908-11-23T10:50:41"/>
    <n v="0"/>
    <n v="1"/>
    <n v="1"/>
    <n v="0.8"/>
    <n v="2"/>
    <n v="0.66666666666666663"/>
    <n v="0.16666666666666666"/>
    <d v="1899-12-30T01:50:27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80"/>
    <n v="80"/>
    <n v="80"/>
    <n v="80"/>
    <n v="0.8"/>
    <n v="395"/>
    <n v="0.98734177215189878"/>
    <n v="0.19746835443037977"/>
    <n v="4.2"/>
    <n v="79"/>
    <n v="0.84081257454122693"/>
    <s v="Baik"/>
    <s v="Stay"/>
    <x v="2"/>
  </r>
  <r>
    <n v="94"/>
    <s v="Bima Wahyu Raebawa"/>
    <s v="IDH80034"/>
    <s v="Associate engineer"/>
    <s v="Kediri"/>
    <s v="Region 2"/>
    <s v="IMPACT"/>
    <d v="2023-02-09T00:00:00"/>
    <d v="2024-10-31T00:00:00"/>
    <s v="1 Tahun 10 Bulan 10 Hari "/>
    <n v="630"/>
    <n v="358"/>
    <n v="7"/>
    <n v="2648"/>
    <n v="378.28571428571428"/>
    <n v="381"/>
    <n v="1"/>
    <n v="5"/>
    <n v="1.0071752265861027"/>
    <n v="0.20143504531722056"/>
    <d v="1914-08-20T22:13:58"/>
    <d v="1899-12-30T01:34:46"/>
    <d v="1899-12-30T01:46:20"/>
    <n v="0"/>
    <n v="1"/>
    <n v="1"/>
    <n v="0.8"/>
    <n v="2"/>
    <n v="0.66666666666666663"/>
    <n v="0.16666666666666666"/>
    <d v="1899-12-30T01:25:40"/>
    <n v="1"/>
    <n v="4"/>
    <n v="0.8"/>
    <n v="0.2"/>
    <n v="1"/>
    <n v="1"/>
    <n v="0"/>
    <n v="0"/>
    <n v="0"/>
    <n v="1"/>
    <n v="0"/>
    <n v="1"/>
    <n v="0.8"/>
    <n v="4"/>
    <n v="0.5"/>
    <n v="7.4999999999999997E-2"/>
    <n v="75"/>
    <n v="70"/>
    <n v="80"/>
    <n v="80"/>
    <n v="80"/>
    <n v="0.8"/>
    <n v="385"/>
    <n v="0.98701298701298701"/>
    <n v="0.19740259740259741"/>
    <n v="4.3999999999999995"/>
    <n v="77"/>
    <n v="0.84050430938648457"/>
    <s v="Baik"/>
    <s v="Stay"/>
    <x v="2"/>
  </r>
  <r>
    <n v="95"/>
    <s v="Fernando Bastanta Ginting"/>
    <s v="IDH80053"/>
    <s v="Associate engineer"/>
    <s v="Medan"/>
    <s v="Region 3"/>
    <s v="IMPACT"/>
    <d v="2023-05-29T00:00:00"/>
    <d v="2024-10-31T00:00:00"/>
    <s v="1 Tahun 6 Bulan 20 Hari "/>
    <n v="521"/>
    <n v="684"/>
    <n v="10"/>
    <n v="4972"/>
    <n v="497.2"/>
    <n v="543"/>
    <n v="1"/>
    <n v="5"/>
    <n v="1.0921158487530169"/>
    <n v="0.21842316975060339"/>
    <d v="1899-12-30T01:15:00"/>
    <d v="1899-12-30T01:33:00"/>
    <d v="1899-12-30T00:00:00"/>
    <n v="1"/>
    <n v="1"/>
    <n v="0"/>
    <n v="0.8"/>
    <n v="2"/>
    <n v="0.66666666666666663"/>
    <n v="0.16666666666666666"/>
    <d v="1899-12-30T01:08:01"/>
    <n v="1"/>
    <n v="4"/>
    <n v="0.8"/>
    <n v="0.2"/>
    <n v="1"/>
    <n v="1"/>
    <n v="0"/>
    <n v="0"/>
    <n v="0"/>
    <n v="1"/>
    <n v="0"/>
    <n v="0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4.2"/>
    <n v="78"/>
    <n v="0.83877573385316762"/>
    <s v="Baik"/>
    <s v="Level Up"/>
    <x v="1"/>
  </r>
  <r>
    <n v="96"/>
    <s v="Yudha Aryadi Zuhal"/>
    <s v="IDH80090"/>
    <s v="Associate engineer"/>
    <s v="Denpasar"/>
    <s v="Region 3"/>
    <s v="IMPACT"/>
    <d v="2023-09-04T00:00:00"/>
    <d v="2024-10-31T00:00:00"/>
    <s v="1 Tahun 3 Bulan 15 Hari "/>
    <n v="423"/>
    <n v="612"/>
    <n v="11"/>
    <n v="5254"/>
    <n v="477.63636363636363"/>
    <n v="429"/>
    <n v="0.8"/>
    <n v="4"/>
    <n v="0.89817282070803195"/>
    <n v="0.17963456414160639"/>
    <d v="1900-12-20T02:50:44"/>
    <d v="1899-12-30T00:06:29"/>
    <d v="1899-12-30T00:07:44"/>
    <n v="0"/>
    <n v="1"/>
    <n v="1"/>
    <n v="0.8"/>
    <n v="2"/>
    <n v="0.66666666666666663"/>
    <n v="0.16666666666666666"/>
    <d v="1899-12-30T01:12:01"/>
    <n v="1"/>
    <n v="4"/>
    <n v="0.8"/>
    <n v="0.2"/>
    <n v="1"/>
    <n v="1"/>
    <n v="1"/>
    <n v="1"/>
    <n v="0"/>
    <n v="0"/>
    <n v="0"/>
    <n v="1"/>
    <n v="1"/>
    <n v="5"/>
    <n v="0.625"/>
    <n v="9.375E-2"/>
    <n v="75"/>
    <n v="65"/>
    <n v="80"/>
    <n v="90"/>
    <n v="80"/>
    <n v="0.8"/>
    <n v="390"/>
    <n v="0.98717948717948723"/>
    <n v="0.19743589743589746"/>
    <n v="4.4000000000000004"/>
    <n v="78"/>
    <n v="0.83748712824417049"/>
    <s v="Baik"/>
    <s v="Level Up"/>
    <x v="1"/>
  </r>
  <r>
    <n v="97"/>
    <s v="Muhammad Afrizal"/>
    <s v="IDH40066"/>
    <s v="Senior engineer"/>
    <s v="Jambi"/>
    <s v="Region 3"/>
    <s v="IMPACT"/>
    <d v="2019-02-18T00:00:00"/>
    <d v="2024-10-31T00:00:00"/>
    <s v="5 Tahun 10 Bulan 1 Hari "/>
    <n v="2082"/>
    <n v="159"/>
    <n v="3"/>
    <n v="1272"/>
    <n v="424"/>
    <n v="378"/>
    <n v="0.8"/>
    <n v="4"/>
    <n v="0.89150943396226412"/>
    <n v="0.17830188679245285"/>
    <d v="1908-11-24T00:51:20"/>
    <d v="1899-12-30T01:50:22"/>
    <d v="1899-12-30T03:21:29"/>
    <n v="0"/>
    <n v="1"/>
    <n v="1"/>
    <n v="0.8"/>
    <n v="2"/>
    <n v="0.66666666666666663"/>
    <n v="0.16666666666666666"/>
    <d v="1899-12-30T01:17:30"/>
    <n v="1"/>
    <n v="4"/>
    <n v="0.8"/>
    <n v="0.2"/>
    <n v="1"/>
    <n v="1"/>
    <n v="1"/>
    <n v="0"/>
    <n v="0"/>
    <n v="1"/>
    <n v="0"/>
    <n v="1"/>
    <n v="1"/>
    <n v="5"/>
    <n v="0.625"/>
    <n v="9.375E-2"/>
    <n v="75"/>
    <n v="70"/>
    <n v="80"/>
    <n v="80"/>
    <n v="80"/>
    <n v="0.8"/>
    <n v="385"/>
    <n v="0.98701298701298701"/>
    <n v="0.19740259740259741"/>
    <n v="4.4000000000000004"/>
    <n v="77"/>
    <n v="0.83612115086171701"/>
    <s v="Baik"/>
    <s v="Stay"/>
    <x v="0"/>
  </r>
  <r>
    <n v="98"/>
    <s v="Muhammad Ganda Sriwitjayanto"/>
    <s v="IDH40011"/>
    <s v="Senior engineer"/>
    <s v="Makassar"/>
    <s v="Region 3"/>
    <s v="IMPACT"/>
    <d v="2017-09-04T00:00:00"/>
    <d v="2024-10-31T00:00:00"/>
    <s v="7 Tahun 3 Bulan 15 Hari "/>
    <n v="2614"/>
    <n v="448"/>
    <n v="7"/>
    <n v="2614"/>
    <n v="373.42857142857144"/>
    <n v="391"/>
    <n v="1"/>
    <n v="5"/>
    <n v="1.047054322876817"/>
    <n v="0.2094108645753634"/>
    <d v="1921-04-27T05:34:07"/>
    <d v="1899-12-30T01:07:23"/>
    <d v="1899-12-30T00:00:00"/>
    <n v="0"/>
    <n v="1"/>
    <n v="0"/>
    <n v="0.4"/>
    <n v="1"/>
    <n v="0.33333333333333331"/>
    <n v="8.3333333333333329E-2"/>
    <d v="1899-12-30T00:33:40"/>
    <n v="1.25"/>
    <n v="5"/>
    <n v="1"/>
    <n v="0.25"/>
    <n v="1"/>
    <n v="1"/>
    <n v="1"/>
    <n v="1"/>
    <n v="1"/>
    <n v="0"/>
    <n v="0"/>
    <n v="0"/>
    <n v="1"/>
    <n v="5"/>
    <n v="0.625"/>
    <n v="9.375E-2"/>
    <n v="80"/>
    <n v="85"/>
    <n v="90"/>
    <n v="90"/>
    <n v="90"/>
    <n v="0.8"/>
    <n v="435"/>
    <n v="0.9885057471264368"/>
    <n v="0.19770114942528738"/>
    <n v="4.45"/>
    <n v="87"/>
    <n v="0.83419534733398404"/>
    <s v="Baik"/>
    <s v="Stay"/>
    <x v="0"/>
  </r>
  <r>
    <n v="99"/>
    <s v="Deril Juliarto"/>
    <s v="IDH60033"/>
    <s v="Engineer"/>
    <s v="Manado"/>
    <s v="Region 3"/>
    <s v="CITIUS"/>
    <d v="2021-11-02T00:00:00"/>
    <d v="2024-10-31T00:00:00"/>
    <s v="3 Tahun 1 Bulan 17 Hari "/>
    <n v="1094"/>
    <n v="156"/>
    <n v="4"/>
    <n v="1290"/>
    <n v="322.5"/>
    <n v="398"/>
    <n v="1"/>
    <n v="5"/>
    <n v="1.2341085271317829"/>
    <n v="0.24682170542635659"/>
    <d v="1921-01-15T03:29:03"/>
    <d v="1899-12-30T00:00:00"/>
    <d v="1923-05-05T18:13:20"/>
    <n v="0"/>
    <n v="0"/>
    <n v="1"/>
    <n v="0.75"/>
    <n v="1"/>
    <n v="0.33333333333333331"/>
    <n v="8.3333333333333329E-2"/>
    <d v="1899-12-30T00:57:20"/>
    <n v="1.25"/>
    <n v="5"/>
    <n v="1"/>
    <n v="0.25"/>
    <n v="1"/>
    <n v="1"/>
    <n v="1"/>
    <n v="0"/>
    <n v="0"/>
    <n v="0"/>
    <n v="0"/>
    <n v="0"/>
    <n v="0.6"/>
    <n v="3"/>
    <n v="0.375"/>
    <n v="5.6249999999999994E-2"/>
    <n v="80"/>
    <n v="75"/>
    <n v="85"/>
    <n v="90"/>
    <n v="85"/>
    <n v="0.8"/>
    <n v="415"/>
    <n v="0.98795180722891562"/>
    <n v="0.19759036144578312"/>
    <n v="4.4000000000000004"/>
    <n v="83"/>
    <n v="0.83399540020547303"/>
    <s v="Baik"/>
    <s v="Stay"/>
    <x v="1"/>
  </r>
  <r>
    <n v="100"/>
    <s v="Suhardi"/>
    <s v="IDH70015"/>
    <s v="Associate engineer"/>
    <s v="Pekanbaru"/>
    <s v="Region 3"/>
    <s v="SIPRAMA"/>
    <d v="2021-04-05T00:00:00"/>
    <d v="2024-10-31T00:00:00"/>
    <s v="3 Tahun 8 Bulan 14 Hari "/>
    <n v="1305"/>
    <n v="401"/>
    <n v="7"/>
    <n v="2754"/>
    <n v="393.42857142857144"/>
    <n v="372"/>
    <n v="0.8"/>
    <n v="4"/>
    <n v="0.94553376906318076"/>
    <n v="0.18910675381263617"/>
    <d v="1938-04-17T05:20:20"/>
    <d v="1946-10-14T16:05:57"/>
    <d v="1899-12-30T00:37:34"/>
    <n v="0"/>
    <n v="0"/>
    <n v="1"/>
    <n v="0.4"/>
    <n v="1"/>
    <n v="0.33333333333333331"/>
    <n v="8.3333333333333329E-2"/>
    <d v="1899-12-30T00:54:18"/>
    <n v="1.25"/>
    <n v="5"/>
    <n v="1"/>
    <n v="0.25"/>
    <n v="1"/>
    <n v="1"/>
    <n v="1"/>
    <n v="0"/>
    <n v="1"/>
    <n v="1"/>
    <n v="0"/>
    <n v="1"/>
    <n v="1"/>
    <n v="6"/>
    <n v="0.75"/>
    <n v="0.11249999999999999"/>
    <n v="80"/>
    <n v="75"/>
    <n v="80"/>
    <n v="75"/>
    <n v="80"/>
    <n v="0.8"/>
    <n v="390"/>
    <n v="0.98717948717948723"/>
    <n v="0.19743589743589746"/>
    <n v="4.25"/>
    <n v="78"/>
    <n v="0.83237598458186701"/>
    <s v="Baik"/>
    <s v="Stay"/>
    <x v="2"/>
  </r>
  <r>
    <n v="101"/>
    <s v="Muhammad Farhan Maskur"/>
    <s v="IDH80133"/>
    <s v="Associate engineer"/>
    <s v="Palopo"/>
    <s v="Region 3"/>
    <s v="IMPACT"/>
    <d v="2024-02-01T00:00:00"/>
    <d v="2024-10-31T00:00:00"/>
    <s v="0 Tahun 10 Bulan 18 Hari "/>
    <n v="273"/>
    <n v="64"/>
    <n v="2"/>
    <n v="500"/>
    <n v="250"/>
    <n v="241"/>
    <n v="0.8"/>
    <n v="4"/>
    <n v="0.96399999999999997"/>
    <n v="0.1928"/>
    <d v="1917-10-13T12:50:07"/>
    <d v="1899-12-30T02:58:18"/>
    <d v="1956-07-26T16:55:17"/>
    <n v="0"/>
    <n v="1"/>
    <n v="1"/>
    <n v="0.8"/>
    <n v="2"/>
    <n v="0.66666666666666663"/>
    <n v="0.16666666666666666"/>
    <d v="1899-12-30T01:18:11"/>
    <n v="1"/>
    <n v="4"/>
    <n v="0.8"/>
    <n v="0.2"/>
    <n v="1"/>
    <n v="1"/>
    <n v="1"/>
    <n v="0"/>
    <n v="0"/>
    <n v="1"/>
    <n v="0"/>
    <n v="0"/>
    <n v="0.8"/>
    <n v="4"/>
    <n v="0.5"/>
    <n v="7.4999999999999997E-2"/>
    <n v="75"/>
    <n v="70"/>
    <n v="85"/>
    <n v="85"/>
    <n v="85"/>
    <n v="0.8"/>
    <n v="400"/>
    <n v="0.98750000000000004"/>
    <n v="0.19750000000000001"/>
    <n v="4.2"/>
    <n v="80"/>
    <n v="0.83196666666666663"/>
    <s v="New CE"/>
    <s v="Stay"/>
    <x v="2"/>
  </r>
  <r>
    <n v="102"/>
    <s v="Abdul Arif Manoppo"/>
    <s v="IDH90056"/>
    <s v="Associate engineer"/>
    <s v="Gorontalo"/>
    <s v="Region 3"/>
    <s v="KINARYA"/>
    <d v="2024-01-15T00:00:00"/>
    <d v="2024-10-31T00:00:00"/>
    <s v="0 Tahun 11 Bulan 4 Hari "/>
    <n v="290"/>
    <n v="59"/>
    <n v="2"/>
    <n v="448"/>
    <n v="224"/>
    <n v="170"/>
    <n v="0.6"/>
    <n v="3"/>
    <n v="0.7589285714285714"/>
    <n v="0.1517857142857143"/>
    <d v="1899-12-30T00:04:55"/>
    <d v="1899-12-30T00:00:00"/>
    <d v="1899-12-30T00:11:48"/>
    <n v="1"/>
    <n v="0"/>
    <n v="1"/>
    <n v="0.8"/>
    <n v="2"/>
    <n v="0.66666666666666663"/>
    <n v="0.16666666666666666"/>
    <d v="1899-12-30T01:24:49"/>
    <n v="1"/>
    <n v="4"/>
    <n v="0.8"/>
    <n v="0.2"/>
    <n v="1"/>
    <n v="1"/>
    <n v="0"/>
    <n v="1"/>
    <n v="1"/>
    <n v="1"/>
    <n v="0"/>
    <n v="1"/>
    <n v="1"/>
    <n v="6"/>
    <n v="0.75"/>
    <n v="0.11249999999999999"/>
    <n v="75"/>
    <n v="75"/>
    <n v="80"/>
    <n v="85"/>
    <n v="80"/>
    <n v="0.8"/>
    <n v="395"/>
    <n v="0.98734177215189878"/>
    <n v="0.19746835443037977"/>
    <n v="4.2"/>
    <n v="79"/>
    <n v="0.82842073538276073"/>
    <s v="New CE"/>
    <s v="Stay"/>
    <x v="2"/>
  </r>
  <r>
    <n v="103"/>
    <s v="Muhamad Riyadi"/>
    <s v="IDH80062"/>
    <s v="Associate engineer"/>
    <s v="Jakarta 1"/>
    <s v="Region 1"/>
    <s v="IMPACT"/>
    <d v="2023-07-24T00:00:00"/>
    <d v="2024-10-31T00:00:00"/>
    <s v="1 Tahun 4 Bulan 25 Hari "/>
    <n v="465"/>
    <n v="897"/>
    <n v="13"/>
    <n v="6212"/>
    <n v="477.84615384615387"/>
    <n v="531"/>
    <n v="1"/>
    <n v="5"/>
    <n v="1.1112363168061816"/>
    <n v="0.22224726336123635"/>
    <d v="1899-12-30T01:30:00"/>
    <d v="1899-12-30T03:30:00"/>
    <d v="1899-12-30T00:00:00"/>
    <n v="1"/>
    <n v="0"/>
    <n v="0"/>
    <n v="0.75"/>
    <n v="1"/>
    <n v="0.33333333333333331"/>
    <n v="8.3333333333333329E-2"/>
    <d v="1899-12-30T00:54:34"/>
    <n v="1.25"/>
    <n v="5"/>
    <n v="1"/>
    <n v="0.25"/>
    <n v="1"/>
    <n v="1"/>
    <n v="1"/>
    <n v="0"/>
    <n v="0"/>
    <n v="1"/>
    <n v="0"/>
    <n v="0"/>
    <n v="0.8"/>
    <n v="4"/>
    <n v="0.5"/>
    <n v="7.4999999999999997E-2"/>
    <n v="75"/>
    <n v="75"/>
    <n v="90"/>
    <n v="85"/>
    <n v="80"/>
    <n v="0.8"/>
    <n v="405"/>
    <n v="0.98765432098765427"/>
    <n v="0.19753086419753085"/>
    <n v="4.5999999999999996"/>
    <n v="81"/>
    <n v="0.82811146089210053"/>
    <s v="Baik"/>
    <s v="Level Up"/>
    <x v="1"/>
  </r>
  <r>
    <n v="104"/>
    <s v="Fribet Dominggo Siadari"/>
    <s v="IDH60060"/>
    <s v="Engineer"/>
    <s v="Medan"/>
    <s v="Region 3"/>
    <s v="CITIUS"/>
    <d v="2022-03-07T00:00:00"/>
    <d v="2024-10-31T00:00:00"/>
    <s v="2 Tahun 9 Bulan 12 Hari "/>
    <n v="969"/>
    <n v="684"/>
    <n v="10"/>
    <n v="4972"/>
    <n v="497.2"/>
    <n v="391"/>
    <n v="0.6"/>
    <n v="3"/>
    <n v="0.78640386162510056"/>
    <n v="0.15728077232502014"/>
    <d v="1936-09-08T08:04:24"/>
    <d v="1899-12-30T00:00:03"/>
    <d v="1913-10-26T02:24:23"/>
    <n v="0"/>
    <n v="1"/>
    <n v="1"/>
    <n v="0.8"/>
    <n v="2"/>
    <n v="0.66666666666666663"/>
    <n v="0.16666666666666666"/>
    <d v="1899-12-30T00:58:40"/>
    <n v="1.25"/>
    <n v="5"/>
    <n v="1"/>
    <n v="0.25"/>
    <n v="1"/>
    <n v="1"/>
    <n v="0"/>
    <n v="0"/>
    <n v="0"/>
    <n v="1"/>
    <n v="0"/>
    <n v="0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4.05"/>
    <n v="78"/>
    <n v="0.8276333364275843"/>
    <s v="Baik"/>
    <s v="Stay"/>
    <x v="1"/>
  </r>
  <r>
    <n v="105"/>
    <s v="Muhammad Munandar"/>
    <s v="IDH40094"/>
    <s v="Engineer"/>
    <s v="Cirebon"/>
    <s v="Region 2"/>
    <s v="GSS"/>
    <d v="2020-01-06T00:00:00"/>
    <d v="2024-10-31T00:00:00"/>
    <s v="4 Tahun 11 Bulan 13 Hari "/>
    <n v="1760"/>
    <n v="332"/>
    <n v="6"/>
    <n v="2281"/>
    <n v="380.16666666666669"/>
    <n v="358"/>
    <n v="0.8"/>
    <n v="4"/>
    <n v="0.94169224024550635"/>
    <n v="0.18833844804910127"/>
    <d v="1899-12-30T01:27:00"/>
    <d v="1899-12-30T00:00:16"/>
    <d v="1899-12-30T00:00:00"/>
    <n v="1"/>
    <n v="1"/>
    <n v="0"/>
    <n v="0.8"/>
    <n v="2"/>
    <n v="0.66666666666666663"/>
    <n v="0.16666666666666666"/>
    <d v="1899-12-30T01:07:10"/>
    <n v="1"/>
    <n v="4"/>
    <n v="0.8"/>
    <n v="0.2"/>
    <n v="1"/>
    <n v="1"/>
    <n v="1"/>
    <n v="0"/>
    <n v="0"/>
    <n v="0"/>
    <n v="0"/>
    <n v="1"/>
    <n v="0.8"/>
    <n v="4"/>
    <n v="0.5"/>
    <n v="7.4999999999999997E-2"/>
    <n v="75"/>
    <n v="75"/>
    <n v="90"/>
    <n v="90"/>
    <n v="90"/>
    <n v="0.8"/>
    <n v="420"/>
    <n v="0.98809523809523814"/>
    <n v="0.19761904761904764"/>
    <n v="4.2"/>
    <n v="84"/>
    <n v="0.82762416233481551"/>
    <s v="Baik"/>
    <s v="Level Up"/>
    <x v="0"/>
  </r>
  <r>
    <n v="106"/>
    <s v="Muhammad Zaini"/>
    <s v="IDH80089"/>
    <s v="Associate engineer"/>
    <s v="Probolinggo"/>
    <s v="Region 2"/>
    <s v="IMPACT"/>
    <d v="2023-09-04T00:00:00"/>
    <d v="2024-10-31T00:00:00"/>
    <s v="1 Tahun 3 Bulan 15 Hari "/>
    <n v="423"/>
    <n v="55"/>
    <n v="1"/>
    <n v="491"/>
    <n v="491"/>
    <n v="496"/>
    <n v="1"/>
    <n v="5"/>
    <n v="1.0101832993890021"/>
    <n v="0.20203665987780042"/>
    <d v="1899-12-30T01:11:00"/>
    <d v="1913-10-29T09:10:05"/>
    <d v="1899-12-30T00:00:00"/>
    <n v="1"/>
    <n v="0"/>
    <n v="0"/>
    <n v="0.4"/>
    <n v="1"/>
    <n v="0.33333333333333331"/>
    <n v="8.3333333333333329E-2"/>
    <d v="1899-12-30T00:57:02"/>
    <n v="1.25"/>
    <n v="5"/>
    <n v="1"/>
    <n v="0.25"/>
    <n v="1"/>
    <n v="1"/>
    <n v="1"/>
    <n v="0"/>
    <n v="0"/>
    <n v="1"/>
    <n v="0"/>
    <n v="1"/>
    <n v="1"/>
    <n v="5"/>
    <n v="0.625"/>
    <n v="9.375E-2"/>
    <n v="75"/>
    <n v="75"/>
    <n v="85"/>
    <n v="85"/>
    <n v="80"/>
    <n v="0.8"/>
    <n v="400"/>
    <n v="0.98750000000000004"/>
    <n v="0.19750000000000001"/>
    <n v="4.45"/>
    <n v="80"/>
    <n v="0.82661999321113377"/>
    <s v="Baik"/>
    <s v="Level Up"/>
    <x v="1"/>
  </r>
  <r>
    <n v="107"/>
    <s v="Muhammad Risqi Hidayatullah"/>
    <s v="IDH80054"/>
    <s v="Associate engineer"/>
    <s v="Semarang"/>
    <s v="Region 2"/>
    <s v="IMPACT"/>
    <d v="2023-05-29T00:00:00"/>
    <d v="2024-10-31T00:00:00"/>
    <s v="1 Tahun 6 Bulan 20 Hari "/>
    <n v="521"/>
    <n v="625"/>
    <n v="10"/>
    <n v="4149"/>
    <n v="414.9"/>
    <n v="424"/>
    <n v="1"/>
    <n v="5"/>
    <n v="1.0219329959026271"/>
    <n v="0.20438659918052543"/>
    <d v="1899-12-30T00:00:52"/>
    <d v="1899-12-30T00:00:11"/>
    <d v="1899-12-30T00:00:00"/>
    <n v="1"/>
    <n v="1"/>
    <n v="0"/>
    <n v="0.8"/>
    <n v="2"/>
    <n v="0.66666666666666663"/>
    <n v="0.16666666666666666"/>
    <d v="1899-12-30T01:02:21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4.2"/>
    <n v="78"/>
    <n v="0.8247391632830896"/>
    <s v="Baik"/>
    <s v="Stay"/>
    <x v="2"/>
  </r>
  <r>
    <n v="108"/>
    <s v="Rahman Jauhari"/>
    <s v="IDH70052"/>
    <s v="Associate engineer"/>
    <s v="Lampung"/>
    <s v="Region 1"/>
    <s v="SIPRAMA"/>
    <d v="2022-11-17T00:00:00"/>
    <d v="2024-10-31T00:00:00"/>
    <s v="2 Tahun 1 Bulan 2 Hari "/>
    <n v="714"/>
    <n v="329"/>
    <n v="6"/>
    <n v="1945"/>
    <n v="324.16666666666669"/>
    <n v="435"/>
    <n v="1"/>
    <n v="5"/>
    <n v="1.3419023136246786"/>
    <n v="0.26838046272493571"/>
    <d v="1905-08-26T16:27:48"/>
    <d v="1919-08-22T13:52:41"/>
    <d v="1899-12-30T06:02:49"/>
    <n v="0"/>
    <n v="0"/>
    <n v="1"/>
    <n v="0.4"/>
    <n v="1"/>
    <n v="0.33333333333333331"/>
    <n v="8.3333333333333329E-2"/>
    <d v="1899-12-30T01:01:12"/>
    <n v="1"/>
    <n v="4"/>
    <n v="0.8"/>
    <n v="0.2"/>
    <n v="1"/>
    <n v="1"/>
    <n v="1"/>
    <n v="0"/>
    <n v="1"/>
    <n v="0"/>
    <n v="0"/>
    <n v="0"/>
    <n v="0.8"/>
    <n v="4"/>
    <n v="0.5"/>
    <n v="7.4999999999999997E-2"/>
    <n v="75"/>
    <n v="75"/>
    <n v="90"/>
    <n v="85"/>
    <n v="80"/>
    <n v="0.8"/>
    <n v="405"/>
    <n v="0.98765432098765427"/>
    <n v="0.19753086419753085"/>
    <n v="4"/>
    <n v="81"/>
    <n v="0.82424466025579979"/>
    <s v="Baik"/>
    <s v="Stay"/>
    <x v="2"/>
  </r>
  <r>
    <n v="109"/>
    <s v="Raden Mas Alfian Apriansya Diponegoro"/>
    <s v="IDH50007"/>
    <s v="Engineer"/>
    <s v="Kendari"/>
    <s v="Region 3"/>
    <s v="SIPRAMA"/>
    <d v="2020-10-19T00:00:00"/>
    <d v="2024-10-31T00:00:00"/>
    <s v="4 Tahun 2 Bulan 0 Hari "/>
    <n v="1473"/>
    <n v="109"/>
    <n v="2"/>
    <n v="853"/>
    <n v="426.5"/>
    <n v="412"/>
    <n v="0.8"/>
    <n v="4"/>
    <n v="0.96600234466588508"/>
    <n v="0.19320046893317702"/>
    <d v="1926-03-13T06:14:53"/>
    <d v="1962-04-22T01:18:16"/>
    <d v="1942-06-15T11:14:43"/>
    <n v="0"/>
    <n v="0"/>
    <n v="1"/>
    <n v="0.4"/>
    <n v="1"/>
    <n v="0.33333333333333331"/>
    <n v="8.3333333333333329E-2"/>
    <d v="1899-12-30T01:52:53"/>
    <n v="1"/>
    <n v="4"/>
    <n v="0.8"/>
    <n v="0.2"/>
    <n v="1"/>
    <n v="1"/>
    <n v="1"/>
    <n v="1"/>
    <n v="1"/>
    <n v="1"/>
    <n v="1"/>
    <n v="1"/>
    <n v="1"/>
    <n v="8"/>
    <n v="1"/>
    <n v="0.15"/>
    <n v="75"/>
    <n v="60"/>
    <n v="85"/>
    <n v="85"/>
    <n v="85"/>
    <n v="0.8"/>
    <n v="390"/>
    <n v="0.98717948717948723"/>
    <n v="0.19743589743589746"/>
    <n v="4"/>
    <n v="78"/>
    <n v="0.82396969970240774"/>
    <s v="Baik"/>
    <s v="Level Up"/>
    <x v="0"/>
  </r>
  <r>
    <n v="110"/>
    <s v="Abu Samsul Hanifah"/>
    <s v="IDH60089"/>
    <s v="Engineer"/>
    <s v="Sukabumi"/>
    <s v="Region 2"/>
    <s v="CITIUS"/>
    <d v="2022-08-22T00:00:00"/>
    <d v="2024-10-31T00:00:00"/>
    <s v="2 Tahun 3 Bulan 27 Hari "/>
    <n v="801"/>
    <n v="241"/>
    <n v="4"/>
    <n v="1968"/>
    <n v="492"/>
    <n v="500"/>
    <n v="1"/>
    <n v="5"/>
    <n v="1.0162601626016261"/>
    <n v="0.20325203252032523"/>
    <d v="1918-05-10T15:45:33"/>
    <d v="1899-12-30T02:15:26"/>
    <d v="1899-12-30T03:25:58"/>
    <n v="0"/>
    <n v="1"/>
    <n v="1"/>
    <n v="0.8"/>
    <n v="2"/>
    <n v="0.66666666666666663"/>
    <n v="0.16666666666666666"/>
    <d v="1899-12-30T01:46:33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4.2"/>
    <n v="78"/>
    <n v="0.82360459662288932"/>
    <s v="Baik"/>
    <s v="Stay"/>
    <x v="1"/>
  </r>
  <r>
    <n v="111"/>
    <s v="Aryangga Madya Kurniawan"/>
    <s v="IDH80074"/>
    <s v="Associate engineer"/>
    <s v="Tarutung"/>
    <s v="Region 3"/>
    <s v="IMPACT"/>
    <d v="2023-07-24T00:00:00"/>
    <d v="2024-10-31T00:00:00"/>
    <s v="1 Tahun 4 Bulan 25 Hari "/>
    <n v="465"/>
    <n v="69"/>
    <n v="2"/>
    <n v="514"/>
    <n v="257"/>
    <n v="316"/>
    <n v="1"/>
    <n v="5"/>
    <n v="1.2295719844357977"/>
    <n v="0.24591439688715955"/>
    <d v="1899-12-30T00:21:41"/>
    <d v="1915-07-06T04:54:16"/>
    <d v="1914-10-23T00:02:26"/>
    <n v="1"/>
    <n v="0"/>
    <n v="1"/>
    <n v="0.8"/>
    <n v="2"/>
    <n v="0.66666666666666663"/>
    <n v="0.16666666666666666"/>
    <d v="1899-12-30T03:15:24"/>
    <n v="0.5"/>
    <n v="2"/>
    <n v="0.4"/>
    <n v="0.1"/>
    <n v="1"/>
    <n v="1"/>
    <n v="0"/>
    <n v="0"/>
    <n v="1"/>
    <n v="1"/>
    <n v="1"/>
    <n v="1"/>
    <n v="1"/>
    <n v="6"/>
    <n v="0.75"/>
    <n v="0.11249999999999999"/>
    <n v="75"/>
    <n v="80"/>
    <n v="80"/>
    <n v="80"/>
    <n v="80"/>
    <n v="0.8"/>
    <n v="395"/>
    <n v="0.98734177215189878"/>
    <n v="0.19746835443037977"/>
    <n v="4.0999999999999996"/>
    <n v="79"/>
    <n v="0.822549417984206"/>
    <s v="Baik"/>
    <s v="Stay"/>
    <x v="2"/>
  </r>
  <r>
    <n v="112"/>
    <s v="Bagas Widya Ananta"/>
    <s v="IDH40082"/>
    <s v="Senior engineer"/>
    <s v="Balikpapan"/>
    <s v="Region 3"/>
    <s v="IMPACT"/>
    <d v="2019-10-02T00:00:00"/>
    <d v="2024-10-31T00:00:00"/>
    <s v="5 Tahun 2 Bulan 17 Hari "/>
    <n v="1856"/>
    <n v="153"/>
    <n v="3"/>
    <n v="1244"/>
    <n v="414.66666666666669"/>
    <n v="354"/>
    <n v="0.8"/>
    <n v="4"/>
    <n v="0.85369774919614139"/>
    <n v="0.17073954983922829"/>
    <d v="1928-09-05T00:23:44"/>
    <d v="1899-12-30T00:12:13"/>
    <d v="1899-12-30T03:22:49"/>
    <n v="0"/>
    <n v="1"/>
    <n v="1"/>
    <n v="0.8"/>
    <n v="2"/>
    <n v="0.66666666666666663"/>
    <n v="0.16666666666666666"/>
    <d v="1899-12-30T00:28:59"/>
    <n v="1.25"/>
    <n v="5"/>
    <n v="1"/>
    <n v="0.25"/>
    <n v="1"/>
    <n v="1"/>
    <n v="0"/>
    <n v="0"/>
    <n v="0"/>
    <n v="0"/>
    <n v="0"/>
    <n v="0"/>
    <n v="0.4"/>
    <n v="2"/>
    <n v="0.25"/>
    <n v="3.7499999999999999E-2"/>
    <n v="75"/>
    <n v="75"/>
    <n v="85"/>
    <n v="90"/>
    <n v="90"/>
    <n v="0.8"/>
    <n v="415"/>
    <n v="0.98795180722891562"/>
    <n v="0.19759036144578312"/>
    <n v="4.05"/>
    <n v="83"/>
    <n v="0.82249657795167808"/>
    <s v="Baik"/>
    <s v="Stay"/>
    <x v="0"/>
  </r>
  <r>
    <n v="113"/>
    <s v="Agung Nugroho"/>
    <s v="IDH60006"/>
    <s v="Engineer"/>
    <s v="Surabaya"/>
    <s v="Region 2"/>
    <s v="CITIUS"/>
    <d v="2021-08-23T00:00:00"/>
    <d v="2024-10-31T00:00:00"/>
    <s v="3 Tahun 3 Bulan 26 Hari "/>
    <n v="1165"/>
    <n v="1384"/>
    <n v="22"/>
    <n v="6775"/>
    <n v="307.95454545454544"/>
    <n v="460"/>
    <n v="1"/>
    <n v="5"/>
    <n v="1.4937269372693727"/>
    <n v="0.29874538745387452"/>
    <d v="1902-12-08T12:06:14"/>
    <d v="1899-12-30T00:00:00"/>
    <d v="1899-12-30T00:00:00"/>
    <n v="0"/>
    <n v="0"/>
    <n v="0"/>
    <n v="0"/>
    <n v="0"/>
    <n v="0"/>
    <n v="0"/>
    <d v="1899-12-30T00:42:58"/>
    <n v="1.25"/>
    <n v="5"/>
    <n v="1"/>
    <n v="0.25"/>
    <n v="1"/>
    <n v="1"/>
    <n v="1"/>
    <n v="1"/>
    <n v="0"/>
    <n v="0"/>
    <n v="0"/>
    <n v="0"/>
    <n v="0.8"/>
    <n v="4"/>
    <n v="0.5"/>
    <n v="7.4999999999999997E-2"/>
    <n v="75"/>
    <n v="75"/>
    <n v="75"/>
    <n v="75"/>
    <n v="75"/>
    <n v="0.8"/>
    <n v="375"/>
    <n v="0.98666666666666669"/>
    <n v="0.19733333333333336"/>
    <n v="3.8499999999999996"/>
    <n v="75"/>
    <n v="0.82107872078720789"/>
    <s v="Baik"/>
    <s v="Stay"/>
    <x v="1"/>
  </r>
  <r>
    <n v="114"/>
    <s v="Komedi Adi Utomo"/>
    <s v="IDH80086"/>
    <s v="Associate engineer"/>
    <s v="Yogyakarta"/>
    <s v="Region 2"/>
    <s v="IMPACT"/>
    <d v="2023-09-04T00:00:00"/>
    <d v="2024-10-31T00:00:00"/>
    <s v="1 Tahun 3 Bulan 15 Hari "/>
    <n v="423"/>
    <n v="507"/>
    <n v="10"/>
    <n v="3304"/>
    <n v="330.4"/>
    <n v="331"/>
    <n v="1"/>
    <n v="5"/>
    <n v="1.0018159806295399"/>
    <n v="0.200363196125908"/>
    <d v="1899-12-30T00:19:41"/>
    <d v="1899-12-30T00:49:49"/>
    <d v="1899-12-30T00:00:00"/>
    <n v="1"/>
    <n v="1"/>
    <n v="0"/>
    <n v="0.8"/>
    <n v="2"/>
    <n v="0.66666666666666663"/>
    <n v="0.16666666666666666"/>
    <d v="1899-12-30T01:29:19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4.2"/>
    <n v="78"/>
    <n v="0.82071576022847226"/>
    <s v="Baik"/>
    <s v="Stay"/>
    <x v="2"/>
  </r>
  <r>
    <n v="115"/>
    <s v="Dwiki Dhamuristya"/>
    <s v="IDH90055"/>
    <s v="Associate engineer"/>
    <s v="Pontianak"/>
    <s v="Region 3"/>
    <s v="KINARYA"/>
    <d v="2024-01-15T00:00:00"/>
    <d v="2024-10-31T00:00:00"/>
    <s v="0 Tahun 11 Bulan 4 Hari "/>
    <n v="290"/>
    <n v="221"/>
    <n v="4"/>
    <n v="1669"/>
    <n v="417.25"/>
    <n v="283"/>
    <n v="0.6"/>
    <n v="3"/>
    <n v="0.67825044937088075"/>
    <n v="0.13565008987417615"/>
    <d v="1899-12-30T00:10:46"/>
    <d v="1899-12-30T00:24:15"/>
    <d v="1899-12-30T01:23:09"/>
    <n v="1"/>
    <n v="1"/>
    <n v="1"/>
    <n v="1.25"/>
    <n v="3"/>
    <n v="1"/>
    <n v="0.25"/>
    <d v="1899-12-30T01:40:24"/>
    <n v="1"/>
    <n v="4"/>
    <n v="0.8"/>
    <n v="0.2"/>
    <n v="1"/>
    <n v="1"/>
    <n v="0"/>
    <n v="0"/>
    <n v="0"/>
    <n v="0"/>
    <n v="0"/>
    <n v="0"/>
    <n v="0.4"/>
    <n v="2"/>
    <n v="0.25"/>
    <n v="3.7499999999999999E-2"/>
    <n v="75"/>
    <n v="75"/>
    <n v="80"/>
    <n v="80"/>
    <n v="80"/>
    <n v="0.8"/>
    <n v="390"/>
    <n v="0.98717948717948723"/>
    <n v="0.19743589743589746"/>
    <n v="4.05"/>
    <n v="78"/>
    <n v="0.82058598731007359"/>
    <s v="New CE"/>
    <s v="Stay"/>
    <x v="2"/>
  </r>
  <r>
    <n v="116"/>
    <s v="Fajar Nugraha"/>
    <s v="IDH30024"/>
    <s v="Senior engineer"/>
    <s v="Batam"/>
    <s v="Region 3"/>
    <s v="IMPACT"/>
    <d v="2017-09-04T00:00:00"/>
    <d v="2024-10-31T00:00:00"/>
    <s v="7 Tahun 3 Bulan 15 Hari "/>
    <n v="2614"/>
    <n v="283"/>
    <n v="4"/>
    <n v="1878"/>
    <n v="469.5"/>
    <n v="547"/>
    <n v="1"/>
    <n v="5"/>
    <n v="1.1650692225772099"/>
    <n v="0.23301384451544199"/>
    <d v="1964-03-19T23:50:09"/>
    <d v="1943-03-24T07:53:57"/>
    <d v="2024-06-10T13:34:51"/>
    <n v="0"/>
    <n v="0"/>
    <n v="1"/>
    <n v="0.4"/>
    <n v="1"/>
    <n v="0.33333333333333331"/>
    <n v="8.3333333333333329E-2"/>
    <d v="1899-12-30T00:59:42"/>
    <n v="1.25"/>
    <n v="5"/>
    <n v="1"/>
    <n v="0.25"/>
    <n v="1"/>
    <n v="1"/>
    <n v="0"/>
    <n v="0"/>
    <n v="0"/>
    <n v="1"/>
    <n v="0"/>
    <n v="0"/>
    <n v="0.6"/>
    <n v="3"/>
    <n v="0.375"/>
    <n v="5.6249999999999994E-2"/>
    <n v="75"/>
    <n v="75"/>
    <n v="85"/>
    <n v="75"/>
    <n v="80"/>
    <n v="0.8"/>
    <n v="390"/>
    <n v="0.98717948717948723"/>
    <n v="0.19743589743589746"/>
    <n v="4.05"/>
    <n v="78"/>
    <n v="0.82003307528467273"/>
    <s v="Baik"/>
    <s v="Stay"/>
    <x v="0"/>
  </r>
  <r>
    <n v="117"/>
    <s v="Muhammad Ilham JKT"/>
    <s v="IDH40079"/>
    <s v="Engineer"/>
    <s v="Medan"/>
    <s v="Region 3"/>
    <s v="GSS"/>
    <d v="2019-08-05T00:00:00"/>
    <d v="2024-10-31T00:00:00"/>
    <s v="5 Tahun 4 Bulan 14 Hari "/>
    <n v="1914"/>
    <n v="684"/>
    <n v="4"/>
    <n v="4972"/>
    <n v="1243"/>
    <n v="404"/>
    <n v="0.2"/>
    <n v="1"/>
    <n v="0.32502011263073211"/>
    <n v="6.5004022526146427E-2"/>
    <d v="1899-12-30T01:02:00"/>
    <d v="1899-12-30T01:49:00"/>
    <d v="1973-04-14T14:16:44"/>
    <n v="1"/>
    <n v="1"/>
    <n v="1"/>
    <n v="1.25"/>
    <n v="3"/>
    <n v="1"/>
    <n v="0.25"/>
    <d v="1899-12-30T00:57:07"/>
    <n v="1.25"/>
    <n v="5"/>
    <n v="1"/>
    <n v="0.25"/>
    <n v="1"/>
    <n v="1"/>
    <n v="1"/>
    <n v="0"/>
    <n v="0"/>
    <n v="0"/>
    <n v="0"/>
    <n v="0"/>
    <n v="0.6"/>
    <n v="3"/>
    <n v="0.375"/>
    <n v="5.6249999999999994E-2"/>
    <n v="75"/>
    <n v="75"/>
    <n v="85"/>
    <n v="85"/>
    <n v="85"/>
    <n v="0.8"/>
    <n v="405"/>
    <n v="0.98765432098765427"/>
    <n v="0.19753086419753085"/>
    <n v="4.1000000000000005"/>
    <n v="81"/>
    <n v="0.81878488672367733"/>
    <s v="Baik"/>
    <s v="Level Up"/>
    <x v="0"/>
  </r>
  <r>
    <n v="118"/>
    <s v="Puji Setiyawan"/>
    <s v="IDH60026"/>
    <s v="Engineer"/>
    <s v="Semarang"/>
    <s v="Region 2"/>
    <s v="CITIUS"/>
    <d v="2021-11-02T00:00:00"/>
    <d v="2024-10-31T00:00:00"/>
    <s v="3 Tahun 1 Bulan 17 Hari "/>
    <n v="1094"/>
    <n v="625"/>
    <n v="10"/>
    <n v="4149"/>
    <n v="414.9"/>
    <n v="333"/>
    <n v="0.8"/>
    <n v="4"/>
    <n v="0.80260303687635581"/>
    <n v="0.16052060737527118"/>
    <d v="1899-12-30T00:40:15"/>
    <d v="1906-03-22T19:22:01"/>
    <d v="1899-12-30T00:01:23"/>
    <n v="1"/>
    <n v="0"/>
    <n v="1"/>
    <n v="0.8"/>
    <n v="2"/>
    <n v="0.66666666666666663"/>
    <n v="0.16666666666666666"/>
    <d v="1899-12-30T01:15:26"/>
    <n v="1"/>
    <n v="4"/>
    <n v="0.8"/>
    <n v="0.2"/>
    <n v="1"/>
    <n v="1"/>
    <n v="1"/>
    <n v="0"/>
    <n v="0"/>
    <n v="1"/>
    <n v="0"/>
    <n v="1"/>
    <n v="1"/>
    <n v="5"/>
    <n v="0.625"/>
    <n v="9.375E-2"/>
    <n v="75"/>
    <n v="75"/>
    <n v="80"/>
    <n v="80"/>
    <n v="80"/>
    <n v="0.8"/>
    <n v="390"/>
    <n v="0.98717948717948723"/>
    <n v="0.19743589743589746"/>
    <n v="4.4000000000000004"/>
    <n v="78"/>
    <n v="0.81837317147783528"/>
    <s v="Baik"/>
    <s v="Stay"/>
    <x v="1"/>
  </r>
  <r>
    <n v="119"/>
    <s v="Achmad Rio Anditya"/>
    <s v="IDH60004"/>
    <s v="Engineer"/>
    <s v="Surabaya"/>
    <s v="Region 2"/>
    <s v="CITIUS"/>
    <d v="2021-08-23T00:00:00"/>
    <d v="2024-10-31T00:00:00"/>
    <s v="3 Tahun 3 Bulan 26 Hari "/>
    <n v="1165"/>
    <n v="1384"/>
    <n v="22"/>
    <n v="6775"/>
    <n v="307.95454545454544"/>
    <n v="532"/>
    <n v="1"/>
    <n v="5"/>
    <n v="1.7275276752767528"/>
    <n v="0.34550553505535059"/>
    <d v="1904-01-04T09:08:45"/>
    <d v="1899-12-30T00:00:00"/>
    <d v="1899-12-30T00:00:00"/>
    <n v="0"/>
    <n v="0"/>
    <n v="0"/>
    <n v="0"/>
    <n v="0"/>
    <n v="0"/>
    <n v="0"/>
    <d v="1899-12-30T01:14:08"/>
    <n v="1"/>
    <n v="4"/>
    <n v="0.8"/>
    <n v="0.2"/>
    <n v="1"/>
    <n v="1"/>
    <n v="1"/>
    <n v="1"/>
    <n v="0"/>
    <n v="0"/>
    <n v="0"/>
    <n v="0"/>
    <n v="0.8"/>
    <n v="4"/>
    <n v="0.5"/>
    <n v="7.4999999999999997E-2"/>
    <n v="75"/>
    <n v="75"/>
    <n v="80"/>
    <n v="80"/>
    <n v="80"/>
    <n v="0.8"/>
    <n v="390"/>
    <n v="0.98717948717948723"/>
    <n v="0.19743589743589746"/>
    <n v="3.5999999999999996"/>
    <n v="78"/>
    <n v="0.81794143249124796"/>
    <s v="Baik"/>
    <s v="Stay"/>
    <x v="1"/>
  </r>
  <r>
    <n v="121"/>
    <s v="Arif Yudit Dwi Prakoso"/>
    <s v="IDH70001"/>
    <s v="Engineer"/>
    <s v="Bogor"/>
    <s v="Region 1"/>
    <s v="SIPRAMA"/>
    <d v="2022-08-22T00:00:00"/>
    <d v="2024-10-31T00:00:00"/>
    <s v="2 Tahun 3 Bulan 27 Hari "/>
    <n v="801"/>
    <n v="338"/>
    <n v="6"/>
    <n v="2750"/>
    <n v="458.33333333333331"/>
    <n v="471"/>
    <n v="1"/>
    <n v="5"/>
    <n v="1.0276363636363637"/>
    <n v="0.20552727272727275"/>
    <d v="1936-06-11T09:47:20"/>
    <d v="1899-12-30T00:00:15"/>
    <d v="1899-12-30T00:00:00"/>
    <n v="0"/>
    <n v="1"/>
    <n v="0"/>
    <n v="0.4"/>
    <n v="1"/>
    <n v="0.33333333333333331"/>
    <n v="8.3333333333333329E-2"/>
    <d v="1899-12-30T01:07:57"/>
    <n v="1"/>
    <n v="4"/>
    <n v="0.8"/>
    <n v="0.2"/>
    <n v="1"/>
    <n v="1"/>
    <n v="1"/>
    <n v="0"/>
    <n v="1"/>
    <n v="1"/>
    <n v="1"/>
    <n v="1"/>
    <n v="1"/>
    <n v="7"/>
    <n v="0.875"/>
    <n v="0.13125000000000001"/>
    <n v="80"/>
    <n v="80"/>
    <n v="90"/>
    <n v="90"/>
    <n v="85"/>
    <n v="0.8"/>
    <n v="425"/>
    <n v="0.9882352941176471"/>
    <n v="0.19764705882352943"/>
    <n v="4.2"/>
    <n v="85"/>
    <n v="0.81775766488413548"/>
    <s v="Baik"/>
    <s v="Level Up"/>
    <x v="0"/>
  </r>
  <r>
    <n v="122"/>
    <s v="Ahmadi Saputra"/>
    <s v="IDH80029"/>
    <s v="Associate engineer"/>
    <s v="Dumai"/>
    <s v="Region 3"/>
    <s v="IMPACT"/>
    <d v="2023-02-09T00:00:00"/>
    <d v="2024-10-31T00:00:00"/>
    <s v="1 Tahun 10 Bulan 10 Hari "/>
    <n v="630"/>
    <n v="103"/>
    <n v="2"/>
    <n v="733"/>
    <n v="366.5"/>
    <n v="422"/>
    <n v="1"/>
    <n v="5"/>
    <n v="1.1514324693042293"/>
    <n v="0.23028649386084588"/>
    <d v="1971-10-01T14:27:09"/>
    <d v="1980-07-27T11:33:34"/>
    <d v="1974-08-18T13:14:31"/>
    <n v="0"/>
    <n v="0"/>
    <n v="1"/>
    <n v="0.4"/>
    <n v="1"/>
    <n v="0.33333333333333331"/>
    <n v="8.3333333333333329E-2"/>
    <d v="1899-12-30T00:55:12"/>
    <n v="1.25"/>
    <n v="5"/>
    <n v="1"/>
    <n v="0.25"/>
    <n v="1"/>
    <n v="1"/>
    <n v="1"/>
    <n v="0"/>
    <n v="0"/>
    <n v="0"/>
    <n v="0"/>
    <n v="0"/>
    <n v="0.6"/>
    <n v="3"/>
    <n v="0.375"/>
    <n v="5.6249999999999994E-2"/>
    <n v="75"/>
    <n v="75"/>
    <n v="85"/>
    <n v="85"/>
    <n v="85"/>
    <n v="0.8"/>
    <n v="405"/>
    <n v="0.98765432098765427"/>
    <n v="0.19753086419753085"/>
    <n v="4.05"/>
    <n v="81"/>
    <n v="0.81740069139171012"/>
    <s v="Baik"/>
    <s v="Level Up"/>
    <x v="1"/>
  </r>
  <r>
    <n v="123"/>
    <s v="Rizal Zaelani"/>
    <s v="IDH60075"/>
    <s v="Engineer"/>
    <s v="Sukabumi"/>
    <s v="Region 2"/>
    <s v="CITIUS"/>
    <d v="2022-07-04T00:00:00"/>
    <d v="2024-10-31T00:00:00"/>
    <s v="2 Tahun 5 Bulan 15 Hari "/>
    <n v="850"/>
    <n v="241"/>
    <n v="4"/>
    <n v="1968"/>
    <n v="492"/>
    <n v="484"/>
    <n v="0.8"/>
    <n v="4"/>
    <n v="0.98373983739837401"/>
    <n v="0.19674796747967482"/>
    <d v="1899-12-30T01:58:00"/>
    <d v="1899-12-30T03:30:00"/>
    <d v="1899-12-30T03:49:25"/>
    <n v="1"/>
    <n v="0"/>
    <n v="1"/>
    <n v="0.8"/>
    <n v="2"/>
    <n v="0.66666666666666663"/>
    <n v="0.16666666666666666"/>
    <d v="1899-12-30T01:17:18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90"/>
    <n v="90"/>
    <n v="90"/>
    <n v="0.8"/>
    <n v="420"/>
    <n v="0.98809523809523814"/>
    <n v="0.19761904761904764"/>
    <n v="4"/>
    <n v="84"/>
    <n v="0.81728368176538924"/>
    <s v="Baik"/>
    <s v="Level Up"/>
    <x v="0"/>
  </r>
  <r>
    <n v="124"/>
    <s v="Muhammad Fikri Nurhadi"/>
    <s v="IDH60085"/>
    <s v="Engineer"/>
    <s v="Medan"/>
    <s v="Region 3"/>
    <s v="CITIUS"/>
    <d v="2022-07-04T00:00:00"/>
    <d v="2024-10-31T00:00:00"/>
    <s v="2 Tahun 5 Bulan 15 Hari "/>
    <n v="850"/>
    <n v="684"/>
    <n v="10"/>
    <n v="4972"/>
    <n v="497.2"/>
    <n v="569"/>
    <n v="1"/>
    <n v="5"/>
    <n v="1.1444086886564764"/>
    <n v="0.22888173773129528"/>
    <d v="1956-07-10T15:32:14"/>
    <d v="1976-08-15T03:55:57"/>
    <d v="1982-10-31T19:09:14"/>
    <n v="0"/>
    <n v="0"/>
    <n v="1"/>
    <n v="0.4"/>
    <n v="1"/>
    <n v="0.33333333333333331"/>
    <n v="8.3333333333333329E-2"/>
    <d v="1899-12-30T00:46:03"/>
    <n v="1.25"/>
    <n v="5"/>
    <n v="1"/>
    <n v="0.25"/>
    <n v="1"/>
    <n v="1"/>
    <n v="0"/>
    <n v="0"/>
    <n v="0"/>
    <n v="0"/>
    <n v="0"/>
    <n v="1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4.05"/>
    <n v="78"/>
    <n v="0.81590096850052607"/>
    <s v="Baik"/>
    <s v="Stay"/>
    <x v="1"/>
  </r>
  <r>
    <n v="125"/>
    <s v="Muhammad Faisol"/>
    <s v="IDH90050"/>
    <s v="Associate engineer"/>
    <s v="Denpasar"/>
    <s v="Region 3"/>
    <s v="KINARYA"/>
    <d v="2023-11-01T00:00:00"/>
    <d v="2024-10-31T00:00:00"/>
    <s v="1 Tahun 1 Bulan 18 Hari "/>
    <n v="365"/>
    <n v="612"/>
    <n v="11"/>
    <n v="5254"/>
    <n v="477.63636363636363"/>
    <n v="377"/>
    <n v="0.6"/>
    <n v="3"/>
    <n v="0.78930338789493726"/>
    <n v="0.15786067757898747"/>
    <d v="1902-01-15T10:58:55"/>
    <d v="1899-12-30T00:00:31"/>
    <d v="1899-12-30T00:01:11"/>
    <n v="0"/>
    <n v="1"/>
    <n v="1"/>
    <n v="0.8"/>
    <n v="2"/>
    <n v="0.66666666666666663"/>
    <n v="0.16666666666666666"/>
    <d v="1899-12-30T01:56:21"/>
    <n v="1"/>
    <n v="4"/>
    <n v="0.8"/>
    <n v="0.2"/>
    <n v="1"/>
    <n v="1"/>
    <n v="1"/>
    <n v="1"/>
    <n v="0"/>
    <n v="1"/>
    <n v="0"/>
    <n v="0"/>
    <n v="1"/>
    <n v="5"/>
    <n v="0.625"/>
    <n v="9.375E-2"/>
    <n v="75"/>
    <n v="75"/>
    <n v="85"/>
    <n v="90"/>
    <n v="85"/>
    <n v="0.8"/>
    <n v="410"/>
    <n v="0.98780487804878048"/>
    <n v="0.19756097560975611"/>
    <n v="4.2"/>
    <n v="82"/>
    <n v="0.81583831985541022"/>
    <s v="Baik"/>
    <s v="Level Up"/>
    <x v="1"/>
  </r>
  <r>
    <n v="126"/>
    <s v="Akmal Husein Anantya"/>
    <s v="IDH80084"/>
    <s v="Associate engineer"/>
    <s v="Semarang"/>
    <s v="Region 2"/>
    <s v="IMPACT"/>
    <d v="2023-09-04T00:00:00"/>
    <d v="2024-10-31T00:00:00"/>
    <s v="1 Tahun 3 Bulan 15 Hari "/>
    <n v="423"/>
    <n v="625"/>
    <n v="10"/>
    <n v="4149"/>
    <n v="414.9"/>
    <n v="405"/>
    <n v="0.8"/>
    <n v="4"/>
    <n v="0.97613882863340573"/>
    <n v="0.19522776572668116"/>
    <d v="1907-02-13T10:46:54"/>
    <d v="1899-12-30T00:31:35"/>
    <d v="1899-12-30T00:18:00"/>
    <n v="0"/>
    <n v="1"/>
    <n v="1"/>
    <n v="0.8"/>
    <n v="2"/>
    <n v="0.66666666666666663"/>
    <n v="0.16666666666666666"/>
    <d v="1899-12-30T01:29:02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4"/>
    <n v="78"/>
    <n v="0.81558032982924544"/>
    <s v="Baik"/>
    <s v="Stay"/>
    <x v="2"/>
  </r>
  <r>
    <n v="127"/>
    <s v="Rizkyellyasa Simon Martin"/>
    <s v="IDH80081"/>
    <s v="Associate engineer"/>
    <s v="Tangerang"/>
    <s v="Region 1"/>
    <s v="IMPACT"/>
    <d v="2023-07-24T00:00:00"/>
    <d v="2024-10-31T00:00:00"/>
    <s v="1 Tahun 4 Bulan 25 Hari "/>
    <n v="465"/>
    <n v="760"/>
    <n v="13"/>
    <n v="5863"/>
    <n v="451"/>
    <n v="440"/>
    <n v="0.8"/>
    <n v="4"/>
    <n v="0.97560975609756095"/>
    <n v="0.1951219512195122"/>
    <d v="1918-07-25T00:04:57"/>
    <d v="1899-12-30T00:19:21"/>
    <d v="1899-12-30T01:39:14"/>
    <n v="0"/>
    <n v="1"/>
    <n v="1"/>
    <n v="0.8"/>
    <n v="2"/>
    <n v="0.66666666666666663"/>
    <n v="0.16666666666666666"/>
    <d v="1899-12-30T01:24:49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90"/>
    <n v="85"/>
    <n v="80"/>
    <n v="0.8"/>
    <n v="405"/>
    <n v="0.98765432098765427"/>
    <n v="0.19753086419753085"/>
    <n v="4"/>
    <n v="81"/>
    <n v="0.81556948208370972"/>
    <s v="Baik"/>
    <s v="Level Up"/>
    <x v="1"/>
  </r>
  <r>
    <n v="128"/>
    <s v="Achmad  Affan Awaluddin"/>
    <s v="IDH60087"/>
    <s v="Associate engineer"/>
    <s v="Surabaya"/>
    <s v="Region 2"/>
    <s v="CITIUS"/>
    <d v="2022-07-04T00:00:00"/>
    <d v="2024-10-31T00:00:00"/>
    <s v="2 Tahun 5 Bulan 15 Hari "/>
    <n v="850"/>
    <n v="1384"/>
    <n v="22"/>
    <n v="6775"/>
    <n v="307.95454545454544"/>
    <n v="399"/>
    <n v="1"/>
    <n v="5"/>
    <n v="1.2956457564575647"/>
    <n v="0.25912915129151298"/>
    <d v="1903-03-16T07:08:03"/>
    <d v="1899-12-30T00:50:28"/>
    <d v="1899-12-30T00:00:00"/>
    <n v="0"/>
    <n v="1"/>
    <n v="0"/>
    <n v="0.4"/>
    <n v="1"/>
    <n v="0.33333333333333331"/>
    <n v="8.3333333333333329E-2"/>
    <d v="1899-12-30T01:15:03"/>
    <n v="1"/>
    <n v="4"/>
    <n v="0.8"/>
    <n v="0.2"/>
    <n v="1"/>
    <n v="1"/>
    <n v="1"/>
    <n v="1"/>
    <n v="0"/>
    <n v="0"/>
    <n v="0"/>
    <n v="0"/>
    <n v="0.8"/>
    <n v="4"/>
    <n v="0.5"/>
    <n v="7.4999999999999997E-2"/>
    <n v="75"/>
    <n v="75"/>
    <n v="70"/>
    <n v="75"/>
    <n v="70"/>
    <n v="0.8"/>
    <n v="365"/>
    <n v="0.98630136986301364"/>
    <n v="0.19726027397260273"/>
    <n v="4"/>
    <n v="73"/>
    <n v="0.81472275859744892"/>
    <s v="Baik"/>
    <s v="Stay"/>
    <x v="2"/>
  </r>
  <r>
    <n v="129"/>
    <s v="Duwi Yulianto"/>
    <s v="IDH80003"/>
    <s v="Associate engineer"/>
    <s v="Yogyakarta"/>
    <s v="Region 2"/>
    <s v="IMPACT"/>
    <d v="2023-01-09T00:00:00"/>
    <d v="2024-10-31T00:00:00"/>
    <s v="1 Tahun 11 Bulan 10 Hari "/>
    <n v="661"/>
    <n v="507"/>
    <n v="10"/>
    <n v="3304"/>
    <n v="330.4"/>
    <n v="313"/>
    <n v="0.8"/>
    <n v="4"/>
    <n v="0.94733656174334147"/>
    <n v="0.18946731234866832"/>
    <d v="1931-02-10T00:36:59"/>
    <d v="1899-12-30T00:00:04"/>
    <d v="1899-12-30T00:00:00"/>
    <n v="0"/>
    <n v="1"/>
    <n v="0"/>
    <n v="0.4"/>
    <n v="1"/>
    <n v="0.33333333333333331"/>
    <n v="8.3333333333333329E-2"/>
    <d v="1899-12-30T00:52:19"/>
    <n v="1.25"/>
    <n v="5"/>
    <n v="1"/>
    <n v="0.25"/>
    <n v="1"/>
    <n v="1"/>
    <n v="1"/>
    <n v="0"/>
    <n v="0"/>
    <n v="1"/>
    <n v="0"/>
    <n v="1"/>
    <n v="1"/>
    <n v="5"/>
    <n v="0.625"/>
    <n v="9.375E-2"/>
    <n v="75"/>
    <n v="75"/>
    <n v="90"/>
    <n v="90"/>
    <n v="85"/>
    <n v="0.8"/>
    <n v="415"/>
    <n v="0.98795180722891562"/>
    <n v="0.19759036144578312"/>
    <n v="4.25"/>
    <n v="83"/>
    <n v="0.8141410071277847"/>
    <s v="Baik"/>
    <s v="Level Up"/>
    <x v="1"/>
  </r>
  <r>
    <n v="130"/>
    <s v="Aditya Tri Saputra"/>
    <s v="IDH80027"/>
    <s v="Associate engineer"/>
    <s v="Palembang"/>
    <s v="Region 3"/>
    <s v="IMPACT"/>
    <d v="2023-02-09T00:00:00"/>
    <d v="2024-10-31T00:00:00"/>
    <s v="1 Tahun 10 Bulan 10 Hari "/>
    <n v="630"/>
    <n v="426"/>
    <n v="2"/>
    <n v="3000"/>
    <n v="1500"/>
    <n v="452"/>
    <n v="0.2"/>
    <n v="1"/>
    <n v="0.30133333333333334"/>
    <n v="6.026666666666667E-2"/>
    <d v="1899-12-30T00:04:26"/>
    <d v="1899-12-30T00:27:24"/>
    <d v="1910-05-14T21:14:44"/>
    <n v="1"/>
    <n v="1"/>
    <n v="1"/>
    <n v="1.25"/>
    <n v="3"/>
    <n v="1"/>
    <n v="0.25"/>
    <d v="1899-12-30T00:36:21"/>
    <n v="1.25"/>
    <n v="5"/>
    <n v="1"/>
    <n v="0.25"/>
    <n v="1"/>
    <n v="1"/>
    <n v="1"/>
    <n v="0"/>
    <n v="0"/>
    <n v="0"/>
    <n v="0"/>
    <n v="0"/>
    <n v="0.6"/>
    <n v="3"/>
    <n v="0.375"/>
    <n v="5.6249999999999994E-2"/>
    <n v="75"/>
    <n v="85"/>
    <n v="85"/>
    <n v="90"/>
    <n v="85"/>
    <n v="0.8"/>
    <n v="420"/>
    <n v="0.98809523809523814"/>
    <n v="0.19761904761904764"/>
    <n v="4.1000000000000005"/>
    <n v="84"/>
    <n v="0.81413571428571441"/>
    <s v="Baik"/>
    <s v="Stay"/>
    <x v="2"/>
  </r>
  <r>
    <n v="131"/>
    <s v="Muhammad Alifuddin"/>
    <s v="IDH70023"/>
    <s v="Engineer"/>
    <s v="Bima"/>
    <s v="Region 3"/>
    <s v="SIPRAMA"/>
    <d v="2022-10-03T00:00:00"/>
    <d v="2024-10-31T00:00:00"/>
    <s v="2 Tahun 2 Bulan 16 Hari "/>
    <n v="759"/>
    <n v="43"/>
    <n v="1"/>
    <n v="277"/>
    <n v="277"/>
    <n v="265"/>
    <n v="0.8"/>
    <n v="4"/>
    <n v="0.95667870036101088"/>
    <n v="0.19133574007220219"/>
    <d v="1915-07-27T10:23:29"/>
    <d v="1899-12-30T00:00:18"/>
    <d v="1913-01-31T00:50:36"/>
    <n v="0"/>
    <n v="1"/>
    <n v="1"/>
    <n v="0.8"/>
    <n v="2"/>
    <n v="0.66666666666666663"/>
    <n v="0.16666666666666666"/>
    <d v="1899-12-30T01:35:21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4"/>
    <n v="78"/>
    <n v="0.81168830417476645"/>
    <s v="Baik"/>
    <s v="Stay"/>
    <x v="1"/>
  </r>
  <r>
    <n v="132"/>
    <s v="Angga Andiana Septian"/>
    <s v="IDH70057"/>
    <s v="Associate engineer"/>
    <s v="Denpasar"/>
    <s v="Region 3"/>
    <s v="SIPRAMA"/>
    <d v="2022-11-17T00:00:00"/>
    <d v="2024-10-31T00:00:00"/>
    <s v="2 Tahun 1 Bulan 2 Hari "/>
    <n v="714"/>
    <n v="612"/>
    <n v="11"/>
    <n v="5254"/>
    <n v="477.63636363636363"/>
    <n v="457"/>
    <n v="0.8"/>
    <n v="4"/>
    <n v="0.95679482299200613"/>
    <n v="0.19135896459840124"/>
    <d v="1899-12-30T01:32:00"/>
    <d v="1905-04-13T03:02:40"/>
    <d v="1899-12-30T00:20:51"/>
    <n v="1"/>
    <n v="0"/>
    <n v="1"/>
    <n v="0.8"/>
    <n v="2"/>
    <n v="0.66666666666666663"/>
    <n v="0.16666666666666666"/>
    <d v="1899-12-30T01:31:01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70"/>
    <n v="80"/>
    <n v="80"/>
    <n v="0.8"/>
    <n v="380"/>
    <n v="0.98684210526315785"/>
    <n v="0.19736842105263158"/>
    <n v="4"/>
    <n v="76"/>
    <n v="0.81164405231769954"/>
    <s v="Baik"/>
    <s v="Stay"/>
    <x v="2"/>
  </r>
  <r>
    <n v="133"/>
    <s v="Anugrah Aji Pangestu"/>
    <s v="IDH40107"/>
    <s v="Engineer"/>
    <s v="Bogor"/>
    <s v="Region 1"/>
    <s v="SIPRAMA"/>
    <d v="2020-07-24T00:00:00"/>
    <d v="2024-10-31T00:00:00"/>
    <s v="4 Tahun 4 Bulan 25 Hari "/>
    <n v="1560"/>
    <n v="338"/>
    <n v="6"/>
    <n v="2750"/>
    <n v="458.33333333333331"/>
    <n v="467"/>
    <n v="1"/>
    <n v="5"/>
    <n v="1.018909090909091"/>
    <n v="0.2037818181818182"/>
    <d v="1899-12-30T01:02:00"/>
    <d v="2024-04-30T22:29:22"/>
    <d v="1899-12-30T00:00:00"/>
    <n v="1"/>
    <n v="0"/>
    <n v="0"/>
    <n v="0.4"/>
    <n v="1"/>
    <n v="0.33333333333333331"/>
    <n v="8.3333333333333329E-2"/>
    <d v="1899-12-30T00:42:55"/>
    <n v="1.25"/>
    <n v="5"/>
    <n v="1"/>
    <n v="0.25"/>
    <n v="1"/>
    <n v="1"/>
    <n v="1"/>
    <n v="1"/>
    <n v="0"/>
    <n v="0"/>
    <n v="0"/>
    <n v="0"/>
    <n v="0.8"/>
    <n v="4"/>
    <n v="0.5"/>
    <n v="7.4999999999999997E-2"/>
    <n v="75"/>
    <n v="75"/>
    <n v="90"/>
    <n v="90"/>
    <n v="75"/>
    <n v="0.8"/>
    <n v="405"/>
    <n v="0.98765432098765427"/>
    <n v="0.19753086419753085"/>
    <n v="4.25"/>
    <n v="81"/>
    <n v="0.80964601571268235"/>
    <s v="Baik"/>
    <s v="Level Up"/>
    <x v="0"/>
  </r>
  <r>
    <n v="134"/>
    <s v="Eko Tomy Hartono"/>
    <s v="IDH10001"/>
    <s v="Associate engineer"/>
    <s v="Kupang"/>
    <s v="Region 1"/>
    <s v="KINARYA"/>
    <d v="2024-01-15T00:00:00"/>
    <d v="2024-10-31T00:00:00"/>
    <s v="0 Tahun 11 Bulan 4 Hari "/>
    <n v="290"/>
    <n v="116"/>
    <n v="3"/>
    <n v="683"/>
    <n v="227.66666666666666"/>
    <n v="151"/>
    <n v="0.6"/>
    <n v="3"/>
    <n v="0.66325036603221088"/>
    <n v="0.13265007320644218"/>
    <d v="1899-12-30T00:21:58"/>
    <d v="1899-12-30T00:00:00"/>
    <d v="1899-12-30T00:08:38"/>
    <n v="1"/>
    <n v="0"/>
    <n v="1"/>
    <n v="0.8"/>
    <n v="2"/>
    <n v="0.66666666666666663"/>
    <n v="0.16666666666666666"/>
    <d v="1899-12-30T01:30:17"/>
    <n v="1"/>
    <n v="4"/>
    <n v="0.8"/>
    <n v="0.2"/>
    <n v="1"/>
    <n v="1"/>
    <n v="0"/>
    <n v="0"/>
    <n v="1"/>
    <n v="1"/>
    <n v="1"/>
    <n v="1"/>
    <n v="1"/>
    <n v="6"/>
    <n v="0.75"/>
    <n v="0.11249999999999999"/>
    <n v="75"/>
    <n v="75"/>
    <n v="90"/>
    <n v="85"/>
    <n v="80"/>
    <n v="0.8"/>
    <n v="405"/>
    <n v="0.98765432098765427"/>
    <n v="0.19753086419753085"/>
    <n v="4.2"/>
    <n v="81"/>
    <n v="0.80934760407063966"/>
    <s v="New CE"/>
    <s v="Stay"/>
    <x v="2"/>
  </r>
  <r>
    <n v="135"/>
    <s v="Thaha Tachmid Fadillah"/>
    <s v="IDH70104"/>
    <s v="Associate engineer"/>
    <s v="Bogor"/>
    <s v="Region 1"/>
    <s v="SIPRAMA"/>
    <d v="2023-11-01T00:00:00"/>
    <d v="2024-10-31T00:00:00"/>
    <s v="1 Tahun 1 Bulan 18 Hari "/>
    <n v="365"/>
    <n v="338"/>
    <n v="6"/>
    <n v="2750"/>
    <n v="458.33333333333331"/>
    <n v="432"/>
    <n v="0.8"/>
    <n v="4"/>
    <n v="0.94254545454545458"/>
    <n v="0.18850909090909093"/>
    <d v="1899-12-30T00:41:20"/>
    <d v="1899-12-30T00:30:40"/>
    <d v="1899-12-30T00:00:00"/>
    <n v="1"/>
    <n v="1"/>
    <n v="0"/>
    <n v="0.8"/>
    <n v="2"/>
    <n v="0.66666666666666663"/>
    <n v="0.16666666666666666"/>
    <d v="1899-12-30T01:14:41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90"/>
    <n v="85"/>
    <n v="80"/>
    <n v="0.8"/>
    <n v="405"/>
    <n v="0.98765432098765427"/>
    <n v="0.19753086419753085"/>
    <n v="4"/>
    <n v="81"/>
    <n v="0.80895662177328853"/>
    <s v="Baik"/>
    <s v="Level Up"/>
    <x v="1"/>
  </r>
  <r>
    <n v="136"/>
    <s v="Muhammad Ardhy Riawan"/>
    <s v="IDH20045"/>
    <s v="Engineer"/>
    <s v="Jakarta 3"/>
    <s v="Region 1"/>
    <s v="SIPRAMA"/>
    <d v="2019-06-11T00:00:00"/>
    <d v="2024-10-31T00:00:00"/>
    <s v="5 Tahun 6 Bulan 8 Hari "/>
    <n v="1969"/>
    <n v="1040"/>
    <n v="17"/>
    <n v="7455"/>
    <n v="438.52941176470586"/>
    <n v="445"/>
    <n v="1"/>
    <n v="5"/>
    <n v="1.0147551978537894"/>
    <n v="0.20295103957075789"/>
    <d v="1899-12-30T01:43:00"/>
    <d v="1899-12-30T00:00:00"/>
    <d v="1899-12-30T00:00:00"/>
    <n v="1"/>
    <n v="0"/>
    <n v="0"/>
    <n v="0.4"/>
    <n v="1"/>
    <n v="0.33333333333333331"/>
    <n v="8.3333333333333329E-2"/>
    <d v="1899-12-30T00:47:41"/>
    <n v="1.25"/>
    <n v="5"/>
    <n v="1"/>
    <n v="0.25"/>
    <n v="1"/>
    <n v="1"/>
    <n v="1"/>
    <n v="1"/>
    <n v="0"/>
    <n v="0"/>
    <n v="0"/>
    <n v="0"/>
    <n v="0.8"/>
    <n v="4"/>
    <n v="0.5"/>
    <n v="7.4999999999999997E-2"/>
    <n v="75"/>
    <n v="75"/>
    <n v="90"/>
    <n v="90"/>
    <n v="85"/>
    <n v="0.8"/>
    <n v="415"/>
    <n v="0.98795180722891562"/>
    <n v="0.19759036144578312"/>
    <n v="4.25"/>
    <n v="83"/>
    <n v="0.80887473434987422"/>
    <s v="Baik"/>
    <s v="Level Up"/>
    <x v="0"/>
  </r>
  <r>
    <n v="137"/>
    <s v="Dimas Putra Al Diansyah"/>
    <s v="IDH70018"/>
    <s v="Associate engineer"/>
    <s v="Kediri"/>
    <s v="Region 2"/>
    <s v="SIPRAMA"/>
    <d v="2022-10-03T00:00:00"/>
    <d v="2024-10-31T00:00:00"/>
    <s v="2 Tahun 2 Bulan 16 Hari "/>
    <n v="759"/>
    <n v="358"/>
    <n v="7"/>
    <n v="2648"/>
    <n v="378.28571428571428"/>
    <n v="392"/>
    <n v="1"/>
    <n v="5"/>
    <n v="1.0362537764350452"/>
    <n v="0.20725075528700906"/>
    <d v="1899-12-30T00:38:57"/>
    <d v="1899-12-30T00:33:16"/>
    <d v="1899-12-30T00:00:00"/>
    <n v="1"/>
    <n v="1"/>
    <n v="0"/>
    <n v="0.8"/>
    <n v="2"/>
    <n v="0.66666666666666663"/>
    <n v="0.16666666666666666"/>
    <d v="1899-12-30T01:18:02"/>
    <n v="1"/>
    <n v="4"/>
    <n v="0.8"/>
    <n v="0.2"/>
    <n v="1"/>
    <n v="1"/>
    <n v="0"/>
    <n v="0"/>
    <n v="0"/>
    <n v="0"/>
    <n v="0"/>
    <n v="0"/>
    <n v="0.4"/>
    <n v="2"/>
    <n v="0.25"/>
    <n v="3.7499999999999999E-2"/>
    <n v="75"/>
    <n v="75"/>
    <n v="80"/>
    <n v="80"/>
    <n v="80"/>
    <n v="0.8"/>
    <n v="390"/>
    <n v="0.98717948717948723"/>
    <n v="0.19743589743589746"/>
    <n v="4"/>
    <n v="78"/>
    <n v="0.80885331938957328"/>
    <s v="Baik"/>
    <s v="Level Up"/>
    <x v="1"/>
  </r>
  <r>
    <n v="138"/>
    <s v="Bahar"/>
    <s v="IDH60021"/>
    <s v="Engineer"/>
    <s v="Jakarta 3"/>
    <s v="Region 1"/>
    <s v="CITIUS"/>
    <d v="2021-09-27T00:00:00"/>
    <d v="2024-10-31T00:00:00"/>
    <s v="3 Tahun 2 Bulan 22 Hari "/>
    <n v="1130"/>
    <n v="1040"/>
    <n v="17"/>
    <n v="7455"/>
    <n v="438.52941176470586"/>
    <n v="486"/>
    <n v="1"/>
    <n v="5"/>
    <n v="1.1082494969818915"/>
    <n v="0.2216498993963783"/>
    <d v="1899-12-30T01:38:00"/>
    <d v="1899-12-30T00:00:00"/>
    <d v="1899-12-30T00:00:00"/>
    <n v="1"/>
    <n v="0"/>
    <n v="0"/>
    <n v="0.4"/>
    <n v="1"/>
    <n v="0.33333333333333331"/>
    <n v="8.3333333333333329E-2"/>
    <d v="1899-12-30T00:38:57"/>
    <n v="1.25"/>
    <n v="5"/>
    <n v="1"/>
    <n v="0.25"/>
    <n v="1"/>
    <n v="1"/>
    <n v="1"/>
    <n v="0"/>
    <n v="0"/>
    <n v="0"/>
    <n v="0"/>
    <n v="0"/>
    <n v="0.6"/>
    <n v="3"/>
    <n v="0.375"/>
    <n v="5.6249999999999994E-2"/>
    <n v="75"/>
    <n v="75"/>
    <n v="90"/>
    <n v="90"/>
    <n v="85"/>
    <n v="0.8"/>
    <n v="415"/>
    <n v="0.98795180722891562"/>
    <n v="0.19759036144578312"/>
    <n v="4.05"/>
    <n v="83"/>
    <n v="0.80882359417549476"/>
    <s v="Baik"/>
    <s v="Level Up"/>
    <x v="0"/>
  </r>
  <r>
    <n v="139"/>
    <s v="Moh. Aidil"/>
    <s v="IDH80017"/>
    <s v="Associate engineer"/>
    <s v="Bogor"/>
    <s v="Region 1"/>
    <s v="IMPACT"/>
    <d v="2023-01-09T00:00:00"/>
    <d v="2024-10-31T00:00:00"/>
    <s v="1 Tahun 11 Bulan 10 Hari "/>
    <n v="661"/>
    <n v="338"/>
    <n v="6"/>
    <n v="2750"/>
    <n v="458.33333333333331"/>
    <n v="465"/>
    <n v="1"/>
    <n v="5"/>
    <n v="1.0145454545454546"/>
    <n v="0.20290909090909093"/>
    <d v="1939-04-23T06:46:35"/>
    <d v="1899-12-30T00:10:21"/>
    <d v="1899-12-30T00:00:00"/>
    <n v="0"/>
    <n v="1"/>
    <n v="0"/>
    <n v="0.4"/>
    <n v="1"/>
    <n v="0.33333333333333331"/>
    <n v="8.3333333333333329E-2"/>
    <d v="1899-12-30T00:50:32"/>
    <n v="1.25"/>
    <n v="5"/>
    <n v="1"/>
    <n v="0.25"/>
    <n v="1"/>
    <n v="1"/>
    <n v="1"/>
    <n v="0"/>
    <n v="0"/>
    <n v="0"/>
    <n v="0"/>
    <n v="1"/>
    <n v="0.8"/>
    <n v="4"/>
    <n v="0.5"/>
    <n v="7.4999999999999997E-2"/>
    <n v="75"/>
    <n v="75"/>
    <n v="90"/>
    <n v="85"/>
    <n v="80"/>
    <n v="0.8"/>
    <n v="405"/>
    <n v="0.98765432098765427"/>
    <n v="0.19753086419753085"/>
    <n v="4.25"/>
    <n v="81"/>
    <n v="0.808773288439955"/>
    <s v="Baik"/>
    <s v="Level Up"/>
    <x v="1"/>
  </r>
  <r>
    <n v="140"/>
    <s v="Eri Septiadi"/>
    <s v="IDH70113"/>
    <s v="Associate engineer"/>
    <s v="Sukabumi"/>
    <s v="Region 2"/>
    <s v="SIPRAMA"/>
    <d v="2024-01-15T00:00:00"/>
    <d v="2024-10-31T00:00:00"/>
    <s v="0 Tahun 11 Bulan 4 Hari "/>
    <n v="290"/>
    <n v="241"/>
    <n v="4"/>
    <n v="1968"/>
    <n v="492"/>
    <n v="417"/>
    <n v="0.8"/>
    <n v="4"/>
    <n v="0.84756097560975607"/>
    <n v="0.16951219512195123"/>
    <d v="1901-08-19T16:26:45"/>
    <d v="1899-12-30T02:30:28"/>
    <d v="1899-12-30T07:29:31"/>
    <n v="0"/>
    <n v="1"/>
    <n v="1"/>
    <n v="0.8"/>
    <n v="2"/>
    <n v="0.66666666666666663"/>
    <n v="0.16666666666666666"/>
    <d v="1899-12-30T01:55:07"/>
    <n v="1"/>
    <n v="4"/>
    <n v="0.8"/>
    <n v="0.2"/>
    <n v="1"/>
    <n v="1"/>
    <n v="1"/>
    <n v="0"/>
    <n v="0"/>
    <n v="1"/>
    <n v="0"/>
    <n v="0"/>
    <n v="0.8"/>
    <n v="4"/>
    <n v="0.5"/>
    <n v="7.4999999999999997E-2"/>
    <n v="75"/>
    <n v="75"/>
    <n v="80"/>
    <n v="80"/>
    <n v="80"/>
    <n v="0.8"/>
    <n v="390"/>
    <n v="0.98717948717948723"/>
    <n v="0.19743589743589746"/>
    <n v="4.2"/>
    <n v="78"/>
    <n v="0.8086147592245152"/>
    <s v="New CE"/>
    <s v="Stay"/>
    <x v="2"/>
  </r>
  <r>
    <n v="141"/>
    <s v="Nelpan Safputra"/>
    <s v="IDH30015"/>
    <s v="Senior engineer"/>
    <s v="Bangka"/>
    <s v="Region 3"/>
    <s v="IMPACT"/>
    <d v="2016-09-05T00:00:00"/>
    <d v="2024-10-31T00:00:00"/>
    <s v="8 Tahun 3 Bulan 14 Hari "/>
    <n v="2978"/>
    <n v="113"/>
    <n v="2"/>
    <n v="829"/>
    <n v="414.5"/>
    <n v="375"/>
    <n v="0.8"/>
    <n v="4"/>
    <n v="0.90470446320868514"/>
    <n v="0.18094089264173704"/>
    <d v="1923-04-23T14:17:38"/>
    <d v="1974-09-27T11:19:05"/>
    <d v="1935-08-02T09:45:51"/>
    <n v="0"/>
    <n v="0"/>
    <n v="1"/>
    <n v="0.4"/>
    <n v="1"/>
    <n v="0.33333333333333331"/>
    <n v="8.3333333333333329E-2"/>
    <d v="1899-12-30T00:48:02"/>
    <n v="1.25"/>
    <n v="5"/>
    <n v="1"/>
    <n v="0.25"/>
    <n v="1"/>
    <n v="1"/>
    <n v="1"/>
    <n v="0"/>
    <n v="0"/>
    <n v="1"/>
    <n v="0"/>
    <n v="1"/>
    <n v="1"/>
    <n v="5"/>
    <n v="0.625"/>
    <n v="9.375E-2"/>
    <n v="75"/>
    <n v="75"/>
    <n v="85"/>
    <n v="90"/>
    <n v="90"/>
    <n v="0.8"/>
    <n v="415"/>
    <n v="0.98795180722891562"/>
    <n v="0.19759036144578312"/>
    <n v="4.25"/>
    <n v="83"/>
    <n v="0.80561458742085346"/>
    <s v="Baik"/>
    <s v="Stay"/>
    <x v="0"/>
  </r>
  <r>
    <n v="142"/>
    <s v="Ilham Satrio Wibowo"/>
    <s v="IDH80048"/>
    <s v="Associate engineer"/>
    <s v="Yogyakarta"/>
    <s v="Region 2"/>
    <s v="IMPACT"/>
    <d v="2023-05-29T00:00:00"/>
    <d v="2024-10-31T00:00:00"/>
    <s v="1 Tahun 6 Bulan 20 Hari "/>
    <n v="521"/>
    <n v="507"/>
    <n v="10"/>
    <n v="3304"/>
    <n v="330.4"/>
    <n v="243"/>
    <n v="0.6"/>
    <n v="3"/>
    <n v="0.73547215496368046"/>
    <n v="0.14709443099273609"/>
    <d v="1899-12-30T00:38:06"/>
    <d v="1899-12-30T02:43:30"/>
    <d v="1899-12-30T00:00:00"/>
    <n v="1"/>
    <n v="1"/>
    <n v="0"/>
    <n v="0.8"/>
    <n v="2"/>
    <n v="0.66666666666666663"/>
    <n v="0.16666666666666666"/>
    <d v="1899-12-30T01:14:32"/>
    <n v="1"/>
    <n v="4"/>
    <n v="0.8"/>
    <n v="0.2"/>
    <n v="1"/>
    <n v="1"/>
    <n v="1"/>
    <n v="0"/>
    <n v="0"/>
    <n v="1"/>
    <n v="0"/>
    <n v="1"/>
    <n v="1"/>
    <n v="5"/>
    <n v="0.625"/>
    <n v="9.375E-2"/>
    <n v="75"/>
    <n v="75"/>
    <n v="80"/>
    <n v="80"/>
    <n v="80"/>
    <n v="0.8"/>
    <n v="390"/>
    <n v="0.98717948717948723"/>
    <n v="0.19743589743589746"/>
    <n v="4.2"/>
    <n v="78"/>
    <n v="0.8049469950953001"/>
    <s v="Baik"/>
    <s v="Level Up"/>
    <x v="1"/>
  </r>
  <r>
    <n v="143"/>
    <s v="Ahmad Hoerul Anam"/>
    <s v="IDH70008"/>
    <s v="Engineer"/>
    <s v="Jayapura"/>
    <s v="Region 1"/>
    <s v="SIPRAMA"/>
    <d v="2022-08-22T00:00:00"/>
    <d v="2024-10-31T00:00:00"/>
    <s v="2 Tahun 3 Bulan 27 Hari "/>
    <n v="801"/>
    <n v="102"/>
    <n v="3"/>
    <n v="916"/>
    <n v="305.33333333333331"/>
    <n v="380"/>
    <n v="1"/>
    <n v="5"/>
    <n v="1.2445414847161573"/>
    <n v="0.24890829694323147"/>
    <d v="1964-06-12T13:13:17"/>
    <d v="1899-12-30T00:00:00"/>
    <d v="1974-08-13T03:21:27"/>
    <n v="0"/>
    <n v="0"/>
    <n v="1"/>
    <n v="0.75"/>
    <n v="1"/>
    <n v="0.33333333333333331"/>
    <n v="8.3333333333333329E-2"/>
    <d v="1899-12-30T01:04:36"/>
    <n v="1"/>
    <n v="4"/>
    <n v="0.8"/>
    <n v="0.2"/>
    <n v="1"/>
    <n v="1"/>
    <n v="1"/>
    <n v="0"/>
    <n v="0"/>
    <n v="1"/>
    <n v="0"/>
    <n v="0"/>
    <n v="0.8"/>
    <n v="4"/>
    <n v="0.5"/>
    <n v="7.4999999999999997E-2"/>
    <n v="75"/>
    <n v="75"/>
    <n v="90"/>
    <n v="90"/>
    <n v="75"/>
    <n v="0.8"/>
    <n v="405"/>
    <n v="0.98765432098765427"/>
    <n v="0.19753086419753085"/>
    <n v="4.3499999999999996"/>
    <n v="81"/>
    <n v="0.8047724944740956"/>
    <s v="Baik"/>
    <s v="Stay"/>
    <x v="1"/>
  </r>
  <r>
    <n v="144"/>
    <s v="Try Ispandy"/>
    <s v="IDH60086"/>
    <s v="Engineer"/>
    <s v="Medan"/>
    <s v="Region 3"/>
    <s v="CITIUS"/>
    <d v="2022-07-04T00:00:00"/>
    <d v="2024-10-31T00:00:00"/>
    <s v="2 Tahun 5 Bulan 15 Hari "/>
    <n v="850"/>
    <n v="684"/>
    <n v="10"/>
    <n v="4972"/>
    <n v="497.2"/>
    <n v="503"/>
    <n v="1"/>
    <n v="5"/>
    <n v="1.011665325824618"/>
    <n v="0.20233306516492361"/>
    <d v="1936-10-10T08:22:57"/>
    <d v="1899-12-30T00:04:11"/>
    <d v="1982-10-21T22:11:07"/>
    <n v="0"/>
    <n v="1"/>
    <n v="1"/>
    <n v="0.8"/>
    <n v="2"/>
    <n v="0.66666666666666663"/>
    <n v="0.16666666666666666"/>
    <d v="1899-12-30T01:19:25"/>
    <n v="1"/>
    <n v="4"/>
    <n v="0.8"/>
    <n v="0.2"/>
    <n v="1"/>
    <n v="1"/>
    <n v="0"/>
    <n v="0"/>
    <n v="0"/>
    <n v="0"/>
    <n v="0"/>
    <n v="0"/>
    <n v="0.4"/>
    <n v="2"/>
    <n v="0.25"/>
    <n v="3.7499999999999999E-2"/>
    <n v="75"/>
    <n v="75"/>
    <n v="75"/>
    <n v="80"/>
    <n v="75"/>
    <n v="0.8"/>
    <n v="380"/>
    <n v="0.98684210526315785"/>
    <n v="0.19736842105263158"/>
    <n v="4"/>
    <n v="76"/>
    <n v="0.80386815288422175"/>
    <s v="Baik"/>
    <s v="Stay"/>
    <x v="1"/>
  </r>
  <r>
    <n v="145"/>
    <s v="Ricko Aglis Abdurahman"/>
    <s v="IDH50021"/>
    <s v="Associate engineer"/>
    <s v="Bandung"/>
    <s v="Region 2"/>
    <s v="SIPRAMA"/>
    <d v="2020-12-07T00:00:00"/>
    <d v="2024-10-31T00:00:00"/>
    <s v="4 Tahun 0 Bulan 12 Hari "/>
    <n v="1424"/>
    <n v="872"/>
    <n v="15"/>
    <n v="5975"/>
    <n v="398.33333333333331"/>
    <n v="381"/>
    <n v="0.8"/>
    <n v="4"/>
    <n v="0.95648535564853565"/>
    <n v="0.19129707112970715"/>
    <d v="1903-10-26T13:59:01"/>
    <d v="1899-12-30T00:48:43"/>
    <d v="1899-12-30T00:00:00"/>
    <n v="0"/>
    <n v="1"/>
    <n v="0"/>
    <n v="0.4"/>
    <n v="1"/>
    <n v="0.33333333333333331"/>
    <n v="8.3333333333333329E-2"/>
    <d v="1899-12-30T01:37:58"/>
    <n v="1"/>
    <n v="4"/>
    <n v="0.8"/>
    <n v="0.2"/>
    <n v="1"/>
    <n v="1"/>
    <n v="1"/>
    <n v="1"/>
    <n v="0"/>
    <n v="1"/>
    <n v="1"/>
    <n v="1"/>
    <n v="1"/>
    <n v="7"/>
    <n v="0.875"/>
    <n v="0.13125000000000001"/>
    <n v="75"/>
    <n v="75"/>
    <n v="80"/>
    <n v="80"/>
    <n v="80"/>
    <n v="0.8"/>
    <n v="390"/>
    <n v="0.98717948717948723"/>
    <n v="0.19743589743589746"/>
    <n v="4"/>
    <n v="78"/>
    <n v="0.80331630189893799"/>
    <s v="Baik"/>
    <s v="Stay"/>
    <x v="2"/>
  </r>
  <r>
    <n v="146"/>
    <s v="Bayu Ihsan Nugroho"/>
    <s v="IDH60063"/>
    <s v="Associate engineer"/>
    <s v="Bandung"/>
    <s v="Region 2"/>
    <s v="CITIUS"/>
    <d v="2022-05-09T00:00:00"/>
    <d v="2024-10-31T00:00:00"/>
    <s v="2 Tahun 7 Bulan 10 Hari "/>
    <n v="906"/>
    <n v="872"/>
    <n v="15"/>
    <n v="5975"/>
    <n v="398.33333333333331"/>
    <n v="392"/>
    <n v="0.8"/>
    <n v="4"/>
    <n v="0.98410041841004192"/>
    <n v="0.1968200836820084"/>
    <d v="1924-06-15T05:14:24"/>
    <d v="1899-12-30T01:20:21"/>
    <d v="1899-12-30T00:00:00"/>
    <n v="0"/>
    <n v="1"/>
    <n v="0"/>
    <n v="0.4"/>
    <n v="1"/>
    <n v="0.33333333333333331"/>
    <n v="8.3333333333333329E-2"/>
    <d v="1899-12-30T00:59:21"/>
    <n v="1.25"/>
    <n v="5"/>
    <n v="1"/>
    <n v="0.25"/>
    <n v="1"/>
    <n v="1"/>
    <n v="1"/>
    <n v="0"/>
    <n v="0"/>
    <n v="1"/>
    <n v="0"/>
    <n v="0"/>
    <n v="0.8"/>
    <n v="4"/>
    <n v="0.5"/>
    <n v="7.4999999999999997E-2"/>
    <n v="75"/>
    <n v="75"/>
    <n v="85"/>
    <n v="85"/>
    <n v="85"/>
    <n v="0.8"/>
    <n v="405"/>
    <n v="0.98765432098765427"/>
    <n v="0.19753086419753085"/>
    <n v="4.05"/>
    <n v="81"/>
    <n v="0.8026842812128725"/>
    <s v="Baik"/>
    <s v="Level Up"/>
    <x v="1"/>
  </r>
  <r>
    <n v="147"/>
    <s v="Muhammad Adi Prabowo Sutanto"/>
    <s v="IDH60072"/>
    <s v="Associate engineer"/>
    <s v="Tangerang"/>
    <s v="Region 1"/>
    <s v="CITIUS"/>
    <d v="2022-05-09T00:00:00"/>
    <d v="2024-10-31T00:00:00"/>
    <s v="2 Tahun 7 Bulan 10 Hari "/>
    <n v="906"/>
    <n v="760"/>
    <n v="13"/>
    <n v="5863"/>
    <n v="451"/>
    <n v="486"/>
    <n v="1"/>
    <n v="5"/>
    <n v="1.0776053215077606"/>
    <n v="0.21552106430155213"/>
    <d v="1899-12-30T01:14:00"/>
    <d v="1899-12-30T00:00:00"/>
    <d v="1899-12-30T00:00:00"/>
    <n v="1"/>
    <n v="0"/>
    <n v="0"/>
    <n v="0.4"/>
    <n v="1"/>
    <n v="0.33333333333333331"/>
    <n v="8.3333333333333329E-2"/>
    <d v="1899-12-30T00:34:43"/>
    <n v="1.25"/>
    <n v="5"/>
    <n v="1"/>
    <n v="0.25"/>
    <n v="1"/>
    <n v="1"/>
    <n v="1"/>
    <n v="0"/>
    <n v="0"/>
    <n v="0"/>
    <n v="0"/>
    <n v="0"/>
    <n v="0.6"/>
    <n v="3"/>
    <n v="0.375"/>
    <n v="5.6249999999999994E-2"/>
    <n v="75"/>
    <n v="75"/>
    <n v="90"/>
    <n v="85"/>
    <n v="80"/>
    <n v="0.8"/>
    <n v="405"/>
    <n v="0.98765432098765427"/>
    <n v="0.19753086419753085"/>
    <n v="4.05"/>
    <n v="81"/>
    <n v="0.80263526183241629"/>
    <s v="Baik"/>
    <s v="Level Up"/>
    <x v="1"/>
  </r>
  <r>
    <n v="148"/>
    <s v="Anggara Fajri Afif"/>
    <s v="IDH70012"/>
    <s v="Associate engineer"/>
    <s v="Jakarta 3"/>
    <s v="Region 1"/>
    <s v="SIPRAMA"/>
    <d v="2022-08-22T00:00:00"/>
    <d v="2024-10-31T00:00:00"/>
    <s v="2 Tahun 3 Bulan 27 Hari "/>
    <n v="801"/>
    <n v="1040"/>
    <n v="17"/>
    <n v="7455"/>
    <n v="438.52941176470586"/>
    <n v="471"/>
    <n v="1"/>
    <n v="5"/>
    <n v="1.0740442655935614"/>
    <n v="0.21480885311871228"/>
    <d v="1899-12-30T01:38:00"/>
    <d v="1899-12-30T00:00:00"/>
    <d v="1899-12-30T00:00:00"/>
    <n v="1"/>
    <n v="0"/>
    <n v="0"/>
    <n v="0.4"/>
    <n v="1"/>
    <n v="0.33333333333333331"/>
    <n v="8.3333333333333329E-2"/>
    <d v="1899-12-30T00:31:27"/>
    <n v="1.25"/>
    <n v="5"/>
    <n v="1"/>
    <n v="0.25"/>
    <n v="1"/>
    <n v="1"/>
    <n v="1"/>
    <n v="0"/>
    <n v="0"/>
    <n v="0"/>
    <n v="0"/>
    <n v="0"/>
    <n v="0.6"/>
    <n v="3"/>
    <n v="0.375"/>
    <n v="5.6249999999999994E-2"/>
    <n v="75"/>
    <n v="75"/>
    <n v="90"/>
    <n v="85"/>
    <n v="80"/>
    <n v="0.8"/>
    <n v="405"/>
    <n v="0.98765432098765427"/>
    <n v="0.19753086419753085"/>
    <n v="4.05"/>
    <n v="81"/>
    <n v="0.80192305064957647"/>
    <s v="Baik"/>
    <s v="Level Up"/>
    <x v="1"/>
  </r>
  <r>
    <n v="149"/>
    <s v="Muh Fadly Jashar"/>
    <s v="IDH70051"/>
    <s v="Engineer"/>
    <s v="Parepare"/>
    <s v="Region 3"/>
    <s v="SIPRAMA"/>
    <d v="2022-11-17T00:00:00"/>
    <d v="2024-10-31T00:00:00"/>
    <s v="2 Tahun 1 Bulan 2 Hari "/>
    <n v="714"/>
    <n v="171"/>
    <n v="4"/>
    <n v="1473"/>
    <n v="368.25"/>
    <n v="393"/>
    <n v="1"/>
    <n v="5"/>
    <n v="1.0672097759674135"/>
    <n v="0.21344195519348272"/>
    <d v="1916-08-01T05:47:52"/>
    <d v="1993-05-13T00:05:02"/>
    <d v="1952-03-27T18:39:18"/>
    <n v="0"/>
    <n v="0"/>
    <n v="1"/>
    <n v="0.4"/>
    <n v="1"/>
    <n v="0.33333333333333331"/>
    <n v="8.3333333333333329E-2"/>
    <d v="1899-12-30T00:58:33"/>
    <n v="1.25"/>
    <n v="5"/>
    <n v="1"/>
    <n v="0.25"/>
    <n v="1"/>
    <n v="1"/>
    <n v="1"/>
    <n v="0"/>
    <n v="0"/>
    <n v="0"/>
    <n v="0"/>
    <n v="0"/>
    <n v="0.6"/>
    <n v="3"/>
    <n v="0.375"/>
    <n v="5.6249999999999994E-2"/>
    <n v="75"/>
    <n v="75"/>
    <n v="85"/>
    <n v="85"/>
    <n v="85"/>
    <n v="0.8"/>
    <n v="405"/>
    <n v="0.98765432098765427"/>
    <n v="0.19753086419753085"/>
    <n v="4.05"/>
    <n v="81"/>
    <n v="0.80055615272434688"/>
    <s v="Baik"/>
    <s v="Stay"/>
    <x v="1"/>
  </r>
  <r>
    <n v="150"/>
    <s v="Fahri"/>
    <s v="IDH70025"/>
    <s v="Associate engineer"/>
    <s v="Banjarmasin"/>
    <s v="Region 3"/>
    <s v="SIPRAMA"/>
    <d v="2022-10-03T00:00:00"/>
    <d v="2024-10-31T00:00:00"/>
    <s v="2 Tahun 2 Bulan 16 Hari "/>
    <n v="759"/>
    <n v="295"/>
    <n v="5"/>
    <n v="2105"/>
    <n v="421"/>
    <n v="414"/>
    <n v="0.8"/>
    <n v="4"/>
    <n v="0.98337292161520184"/>
    <n v="0.19667458432304039"/>
    <d v="1899-12-30T01:30:00"/>
    <d v="1899-12-30T01:05:00"/>
    <d v="1924-11-02T15:04:59"/>
    <n v="1"/>
    <n v="1"/>
    <n v="1"/>
    <n v="1.25"/>
    <n v="3"/>
    <n v="1"/>
    <n v="0.25"/>
    <d v="1899-12-30T03:22:50"/>
    <n v="0.5"/>
    <n v="2"/>
    <n v="0.4"/>
    <n v="0.1"/>
    <n v="1"/>
    <n v="1"/>
    <n v="0"/>
    <n v="0"/>
    <n v="0"/>
    <n v="1"/>
    <n v="0"/>
    <n v="0"/>
    <n v="0.6"/>
    <n v="3"/>
    <n v="0.375"/>
    <n v="5.6249999999999994E-2"/>
    <n v="75"/>
    <n v="75"/>
    <n v="85"/>
    <n v="85"/>
    <n v="85"/>
    <n v="0.8"/>
    <n v="405"/>
    <n v="0.98765432098765427"/>
    <n v="0.19753086419753085"/>
    <n v="3.95"/>
    <n v="81"/>
    <n v="0.80045544852057127"/>
    <s v="Baik"/>
    <s v="Level Up"/>
    <x v="1"/>
  </r>
  <r>
    <n v="151"/>
    <s v="Wiranto Biki"/>
    <s v="IDH80132"/>
    <s v="Associate engineer"/>
    <s v="Manado"/>
    <s v="Region 3"/>
    <s v="IMPACT"/>
    <d v="2024-02-01T00:00:00"/>
    <d v="2024-10-31T00:00:00"/>
    <s v="0 Tahun 10 Bulan 18 Hari "/>
    <n v="273"/>
    <n v="156"/>
    <n v="4"/>
    <n v="1290"/>
    <n v="322.5"/>
    <n v="226"/>
    <n v="0.6"/>
    <n v="3"/>
    <n v="0.70077519379844966"/>
    <n v="0.14015503875968993"/>
    <d v="1899-12-30T01:15:27"/>
    <d v="1899-12-30T00:00:00"/>
    <d v="1899-12-30T09:40:20"/>
    <n v="1"/>
    <n v="0"/>
    <n v="1"/>
    <n v="0.8"/>
    <n v="2"/>
    <n v="0.66666666666666663"/>
    <n v="0.16666666666666666"/>
    <d v="1899-12-30T01:35:28"/>
    <n v="1"/>
    <n v="4"/>
    <n v="0.8"/>
    <n v="0.2"/>
    <n v="1"/>
    <n v="1"/>
    <n v="1"/>
    <n v="0"/>
    <n v="0"/>
    <n v="1"/>
    <n v="0"/>
    <n v="1"/>
    <n v="1"/>
    <n v="5"/>
    <n v="0.625"/>
    <n v="9.375E-2"/>
    <n v="75"/>
    <n v="75"/>
    <n v="80"/>
    <n v="85"/>
    <n v="80"/>
    <n v="0.8"/>
    <n v="395"/>
    <n v="0.98734177215189878"/>
    <n v="0.19746835443037977"/>
    <n v="4.2"/>
    <n v="79"/>
    <n v="0.79804005985673643"/>
    <s v="New CE"/>
    <s v="Stay"/>
    <x v="2"/>
  </r>
  <r>
    <n v="152"/>
    <s v="Muhammad Tri Prijaya"/>
    <s v="IDH90048"/>
    <s v="Associate engineer"/>
    <s v="Denpasar"/>
    <s v="Region 3"/>
    <s v="KINARYA"/>
    <d v="2023-11-13T00:00:00"/>
    <d v="2024-10-31T00:00:00"/>
    <s v="1 Tahun 1 Bulan 6 Hari "/>
    <n v="353"/>
    <n v="612"/>
    <n v="11"/>
    <n v="5254"/>
    <n v="477.63636363636363"/>
    <n v="469"/>
    <n v="0.8"/>
    <n v="4"/>
    <n v="0.9819185382565665"/>
    <n v="0.1963837076513133"/>
    <d v="1901-04-03T18:07:45"/>
    <d v="1899-12-30T02:42:12"/>
    <d v="1899-12-30T00:55:42"/>
    <n v="0"/>
    <n v="1"/>
    <n v="1"/>
    <n v="0.8"/>
    <n v="2"/>
    <n v="0.66666666666666663"/>
    <n v="0.16666666666666666"/>
    <d v="1899-12-30T01:16:13"/>
    <n v="1"/>
    <n v="4"/>
    <n v="0.8"/>
    <n v="0.2"/>
    <n v="1"/>
    <n v="1"/>
    <n v="0"/>
    <n v="0"/>
    <n v="0"/>
    <n v="0"/>
    <n v="0"/>
    <n v="0"/>
    <n v="0.4"/>
    <n v="2"/>
    <n v="0.25"/>
    <n v="3.7499999999999999E-2"/>
    <n v="75"/>
    <n v="75"/>
    <n v="85"/>
    <n v="80"/>
    <n v="80"/>
    <n v="0.8"/>
    <n v="395"/>
    <n v="0.98734177215189878"/>
    <n v="0.19746835443037977"/>
    <n v="3.8"/>
    <n v="79"/>
    <n v="0.79801872874835977"/>
    <s v="Lebih Dari Cukup"/>
    <s v="Stay"/>
    <x v="2"/>
  </r>
  <r>
    <n v="153"/>
    <s v="Dicky Raychan"/>
    <s v="IDH80127"/>
    <s v="Associate engineer"/>
    <s v="Tarutung"/>
    <s v="Region 3"/>
    <s v="IMPACT"/>
    <d v="2024-01-15T00:00:00"/>
    <d v="2024-10-31T00:00:00"/>
    <s v="0 Tahun 11 Bulan 4 Hari "/>
    <n v="290"/>
    <n v="69"/>
    <n v="2"/>
    <n v="514"/>
    <n v="257"/>
    <n v="204"/>
    <n v="0.6"/>
    <n v="3"/>
    <n v="0.79377431906614782"/>
    <n v="0.15875486381322956"/>
    <d v="1924-12-07T23:03:01"/>
    <d v="1899-12-30T00:00:08"/>
    <d v="1899-12-30T00:22:47"/>
    <n v="0"/>
    <n v="1"/>
    <n v="1"/>
    <n v="0.8"/>
    <n v="2"/>
    <n v="0.66666666666666663"/>
    <n v="0.16666666666666666"/>
    <d v="1899-12-30T01:30:05"/>
    <n v="1"/>
    <n v="4"/>
    <n v="0.8"/>
    <n v="0.2"/>
    <n v="1"/>
    <n v="1"/>
    <n v="1"/>
    <n v="0"/>
    <n v="1"/>
    <n v="0"/>
    <n v="0"/>
    <n v="0"/>
    <n v="0.8"/>
    <n v="4"/>
    <n v="0.5"/>
    <n v="7.4999999999999997E-2"/>
    <n v="75"/>
    <n v="75"/>
    <n v="80"/>
    <n v="80"/>
    <n v="80"/>
    <n v="0.8"/>
    <n v="390"/>
    <n v="0.98717948717948723"/>
    <n v="0.19743589743589746"/>
    <n v="4"/>
    <n v="78"/>
    <n v="0.7978574279157935"/>
    <s v="New CE"/>
    <s v="Stay"/>
    <x v="2"/>
  </r>
  <r>
    <n v="154"/>
    <s v="Mohammad Aprido Rezkiawan"/>
    <s v="IDH70030"/>
    <s v="Associate engineer"/>
    <s v="Jember"/>
    <s v="Region 2"/>
    <s v="SIPRAMA"/>
    <d v="2022-10-03T00:00:00"/>
    <d v="2024-10-31T00:00:00"/>
    <s v="2 Tahun 2 Bulan 16 Hari "/>
    <n v="759"/>
    <n v="173"/>
    <n v="3"/>
    <n v="1310"/>
    <n v="436.66666666666669"/>
    <n v="483"/>
    <n v="1"/>
    <n v="5"/>
    <n v="1.1061068702290076"/>
    <n v="0.22122137404580153"/>
    <d v="1924-05-08T12:01:23"/>
    <d v="1921-05-29T18:57:47"/>
    <d v="1899-12-30T00:00:00"/>
    <n v="0"/>
    <n v="0"/>
    <n v="0"/>
    <n v="0.8"/>
    <n v="2"/>
    <n v="0.66666666666666663"/>
    <n v="0.16666666666666666"/>
    <d v="1899-12-30T00:55:49"/>
    <n v="0.5"/>
    <n v="2"/>
    <n v="0.4"/>
    <n v="0.1"/>
    <n v="1"/>
    <n v="1"/>
    <n v="1"/>
    <n v="0"/>
    <n v="1"/>
    <n v="1"/>
    <n v="0"/>
    <n v="1"/>
    <n v="1"/>
    <n v="6"/>
    <n v="0.75"/>
    <n v="0.11249999999999999"/>
    <n v="75"/>
    <n v="75"/>
    <n v="80"/>
    <n v="80"/>
    <n v="80"/>
    <n v="0.8"/>
    <n v="390"/>
    <n v="0.98717948717948723"/>
    <n v="0.19743589743589746"/>
    <n v="4.0999999999999996"/>
    <n v="78"/>
    <n v="0.79782393814836561"/>
    <s v="Lebih Dari Cukup"/>
    <s v="Stay"/>
    <x v="2"/>
  </r>
  <r>
    <n v="155"/>
    <s v="M Rifqy Uaisy"/>
    <s v="IDH80073"/>
    <s v="Associate engineer"/>
    <s v="Surabaya"/>
    <s v="Region 2"/>
    <s v="IMPACT"/>
    <d v="2023-07-24T00:00:00"/>
    <d v="2024-10-31T00:00:00"/>
    <s v="1 Tahun 4 Bulan 25 Hari "/>
    <n v="465"/>
    <n v="1384"/>
    <n v="22"/>
    <n v="6775"/>
    <n v="307.95454545454544"/>
    <n v="365"/>
    <n v="1"/>
    <n v="5"/>
    <n v="1.1852398523985241"/>
    <n v="0.23704797047970483"/>
    <d v="1902-05-15T02:27:38"/>
    <d v="1899-12-30T00:00:00"/>
    <d v="1899-12-30T00:00:00"/>
    <n v="0"/>
    <n v="0"/>
    <n v="0"/>
    <n v="0"/>
    <n v="0"/>
    <n v="0"/>
    <n v="0"/>
    <d v="1899-12-30T00:39:19"/>
    <n v="1.25"/>
    <n v="5"/>
    <n v="1"/>
    <n v="0.25"/>
    <n v="1"/>
    <n v="1"/>
    <n v="1"/>
    <n v="0"/>
    <n v="1"/>
    <n v="0"/>
    <n v="1"/>
    <n v="1"/>
    <n v="1"/>
    <n v="6"/>
    <n v="0.75"/>
    <n v="0.11249999999999999"/>
    <n v="75"/>
    <n v="75"/>
    <n v="70"/>
    <n v="70"/>
    <n v="75"/>
    <n v="0.8"/>
    <n v="365"/>
    <n v="0.98630136986301364"/>
    <n v="0.19726027397260273"/>
    <n v="4.05"/>
    <n v="73"/>
    <n v="0.79680824445230758"/>
    <s v="Lebih Dari Cukup"/>
    <s v="Stay"/>
    <x v="2"/>
  </r>
  <r>
    <n v="156"/>
    <s v="Reza Digusli A Siregar"/>
    <s v="IDH80075"/>
    <s v="Associate engineer"/>
    <s v="Rantau Prapat"/>
    <s v="Region 3"/>
    <s v="IMPACT"/>
    <d v="2023-07-24T00:00:00"/>
    <d v="2024-10-31T00:00:00"/>
    <s v="1 Tahun 4 Bulan 25 Hari "/>
    <n v="465"/>
    <n v="47"/>
    <n v="1"/>
    <n v="298"/>
    <n v="298"/>
    <n v="386"/>
    <n v="1"/>
    <n v="5"/>
    <n v="1.2953020134228188"/>
    <n v="0.25906040268456376"/>
    <d v="1904-06-11T23:49:38"/>
    <d v="1899-12-30T00:00:00"/>
    <d v="1910-05-18T08:38:27"/>
    <n v="0"/>
    <n v="0"/>
    <n v="1"/>
    <n v="0.4"/>
    <n v="1"/>
    <n v="0.33333333333333331"/>
    <n v="8.3333333333333329E-2"/>
    <d v="1899-12-30T01:08:36"/>
    <n v="1"/>
    <n v="4"/>
    <n v="0.8"/>
    <n v="0.2"/>
    <n v="1"/>
    <n v="1"/>
    <n v="0"/>
    <n v="0"/>
    <n v="0"/>
    <n v="1"/>
    <n v="0"/>
    <n v="0"/>
    <n v="0.6"/>
    <n v="3"/>
    <n v="0.375"/>
    <n v="5.6249999999999994E-2"/>
    <n v="75"/>
    <n v="75"/>
    <n v="85"/>
    <n v="85"/>
    <n v="85"/>
    <n v="0.8"/>
    <n v="405"/>
    <n v="0.98765432098765427"/>
    <n v="0.19753086419753085"/>
    <n v="3.8"/>
    <n v="81"/>
    <n v="0.79617460021542796"/>
    <s v="Lebih Dari Cukup"/>
    <s v="Stay"/>
    <x v="2"/>
  </r>
  <r>
    <n v="157"/>
    <s v="Ilham Rusdiyono"/>
    <s v="IDH70073"/>
    <s v="Engineer"/>
    <s v="Madiun"/>
    <s v="Region 2"/>
    <s v="SIPRAMA"/>
    <d v="2021-02-01T00:00:00"/>
    <d v="2024-10-31T00:00:00"/>
    <s v="3 Tahun 10 Bulan 18 Hari "/>
    <n v="1368"/>
    <n v="213"/>
    <n v="3"/>
    <n v="1330"/>
    <n v="443.33333333333331"/>
    <n v="385"/>
    <n v="0.8"/>
    <n v="4"/>
    <n v="0.86842105263157898"/>
    <n v="0.1736842105263158"/>
    <d v="1905-08-22T06:20:15"/>
    <d v="1899-12-30T01:36:29"/>
    <d v="1920-09-06T15:54:35"/>
    <n v="0"/>
    <n v="1"/>
    <n v="1"/>
    <n v="0.8"/>
    <n v="2"/>
    <n v="0.66666666666666663"/>
    <n v="0.16666666666666666"/>
    <d v="1899-12-30T01:11:53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4"/>
    <n v="78"/>
    <n v="0.79403677462887989"/>
    <s v="Lebih Dari Cukup"/>
    <s v="Stay"/>
    <x v="1"/>
  </r>
  <r>
    <n v="158"/>
    <s v="Herizal Kuswardana"/>
    <s v="IDH70022"/>
    <s v="Senior engineer"/>
    <s v="Yogyakarta"/>
    <s v="Region 2"/>
    <s v="SIPRAMA"/>
    <d v="2022-10-03T00:00:00"/>
    <d v="2024-10-31T00:00:00"/>
    <s v="2 Tahun 2 Bulan 16 Hari "/>
    <n v="759"/>
    <n v="507"/>
    <n v="10"/>
    <n v="3304"/>
    <n v="330.4"/>
    <n v="499"/>
    <n v="1"/>
    <n v="5"/>
    <n v="1.5102905569007266"/>
    <n v="0.30205811138014532"/>
    <d v="1944-04-28T03:09:23"/>
    <d v="1945-08-01T15:57:57"/>
    <d v="1899-12-30T00:00:00"/>
    <n v="0"/>
    <n v="0"/>
    <n v="0"/>
    <n v="0"/>
    <n v="0"/>
    <n v="0"/>
    <n v="0"/>
    <d v="1899-12-30T01:44:22"/>
    <n v="1"/>
    <n v="4"/>
    <n v="0.8"/>
    <n v="0.2"/>
    <n v="1"/>
    <n v="1"/>
    <n v="1"/>
    <n v="0"/>
    <n v="0"/>
    <n v="1"/>
    <n v="0"/>
    <n v="1"/>
    <n v="1"/>
    <n v="5"/>
    <n v="0.625"/>
    <n v="9.375E-2"/>
    <n v="75"/>
    <n v="75"/>
    <n v="90"/>
    <n v="90"/>
    <n v="85"/>
    <n v="0.8"/>
    <n v="415"/>
    <n v="0.98795180722891562"/>
    <n v="0.19759036144578312"/>
    <n v="3.8"/>
    <n v="83"/>
    <n v="0.79339847282592846"/>
    <s v="Lebih Dari Cukup"/>
    <s v="Stay"/>
    <x v="0"/>
  </r>
  <r>
    <n v="159"/>
    <s v="Andriana Navulani"/>
    <s v="IDH60046"/>
    <s v="Engineer"/>
    <s v="Cirebon"/>
    <s v="Region 2"/>
    <s v="CITIUS"/>
    <d v="2022-01-24T00:00:00"/>
    <d v="2024-10-31T00:00:00"/>
    <s v="2 Tahun 10 Bulan 25 Hari "/>
    <n v="1011"/>
    <n v="332"/>
    <n v="6"/>
    <n v="2281"/>
    <n v="380.16666666666669"/>
    <n v="416"/>
    <n v="1"/>
    <n v="5"/>
    <n v="1.0942569048662867"/>
    <n v="0.21885138097325735"/>
    <d v="1902-09-25T20:28:39"/>
    <d v="1899-12-30T01:23:24"/>
    <d v="1899-12-30T00:00:00"/>
    <n v="0"/>
    <n v="1"/>
    <n v="0"/>
    <n v="0.4"/>
    <n v="1"/>
    <n v="0.33333333333333331"/>
    <n v="8.3333333333333329E-2"/>
    <d v="1899-12-30T01:49:11"/>
    <n v="1"/>
    <n v="4"/>
    <n v="0.8"/>
    <n v="0.2"/>
    <n v="1"/>
    <n v="1"/>
    <n v="1"/>
    <n v="0"/>
    <n v="0"/>
    <n v="1"/>
    <n v="0"/>
    <n v="1"/>
    <n v="1"/>
    <n v="5"/>
    <n v="0.625"/>
    <n v="9.375E-2"/>
    <n v="75"/>
    <n v="75"/>
    <n v="80"/>
    <n v="80"/>
    <n v="80"/>
    <n v="0.8"/>
    <n v="390"/>
    <n v="0.98717948717948723"/>
    <n v="0.19743589743589746"/>
    <n v="4.2"/>
    <n v="78"/>
    <n v="0.79337061174248813"/>
    <s v="Lebih Dari Cukup"/>
    <s v="Stay"/>
    <x v="1"/>
  </r>
  <r>
    <n v="160"/>
    <s v="Rifqy Adrian"/>
    <s v="IDH60088"/>
    <s v="Associate engineer"/>
    <s v="Bangka"/>
    <s v="Region 3"/>
    <s v="CITIUS"/>
    <d v="2022-07-04T00:00:00"/>
    <d v="2024-10-31T00:00:00"/>
    <s v="2 Tahun 5 Bulan 15 Hari "/>
    <n v="850"/>
    <n v="113"/>
    <n v="2"/>
    <n v="829"/>
    <n v="414.5"/>
    <n v="375"/>
    <n v="0.8"/>
    <n v="4"/>
    <n v="0.90470446320868514"/>
    <n v="0.18094089264173704"/>
    <d v="1914-08-29T20:33:08"/>
    <d v="1928-09-29T03:20:56"/>
    <d v="1924-11-29T07:38:57"/>
    <n v="0"/>
    <n v="0"/>
    <n v="1"/>
    <n v="0.4"/>
    <n v="1"/>
    <n v="0.33333333333333331"/>
    <n v="8.3333333333333329E-2"/>
    <d v="1899-12-30T01:54:01"/>
    <n v="1"/>
    <n v="4"/>
    <n v="0.8"/>
    <n v="0.2"/>
    <n v="1"/>
    <n v="1"/>
    <n v="1"/>
    <n v="1"/>
    <n v="1"/>
    <n v="1"/>
    <n v="0"/>
    <n v="1"/>
    <n v="1"/>
    <n v="7"/>
    <n v="0.875"/>
    <n v="0.13125000000000001"/>
    <n v="75"/>
    <n v="75"/>
    <n v="65"/>
    <n v="80"/>
    <n v="65"/>
    <n v="0.8"/>
    <n v="360"/>
    <n v="0.98611111111111116"/>
    <n v="0.19722222222222224"/>
    <n v="4"/>
    <n v="72"/>
    <n v="0.79274644819729256"/>
    <s v="Lebih Dari Cukup"/>
    <s v="Stay"/>
    <x v="2"/>
  </r>
  <r>
    <n v="161"/>
    <s v="Hafi Maulana Ridwan"/>
    <s v="IDH40130"/>
    <s v="Engineer"/>
    <s v="Surabaya"/>
    <s v="Region 2"/>
    <s v="GSS"/>
    <d v="2021-04-05T00:00:00"/>
    <d v="2024-10-31T00:00:00"/>
    <s v="3 Tahun 8 Bulan 14 Hari "/>
    <n v="1305"/>
    <n v="1384"/>
    <n v="22"/>
    <n v="6775"/>
    <n v="307.95454545454544"/>
    <n v="521"/>
    <n v="1"/>
    <n v="5"/>
    <n v="1.6918081180811808"/>
    <n v="0.33836162361623617"/>
    <d v="1902-10-29T21:24:43"/>
    <d v="1899-12-30T03:30:28"/>
    <d v="1899-12-30T00:00:00"/>
    <n v="0"/>
    <n v="0"/>
    <n v="0"/>
    <n v="0"/>
    <n v="0"/>
    <n v="0"/>
    <n v="0"/>
    <d v="1899-12-30T01:21:03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90"/>
    <n v="90"/>
    <n v="90"/>
    <n v="0.8"/>
    <n v="420"/>
    <n v="0.98809523809523814"/>
    <n v="0.19761904761904764"/>
    <n v="3.4000000000000004"/>
    <n v="84"/>
    <n v="0.79223067123528379"/>
    <s v="Lebih Dari Cukup"/>
    <s v="Stay"/>
    <x v="1"/>
  </r>
  <r>
    <n v="162"/>
    <s v="Mokhamad Burhanudin"/>
    <s v="IDH40007"/>
    <s v="Senior engineer"/>
    <s v="Kediri"/>
    <s v="Region 2"/>
    <s v="GSS"/>
    <d v="2017-08-21T00:00:00"/>
    <d v="2024-10-31T00:00:00"/>
    <s v="7 Tahun 3 Bulan 28 Hari "/>
    <n v="2628"/>
    <n v="358"/>
    <n v="7"/>
    <n v="2648"/>
    <n v="378.28571428571428"/>
    <n v="386"/>
    <n v="1"/>
    <n v="5"/>
    <n v="1.0203927492447129"/>
    <n v="0.20407854984894258"/>
    <d v="1916-01-17T19:47:22"/>
    <d v="1899-12-30T00:00:00"/>
    <d v="1899-12-30T00:12:50"/>
    <n v="0"/>
    <n v="0"/>
    <n v="1"/>
    <n v="0.4"/>
    <n v="1"/>
    <n v="0.33333333333333331"/>
    <n v="8.3333333333333329E-2"/>
    <d v="1899-12-30T00:45:39"/>
    <n v="1.25"/>
    <n v="5"/>
    <n v="1"/>
    <n v="0.25"/>
    <n v="1"/>
    <n v="1"/>
    <n v="1"/>
    <n v="0"/>
    <n v="0"/>
    <n v="0"/>
    <n v="0"/>
    <n v="0"/>
    <n v="0.6"/>
    <n v="3"/>
    <n v="0.375"/>
    <n v="5.6249999999999994E-2"/>
    <n v="75"/>
    <n v="75"/>
    <n v="90"/>
    <n v="85"/>
    <n v="85"/>
    <n v="0.8"/>
    <n v="410"/>
    <n v="0.98780487804878048"/>
    <n v="0.19756097560975611"/>
    <n v="4.05"/>
    <n v="82"/>
    <n v="0.79122285879203202"/>
    <s v="Lebih Dari Cukup"/>
    <s v="Stay"/>
    <x v="0"/>
  </r>
  <r>
    <n v="163"/>
    <s v="Raka Widharma Kartika"/>
    <s v="IDH80088"/>
    <s v="Associate engineer"/>
    <s v="Lampung"/>
    <s v="Region 1"/>
    <s v="IMPACT"/>
    <d v="2023-09-04T00:00:00"/>
    <d v="2024-10-31T00:00:00"/>
    <s v="1 Tahun 3 Bulan 15 Hari "/>
    <n v="423"/>
    <n v="329"/>
    <n v="6"/>
    <n v="1945"/>
    <n v="324.16666666666669"/>
    <n v="242"/>
    <n v="0.6"/>
    <n v="3"/>
    <n v="0.74652956298200512"/>
    <n v="0.14930591259640102"/>
    <d v="1899-12-30T01:03:40"/>
    <d v="1899-12-30T00:49:43"/>
    <d v="1899-12-30T01:09:18"/>
    <n v="1"/>
    <n v="1"/>
    <n v="1"/>
    <n v="1.25"/>
    <n v="3"/>
    <n v="1"/>
    <n v="0.25"/>
    <d v="1899-12-30T03:24:28"/>
    <n v="0.5"/>
    <n v="2"/>
    <n v="0.4"/>
    <n v="0.1"/>
    <n v="1"/>
    <n v="1"/>
    <n v="1"/>
    <n v="0"/>
    <n v="0"/>
    <n v="1"/>
    <n v="0"/>
    <n v="1"/>
    <n v="1"/>
    <n v="5"/>
    <n v="0.625"/>
    <n v="9.375E-2"/>
    <n v="75"/>
    <n v="75"/>
    <n v="90"/>
    <n v="85"/>
    <n v="80"/>
    <n v="0.8"/>
    <n v="405"/>
    <n v="0.98765432098765427"/>
    <n v="0.19753086419753085"/>
    <n v="4.1500000000000004"/>
    <n v="81"/>
    <n v="0.79058677679393186"/>
    <s v="Lebih Dari Cukup"/>
    <s v="Stay"/>
    <x v="2"/>
  </r>
  <r>
    <n v="164"/>
    <s v="Doni Ari Pradana"/>
    <s v="IDH40083"/>
    <s v="Engineer"/>
    <s v="Semarang"/>
    <s v="Region 2"/>
    <s v="GSS"/>
    <d v="2019-10-02T00:00:00"/>
    <d v="2024-10-31T00:00:00"/>
    <s v="5 Tahun 2 Bulan 17 Hari "/>
    <n v="1856"/>
    <n v="625"/>
    <n v="10"/>
    <n v="4149"/>
    <n v="414.9"/>
    <n v="351"/>
    <n v="0.8"/>
    <n v="4"/>
    <n v="0.84598698481561829"/>
    <n v="0.16919739696312366"/>
    <d v="1906-01-24T06:24:11"/>
    <d v="1899-12-30T01:34:40"/>
    <d v="1899-12-30T00:00:08"/>
    <n v="0"/>
    <n v="1"/>
    <n v="1"/>
    <n v="0.8"/>
    <n v="2"/>
    <n v="0.66666666666666663"/>
    <n v="0.16666666666666666"/>
    <d v="1899-12-30T01:02:17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75"/>
    <n v="70"/>
    <n v="70"/>
    <n v="0.8"/>
    <n v="365"/>
    <n v="0.98630136986301364"/>
    <n v="0.19726027397260273"/>
    <n v="4"/>
    <n v="73"/>
    <n v="0.78937433760239306"/>
    <s v="Lebih Dari Cukup"/>
    <s v="Stay"/>
    <x v="1"/>
  </r>
  <r>
    <n v="49"/>
    <s v="Munawir Usman"/>
    <s v="IDH80008"/>
    <s v="Associate engineer"/>
    <s v="Denpasar"/>
    <s v="Region 3"/>
    <s v="IMPACT"/>
    <d v="2023-01-09T00:00:00"/>
    <d v="2024-10-31T00:00:00"/>
    <s v="1 Tahun 11 Bulan 10 Hari "/>
    <n v="661"/>
    <n v="612"/>
    <n v="11"/>
    <n v="5254"/>
    <n v="477.63636363636363"/>
    <n v="433"/>
    <n v="0.8"/>
    <n v="4"/>
    <n v="0.9065473924628854"/>
    <n v="0.18130947849257709"/>
    <d v="1901-12-27T18:56:50"/>
    <d v="1899-12-30T00:13:45"/>
    <d v="1899-12-30T02:24:53"/>
    <n v="0"/>
    <n v="1"/>
    <n v="1"/>
    <n v="0.8"/>
    <n v="2"/>
    <n v="0.66666666666666663"/>
    <n v="0.16666666666666666"/>
    <d v="1899-12-30T02:35:46"/>
    <n v="0.75"/>
    <n v="3"/>
    <n v="0.6"/>
    <n v="0.15"/>
    <n v="1"/>
    <n v="1"/>
    <n v="1"/>
    <n v="1"/>
    <n v="1"/>
    <n v="0"/>
    <n v="0"/>
    <n v="0"/>
    <n v="1"/>
    <n v="5"/>
    <n v="0.625"/>
    <n v="9.375E-2"/>
    <n v="75"/>
    <n v="60"/>
    <n v="75"/>
    <n v="80"/>
    <n v="75"/>
    <n v="0.8"/>
    <n v="365"/>
    <n v="0.98630136986301364"/>
    <n v="0.19726027397260273"/>
    <n v="4.1500000000000004"/>
    <n v="73"/>
    <n v="0.78898641913184642"/>
    <s v="Lebih Dari Cukup"/>
    <s v="Stay"/>
    <x v="2"/>
  </r>
  <r>
    <n v="165"/>
    <s v="Galih Syahri Romadoni"/>
    <s v="IDH30041"/>
    <s v="Senior engineer"/>
    <s v="Pekanbaru"/>
    <s v="Region 3"/>
    <s v="IMPACT"/>
    <d v="2019-06-11T00:00:00"/>
    <d v="2024-10-31T00:00:00"/>
    <s v="5 Tahun 6 Bulan 8 Hari "/>
    <n v="1969"/>
    <n v="401"/>
    <n v="7"/>
    <n v="2754"/>
    <n v="393.42857142857144"/>
    <n v="284"/>
    <n v="0.6"/>
    <n v="3"/>
    <n v="0.72185911401597669"/>
    <n v="0.14437182280319535"/>
    <d v="1974-01-17T09:53:16"/>
    <d v="2024-10-24T21:57:00"/>
    <d v="2024-01-08T10:11:31"/>
    <n v="0"/>
    <n v="0"/>
    <n v="1"/>
    <n v="0.4"/>
    <n v="1"/>
    <n v="0.33333333333333331"/>
    <n v="8.3333333333333329E-2"/>
    <d v="1899-12-30T00:29:38"/>
    <n v="1.25"/>
    <n v="5"/>
    <n v="1"/>
    <n v="0.25"/>
    <n v="1"/>
    <n v="1"/>
    <n v="1"/>
    <n v="0"/>
    <n v="1"/>
    <n v="1"/>
    <n v="0"/>
    <n v="1"/>
    <n v="1"/>
    <n v="6"/>
    <n v="0.75"/>
    <n v="0.11249999999999999"/>
    <n v="75"/>
    <n v="75"/>
    <n v="90"/>
    <n v="90"/>
    <n v="85"/>
    <n v="0.8"/>
    <n v="415"/>
    <n v="0.98795180722891562"/>
    <n v="0.19759036144578312"/>
    <n v="4.05"/>
    <n v="83"/>
    <n v="0.78779551758231181"/>
    <s v="Lebih Dari Cukup"/>
    <s v="Stay"/>
    <x v="0"/>
  </r>
  <r>
    <n v="166"/>
    <s v="Muhammad Ilham PLG"/>
    <s v="IDH40068"/>
    <s v="Engineer"/>
    <s v="Palembang"/>
    <s v="Region 3"/>
    <s v="IMPACT"/>
    <d v="2019-06-11T00:00:00"/>
    <d v="2024-10-31T00:00:00"/>
    <s v="5 Tahun 6 Bulan 8 Hari "/>
    <n v="1969"/>
    <n v="426"/>
    <n v="6"/>
    <n v="3000"/>
    <n v="500"/>
    <n v="361"/>
    <n v="0.6"/>
    <n v="3"/>
    <n v="0.72199999999999998"/>
    <n v="0.1444"/>
    <d v="1923-12-02T18:27:34"/>
    <d v="1927-09-06T08:11:53"/>
    <d v="1938-11-03T22:10:21"/>
    <n v="0"/>
    <n v="0"/>
    <n v="1"/>
    <n v="0.4"/>
    <n v="1"/>
    <n v="0.33333333333333331"/>
    <n v="8.3333333333333329E-2"/>
    <d v="1899-12-30T00:55:04"/>
    <n v="1.25"/>
    <n v="5"/>
    <n v="1"/>
    <n v="0.25"/>
    <n v="1"/>
    <n v="1"/>
    <n v="1"/>
    <n v="1"/>
    <n v="0"/>
    <n v="1"/>
    <n v="0"/>
    <n v="1"/>
    <n v="1"/>
    <n v="6"/>
    <n v="0.75"/>
    <n v="0.11249999999999999"/>
    <n v="75"/>
    <n v="75"/>
    <n v="80"/>
    <n v="85"/>
    <n v="85"/>
    <n v="0.8"/>
    <n v="400"/>
    <n v="0.98750000000000004"/>
    <n v="0.19750000000000001"/>
    <n v="4.05"/>
    <n v="80"/>
    <n v="0.7877333333333334"/>
    <s v="Lebih Dari Cukup"/>
    <s v="Stay"/>
    <x v="1"/>
  </r>
  <r>
    <n v="167"/>
    <s v="Arifianto Refani"/>
    <s v="IDH90010"/>
    <s v="Associate engineer"/>
    <s v="Purwokerto"/>
    <s v="Region 2"/>
    <s v="GSS"/>
    <d v="2023-09-11T00:00:00"/>
    <d v="2024-10-31T00:00:00"/>
    <s v="1 Tahun 3 Bulan 8 Hari "/>
    <n v="416"/>
    <n v="305"/>
    <n v="6"/>
    <n v="2018"/>
    <n v="336.33333333333331"/>
    <n v="301"/>
    <n v="0.8"/>
    <n v="4"/>
    <n v="0.89494549058473738"/>
    <n v="0.17898909811694749"/>
    <d v="1899-12-30T00:26:30"/>
    <d v="1899-12-30T00:39:07"/>
    <d v="1899-12-30T00:00:00"/>
    <n v="1"/>
    <n v="1"/>
    <n v="0"/>
    <n v="0.8"/>
    <n v="2"/>
    <n v="0.66666666666666663"/>
    <n v="0.16666666666666666"/>
    <d v="1899-12-30T02:18:52"/>
    <n v="0.75"/>
    <n v="3"/>
    <n v="0.6"/>
    <n v="0.15"/>
    <n v="1"/>
    <n v="1"/>
    <n v="1"/>
    <n v="0"/>
    <n v="0"/>
    <n v="1"/>
    <n v="0"/>
    <n v="1"/>
    <n v="1"/>
    <n v="5"/>
    <n v="0.625"/>
    <n v="9.375E-2"/>
    <n v="75"/>
    <n v="75"/>
    <n v="65"/>
    <n v="70"/>
    <n v="70"/>
    <n v="0.8"/>
    <n v="355"/>
    <n v="0.9859154929577465"/>
    <n v="0.19718309859154931"/>
    <n v="4.1500000000000004"/>
    <n v="71"/>
    <n v="0.78658886337516343"/>
    <s v="Lebih Dari Cukup"/>
    <s v="Stay"/>
    <x v="2"/>
  </r>
  <r>
    <n v="168"/>
    <s v="Prasetio Nugroho"/>
    <s v="IDH60034"/>
    <s v="Engineer"/>
    <s v="Lampung"/>
    <s v="Region 1"/>
    <s v="CITIUS"/>
    <d v="2021-11-02T00:00:00"/>
    <d v="2024-10-31T00:00:00"/>
    <s v="3 Tahun 1 Bulan 17 Hari "/>
    <n v="1094"/>
    <n v="329"/>
    <n v="6"/>
    <n v="1945"/>
    <n v="324.16666666666669"/>
    <n v="319"/>
    <n v="0.8"/>
    <n v="4"/>
    <n v="0.98406169665809762"/>
    <n v="0.19681233933161954"/>
    <d v="1909-10-24T03:30:26"/>
    <d v="1899-12-30T00:00:14"/>
    <d v="1899-12-30T00:22:31"/>
    <n v="0"/>
    <n v="1"/>
    <n v="1"/>
    <n v="0.8"/>
    <n v="2"/>
    <n v="0.66666666666666663"/>
    <n v="0.16666666666666666"/>
    <d v="1899-12-30T02:17:52"/>
    <n v="0.75"/>
    <n v="3"/>
    <n v="0.6"/>
    <n v="0.15"/>
    <n v="1"/>
    <n v="1"/>
    <n v="0"/>
    <n v="0"/>
    <n v="1"/>
    <n v="1"/>
    <n v="0"/>
    <n v="0"/>
    <n v="0.8"/>
    <n v="4"/>
    <n v="0.5"/>
    <n v="7.4999999999999997E-2"/>
    <n v="75"/>
    <n v="75"/>
    <n v="90"/>
    <n v="90"/>
    <n v="85"/>
    <n v="0.8"/>
    <n v="415"/>
    <n v="0.98795180722891562"/>
    <n v="0.19759036144578312"/>
    <n v="3.95"/>
    <n v="83"/>
    <n v="0.7860693674440693"/>
    <s v="Lebih Dari Cukup"/>
    <s v="Stay"/>
    <x v="1"/>
  </r>
  <r>
    <n v="169"/>
    <s v="Fahri Husaini"/>
    <s v="IDH60040"/>
    <s v="Engineer"/>
    <s v="Banjarmasin"/>
    <s v="Region 3"/>
    <s v="CITIUS"/>
    <d v="2021-11-02T00:00:00"/>
    <d v="2024-10-31T00:00:00"/>
    <s v="3 Tahun 1 Bulan 17 Hari "/>
    <n v="1094"/>
    <n v="295"/>
    <n v="5"/>
    <n v="2105"/>
    <n v="421"/>
    <n v="379"/>
    <n v="0.8"/>
    <n v="4"/>
    <n v="0.9002375296912114"/>
    <n v="0.18004750593824229"/>
    <d v="1936-12-24T22:16:01"/>
    <d v="1962-04-09T04:43:58"/>
    <d v="1933-02-20T12:07:28"/>
    <n v="0"/>
    <n v="0"/>
    <n v="1"/>
    <n v="0.4"/>
    <n v="1"/>
    <n v="0.33333333333333331"/>
    <n v="8.3333333333333329E-2"/>
    <d v="1899-12-30T00:28:10"/>
    <n v="1.25"/>
    <n v="5"/>
    <n v="1"/>
    <n v="0.25"/>
    <n v="1"/>
    <n v="1"/>
    <n v="1"/>
    <n v="0"/>
    <n v="1"/>
    <n v="0"/>
    <n v="0"/>
    <n v="0"/>
    <n v="0.8"/>
    <n v="4"/>
    <n v="0.5"/>
    <n v="7.4999999999999997E-2"/>
    <n v="75"/>
    <n v="75"/>
    <n v="85"/>
    <n v="85"/>
    <n v="85"/>
    <n v="0.8"/>
    <n v="405"/>
    <n v="0.98765432098765427"/>
    <n v="0.19753086419753085"/>
    <n v="4.05"/>
    <n v="81"/>
    <n v="0.78591170346910644"/>
    <s v="Lebih Dari Cukup"/>
    <s v="Stay"/>
    <x v="1"/>
  </r>
  <r>
    <n v="170"/>
    <s v="Lukman Pradita"/>
    <s v="IDH40123"/>
    <s v="Engineer"/>
    <s v="Lampung"/>
    <s v="Region 1"/>
    <s v="GSS"/>
    <d v="2021-04-05T00:00:00"/>
    <d v="2024-10-31T00:00:00"/>
    <s v="3 Tahun 8 Bulan 14 Hari "/>
    <n v="1305"/>
    <n v="329"/>
    <n v="6"/>
    <n v="1945"/>
    <n v="324.16666666666669"/>
    <n v="261"/>
    <n v="0.8"/>
    <n v="4"/>
    <n v="0.80514138817480718"/>
    <n v="0.16102827763496144"/>
    <d v="1920-09-27T02:16:41"/>
    <d v="1912-05-28T17:18:14"/>
    <d v="1899-12-30T00:00:12"/>
    <n v="0"/>
    <n v="0"/>
    <n v="1"/>
    <n v="0.4"/>
    <n v="1"/>
    <n v="0.33333333333333331"/>
    <n v="8.3333333333333329E-2"/>
    <d v="1899-12-30T00:55:15"/>
    <n v="1.25"/>
    <n v="5"/>
    <n v="1"/>
    <n v="0.25"/>
    <n v="1"/>
    <n v="1"/>
    <n v="1"/>
    <n v="0"/>
    <n v="1"/>
    <n v="0"/>
    <n v="0"/>
    <n v="1"/>
    <n v="1"/>
    <n v="5"/>
    <n v="0.625"/>
    <n v="9.375E-2"/>
    <n v="75"/>
    <n v="75"/>
    <n v="90"/>
    <n v="90"/>
    <n v="80"/>
    <n v="0.8"/>
    <n v="410"/>
    <n v="0.98780487804878048"/>
    <n v="0.19756097560975611"/>
    <n v="4.25"/>
    <n v="82"/>
    <n v="0.78567258657805095"/>
    <s v="Lebih Dari Cukup"/>
    <s v="Stay"/>
    <x v="1"/>
  </r>
  <r>
    <n v="171"/>
    <s v="Prakoso Anung Pamuji"/>
    <s v="IDH40057"/>
    <s v="Senior engineer"/>
    <s v="Solo"/>
    <s v="Region 2"/>
    <s v="GSS"/>
    <d v="2019-01-07T00:00:00"/>
    <d v="2024-10-31T00:00:00"/>
    <s v="5 Tahun 11 Bulan 12 Hari "/>
    <n v="2124"/>
    <n v="305"/>
    <n v="6"/>
    <n v="2074"/>
    <n v="345.66666666666669"/>
    <n v="341"/>
    <n v="0.8"/>
    <n v="4"/>
    <n v="0.98649951783992285"/>
    <n v="0.19729990356798457"/>
    <d v="1923-11-17T23:06:28"/>
    <d v="1899-12-30T00:00:03"/>
    <d v="1899-12-30T00:00:00"/>
    <n v="0"/>
    <n v="1"/>
    <n v="0"/>
    <n v="0.4"/>
    <n v="1"/>
    <n v="0.33333333333333331"/>
    <n v="8.3333333333333329E-2"/>
    <d v="1899-12-30T00:42:20"/>
    <n v="1.25"/>
    <n v="5"/>
    <n v="1"/>
    <n v="0.25"/>
    <n v="1"/>
    <n v="1"/>
    <n v="1"/>
    <n v="0"/>
    <n v="0"/>
    <n v="0"/>
    <n v="0"/>
    <n v="0"/>
    <n v="0.6"/>
    <n v="3"/>
    <n v="0.375"/>
    <n v="5.6249999999999994E-2"/>
    <n v="75"/>
    <n v="75"/>
    <n v="85"/>
    <n v="85"/>
    <n v="80"/>
    <n v="0.8"/>
    <n v="400"/>
    <n v="0.98750000000000004"/>
    <n v="0.19750000000000001"/>
    <n v="3.8500000000000005"/>
    <n v="80"/>
    <n v="0.78438323690131795"/>
    <s v="Lebih Dari Cukup"/>
    <s v="Stay"/>
    <x v="0"/>
  </r>
  <r>
    <n v="172"/>
    <s v="Hery Kurniawan"/>
    <s v="IDH40064"/>
    <s v="Engineer"/>
    <s v="Tegal"/>
    <s v="Region 2"/>
    <s v="GSS"/>
    <d v="2019-02-18T00:00:00"/>
    <d v="2024-10-31T00:00:00"/>
    <s v="5 Tahun 10 Bulan 1 Hari "/>
    <n v="2082"/>
    <n v="211"/>
    <n v="4"/>
    <n v="1615"/>
    <n v="403.75"/>
    <n v="383"/>
    <n v="0.8"/>
    <n v="4"/>
    <n v="0.94860681114551082"/>
    <n v="0.18972136222910219"/>
    <d v="1931-07-18T17:12:40"/>
    <d v="1899-12-30T00:28:15"/>
    <d v="1899-12-30T00:00:00"/>
    <n v="0"/>
    <n v="1"/>
    <n v="0"/>
    <n v="0.4"/>
    <n v="1"/>
    <n v="0.33333333333333331"/>
    <n v="8.3333333333333329E-2"/>
    <d v="1899-12-30T01:55:26"/>
    <n v="1"/>
    <n v="4"/>
    <n v="0.8"/>
    <n v="0.2"/>
    <n v="1"/>
    <n v="1"/>
    <n v="1"/>
    <n v="1"/>
    <n v="0"/>
    <n v="1"/>
    <n v="0"/>
    <n v="1"/>
    <n v="1"/>
    <n v="6"/>
    <n v="0.75"/>
    <n v="0.11249999999999999"/>
    <n v="75"/>
    <n v="75"/>
    <n v="80"/>
    <n v="80"/>
    <n v="75"/>
    <n v="0.8"/>
    <n v="385"/>
    <n v="0.98701298701298701"/>
    <n v="0.19740259740259741"/>
    <n v="4"/>
    <n v="77"/>
    <n v="0.78295729296503302"/>
    <s v="Lebih Dari Cukup"/>
    <s v="Stay"/>
    <x v="1"/>
  </r>
  <r>
    <n v="173"/>
    <s v="Faldy Agung Nugraha Koleba"/>
    <s v="IDH90004"/>
    <s v="Associate engineer"/>
    <s v="Palu"/>
    <s v="Region 3"/>
    <s v="GSS"/>
    <d v="2023-09-04T00:00:00"/>
    <d v="2024-10-31T00:00:00"/>
    <s v="1 Tahun 3 Bulan 15 Hari "/>
    <n v="423"/>
    <n v="134"/>
    <n v="3"/>
    <n v="1306"/>
    <n v="435.33333333333331"/>
    <n v="354"/>
    <n v="0.8"/>
    <n v="4"/>
    <n v="0.81316998468606438"/>
    <n v="0.16263399693721289"/>
    <d v="1905-01-20T19:31:27"/>
    <d v="1899-12-30T00:08:17"/>
    <d v="1906-07-19T06:26:46"/>
    <n v="0"/>
    <n v="1"/>
    <n v="1"/>
    <n v="0.8"/>
    <n v="2"/>
    <n v="0.66666666666666663"/>
    <n v="0.16666666666666666"/>
    <d v="1899-12-30T01:11:14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75"/>
    <n v="70"/>
    <n v="75"/>
    <n v="0.8"/>
    <n v="370"/>
    <n v="0.98648648648648651"/>
    <n v="0.19729729729729731"/>
    <n v="4"/>
    <n v="74"/>
    <n v="0.78284796090117681"/>
    <s v="Lebih Dari Cukup"/>
    <s v="Stay"/>
    <x v="2"/>
  </r>
  <r>
    <n v="174"/>
    <s v="Andito Wahyu"/>
    <s v="IDH90006"/>
    <s v="Associate engineer"/>
    <s v="Banyuwangi"/>
    <s v="Region 2"/>
    <s v="GSS"/>
    <d v="2023-09-04T00:00:00"/>
    <d v="2024-10-31T00:00:00"/>
    <s v="1 Tahun 3 Bulan 15 Hari "/>
    <n v="423"/>
    <n v="104"/>
    <n v="2"/>
    <n v="763"/>
    <n v="381.5"/>
    <n v="397"/>
    <n v="1"/>
    <n v="5"/>
    <n v="1.0406290956749673"/>
    <n v="0.20812581913499348"/>
    <d v="1901-07-26T09:15:35"/>
    <d v="1899-12-30T00:03:27"/>
    <d v="1899-12-30T00:00:00"/>
    <n v="0"/>
    <n v="1"/>
    <n v="0"/>
    <n v="0.4"/>
    <n v="1"/>
    <n v="0.33333333333333331"/>
    <n v="8.3333333333333329E-2"/>
    <d v="1899-12-30T01:54:29"/>
    <n v="1"/>
    <n v="4"/>
    <n v="0.8"/>
    <n v="0.2"/>
    <n v="1"/>
    <n v="1"/>
    <n v="1"/>
    <n v="0"/>
    <n v="1"/>
    <n v="0"/>
    <n v="0"/>
    <n v="1"/>
    <n v="1"/>
    <n v="5"/>
    <n v="0.625"/>
    <n v="9.375E-2"/>
    <n v="75"/>
    <n v="75"/>
    <n v="80"/>
    <n v="80"/>
    <n v="80"/>
    <n v="0.8"/>
    <n v="390"/>
    <n v="0.98717948717948723"/>
    <n v="0.19743589743589746"/>
    <n v="4.2"/>
    <n v="78"/>
    <n v="0.78264504990422434"/>
    <s v="Lebih Dari Cukup"/>
    <s v="Stay"/>
    <x v="2"/>
  </r>
  <r>
    <n v="175"/>
    <s v="Yogi Kurniawan"/>
    <s v="IDH40046"/>
    <s v="Senior engineer"/>
    <s v="Surabaya"/>
    <s v="Region 2"/>
    <s v="GSS"/>
    <d v="2018-11-14T00:00:00"/>
    <d v="2024-10-31T00:00:00"/>
    <s v="6 Tahun 1 Bulan 5 Hari "/>
    <n v="2178"/>
    <n v="1384"/>
    <n v="22"/>
    <n v="6775"/>
    <n v="307.95454545454544"/>
    <n v="400"/>
    <n v="1"/>
    <n v="5"/>
    <n v="1.2988929889298895"/>
    <n v="0.25977859778597789"/>
    <d v="1952-01-20T21:53:59"/>
    <d v="1962-03-08T12:54:22"/>
    <d v="1899-12-30T00:00:00"/>
    <n v="0"/>
    <n v="0"/>
    <n v="0"/>
    <n v="0"/>
    <n v="0"/>
    <n v="0"/>
    <n v="0"/>
    <d v="1899-12-30T00:43:48"/>
    <n v="1.25"/>
    <n v="5"/>
    <n v="1"/>
    <n v="0.25"/>
    <n v="1"/>
    <n v="1"/>
    <n v="1"/>
    <n v="1"/>
    <n v="0"/>
    <n v="0"/>
    <n v="0"/>
    <n v="0"/>
    <n v="0.8"/>
    <n v="4"/>
    <n v="0.5"/>
    <n v="7.4999999999999997E-2"/>
    <n v="75"/>
    <n v="75"/>
    <n v="80"/>
    <n v="85"/>
    <n v="80"/>
    <n v="0.8"/>
    <n v="395"/>
    <n v="0.98734177215189878"/>
    <n v="0.19746835443037977"/>
    <n v="3.8499999999999996"/>
    <n v="79"/>
    <n v="0.78224695221635765"/>
    <s v="Lebih Dari Cukup"/>
    <s v="Stay"/>
    <x v="0"/>
  </r>
  <r>
    <n v="176"/>
    <s v="Afri Yunaldo"/>
    <s v="IDH80069"/>
    <s v="Associate engineer"/>
    <s v="Padang"/>
    <s v="Region 3"/>
    <s v="IMPACT"/>
    <d v="2023-07-24T00:00:00"/>
    <d v="2024-10-31T00:00:00"/>
    <s v="1 Tahun 4 Bulan 25 Hari "/>
    <n v="465"/>
    <n v="211"/>
    <n v="4"/>
    <n v="1415"/>
    <n v="353.75"/>
    <n v="319"/>
    <n v="0.8"/>
    <n v="4"/>
    <n v="0.90176678445229685"/>
    <n v="0.18035335689045939"/>
    <d v="1904-01-08T11:10:52"/>
    <d v="1899-12-30T02:27:13"/>
    <d v="1899-12-30T01:56:45"/>
    <n v="0"/>
    <n v="1"/>
    <n v="1"/>
    <n v="0.8"/>
    <n v="2"/>
    <n v="0.66666666666666663"/>
    <n v="0.16666666666666666"/>
    <d v="1899-12-30T01:21:58"/>
    <n v="1"/>
    <n v="4"/>
    <n v="0.8"/>
    <n v="0.2"/>
    <n v="1"/>
    <n v="1"/>
    <n v="0"/>
    <n v="0"/>
    <n v="0"/>
    <n v="0"/>
    <n v="0"/>
    <n v="0"/>
    <n v="0.4"/>
    <n v="2"/>
    <n v="0.25"/>
    <n v="3.7499999999999999E-2"/>
    <n v="75"/>
    <n v="75"/>
    <n v="80"/>
    <n v="80"/>
    <n v="80"/>
    <n v="0.8"/>
    <n v="390"/>
    <n v="0.98717948717948723"/>
    <n v="0.19743589743589746"/>
    <n v="3.8"/>
    <n v="78"/>
    <n v="0.78195592099302358"/>
    <s v="Lebih Dari Cukup"/>
    <s v="Stay"/>
    <x v="2"/>
  </r>
  <r>
    <n v="177"/>
    <s v="Puri Herdiansyah"/>
    <s v="IDH40074"/>
    <s v="Senior engineer"/>
    <s v="Tasikmalaya"/>
    <s v="Region 2"/>
    <s v="GSS"/>
    <d v="2019-06-24T00:00:00"/>
    <d v="2024-10-31T00:00:00"/>
    <s v="5 Tahun 5 Bulan 25 Hari "/>
    <n v="1956"/>
    <n v="313"/>
    <n v="6"/>
    <n v="2164"/>
    <n v="360.66666666666669"/>
    <n v="385"/>
    <n v="1"/>
    <n v="5"/>
    <n v="1.0674676524953788"/>
    <n v="0.21349353049907577"/>
    <d v="1969-09-03T20:40:16"/>
    <d v="2024-08-09T20:33:58"/>
    <d v="1899-12-30T01:47:01"/>
    <n v="0"/>
    <n v="0"/>
    <n v="1"/>
    <n v="0.4"/>
    <n v="1"/>
    <n v="0.33333333333333331"/>
    <n v="8.3333333333333329E-2"/>
    <d v="1899-12-30T00:30:14"/>
    <n v="1.25"/>
    <n v="5"/>
    <n v="1"/>
    <n v="0.25"/>
    <n v="1"/>
    <n v="1"/>
    <n v="0"/>
    <n v="0"/>
    <n v="0"/>
    <n v="0"/>
    <n v="0"/>
    <n v="0"/>
    <n v="0.4"/>
    <n v="2"/>
    <n v="0.25"/>
    <n v="3.7499999999999999E-2"/>
    <n v="75"/>
    <n v="75"/>
    <n v="90"/>
    <n v="80"/>
    <n v="85"/>
    <n v="0.8"/>
    <n v="405"/>
    <n v="0.98765432098765427"/>
    <n v="0.19753086419753085"/>
    <n v="3.8499999999999996"/>
    <n v="81"/>
    <n v="0.78185772802993991"/>
    <s v="Lebih Dari Cukup"/>
    <s v="Stay"/>
    <x v="0"/>
  </r>
  <r>
    <n v="178"/>
    <s v="Odik Sulasdika"/>
    <s v="IDH20026"/>
    <s v="Senior engineer"/>
    <s v="Tangerang"/>
    <s v="Region 1"/>
    <s v="GSS"/>
    <d v="2017-01-16T00:00:00"/>
    <d v="2024-10-31T00:00:00"/>
    <s v="7 Tahun 11 Bulan 3 Hari "/>
    <n v="2845"/>
    <n v="760"/>
    <n v="13"/>
    <n v="5863"/>
    <n v="451"/>
    <n v="396"/>
    <n v="0.8"/>
    <n v="4"/>
    <n v="0.87804878048780488"/>
    <n v="0.17560975609756099"/>
    <d v="1926-12-30T08:01:15"/>
    <d v="1899-12-30T00:28:43"/>
    <d v="1899-12-30T00:00:00"/>
    <n v="0"/>
    <n v="1"/>
    <n v="0"/>
    <n v="0.4"/>
    <n v="1"/>
    <n v="0.33333333333333331"/>
    <n v="8.3333333333333329E-2"/>
    <d v="1899-12-30T00:42:37"/>
    <n v="1.25"/>
    <n v="5"/>
    <n v="1"/>
    <n v="0.25"/>
    <n v="1"/>
    <n v="1"/>
    <n v="1"/>
    <n v="0"/>
    <n v="0"/>
    <n v="0"/>
    <n v="1"/>
    <n v="0"/>
    <n v="0.8"/>
    <n v="4"/>
    <n v="0.5"/>
    <n v="7.4999999999999997E-2"/>
    <n v="75"/>
    <n v="75"/>
    <n v="90"/>
    <n v="90"/>
    <n v="90"/>
    <n v="0.8"/>
    <n v="420"/>
    <n v="0.98809523809523814"/>
    <n v="0.19761904761904764"/>
    <n v="4.05"/>
    <n v="84"/>
    <n v="0.78156213704994193"/>
    <s v="Lebih Dari Cukup"/>
    <s v="Stay"/>
    <x v="0"/>
  </r>
  <r>
    <n v="179"/>
    <s v="Yogi Duta Hartas"/>
    <s v="IDH50020"/>
    <s v="Engineer"/>
    <s v="Bengkulu"/>
    <s v="Region 3"/>
    <s v="SIPRAMA"/>
    <d v="2020-12-07T00:00:00"/>
    <d v="2024-10-31T00:00:00"/>
    <s v="4 Tahun 0 Bulan 12 Hari "/>
    <n v="1424"/>
    <n v="126"/>
    <n v="3"/>
    <n v="985"/>
    <n v="328.33333333333331"/>
    <n v="366"/>
    <n v="1"/>
    <n v="5"/>
    <n v="1.1147208121827412"/>
    <n v="0.22294416243654824"/>
    <d v="1929-06-06T18:17:06"/>
    <d v="1934-07-14T14:54:02"/>
    <d v="1899-12-30T03:45:04"/>
    <n v="0"/>
    <n v="0"/>
    <n v="1"/>
    <n v="0.4"/>
    <n v="1"/>
    <n v="0.33333333333333331"/>
    <n v="8.3333333333333329E-2"/>
    <d v="1899-12-30T01:39:34"/>
    <n v="1"/>
    <n v="4"/>
    <n v="0.8"/>
    <n v="0.2"/>
    <n v="1"/>
    <n v="1"/>
    <n v="1"/>
    <n v="0"/>
    <n v="0"/>
    <n v="1"/>
    <n v="0"/>
    <n v="0"/>
    <n v="0.8"/>
    <n v="4"/>
    <n v="0.5"/>
    <n v="7.4999999999999997E-2"/>
    <n v="75"/>
    <n v="75"/>
    <n v="85"/>
    <n v="80"/>
    <n v="80"/>
    <n v="0.8"/>
    <n v="395"/>
    <n v="0.98734177215189878"/>
    <n v="0.19746835443037977"/>
    <n v="4"/>
    <n v="79"/>
    <n v="0.77874585020026132"/>
    <s v="Lebih Dari Cukup"/>
    <s v="Stay"/>
    <x v="1"/>
  </r>
  <r>
    <n v="180"/>
    <s v="Achmad Angga Pradana"/>
    <s v="IDH70024"/>
    <s v="Engineer"/>
    <s v="Pangkalan Bun"/>
    <s v="Region 3"/>
    <s v="SIPRAMA"/>
    <d v="2022-10-03T00:00:00"/>
    <d v="2024-10-31T00:00:00"/>
    <s v="2 Tahun 2 Bulan 16 Hari "/>
    <n v="759"/>
    <n v="62"/>
    <n v="1"/>
    <n v="381"/>
    <n v="381"/>
    <n v="364"/>
    <n v="0.8"/>
    <n v="4"/>
    <n v="0.95538057742782156"/>
    <n v="0.19107611548556433"/>
    <d v="1920-10-01T21:42:46"/>
    <d v="1899-12-30T00:00:00"/>
    <d v="1913-04-23T12:41:48"/>
    <n v="0"/>
    <n v="0"/>
    <n v="1"/>
    <n v="0.4"/>
    <n v="1"/>
    <n v="0.33333333333333331"/>
    <n v="8.3333333333333329E-2"/>
    <d v="1899-12-30T00:59:04"/>
    <n v="1.25"/>
    <n v="5"/>
    <n v="1"/>
    <n v="0.25"/>
    <n v="1"/>
    <n v="1"/>
    <n v="0"/>
    <n v="0"/>
    <n v="0"/>
    <n v="0"/>
    <n v="0"/>
    <n v="1"/>
    <n v="0.6"/>
    <n v="3"/>
    <n v="0.375"/>
    <n v="5.6249999999999994E-2"/>
    <n v="75"/>
    <n v="75"/>
    <n v="75"/>
    <n v="85"/>
    <n v="80"/>
    <n v="0.8"/>
    <n v="390"/>
    <n v="0.98717948717948723"/>
    <n v="0.19743589743589746"/>
    <n v="3.8500000000000005"/>
    <n v="78"/>
    <n v="0.77809534625479526"/>
    <s v="Lebih Dari Cukup"/>
    <s v="Stay"/>
    <x v="1"/>
  </r>
  <r>
    <n v="181"/>
    <s v="Ridho Dwi Prakoso"/>
    <s v="IDH70019"/>
    <s v="Associate engineer"/>
    <s v="Medan"/>
    <s v="Region 3"/>
    <s v="SIPRAMA"/>
    <d v="2022-10-03T00:00:00"/>
    <d v="2024-10-31T00:00:00"/>
    <s v="2 Tahun 2 Bulan 16 Hari "/>
    <n v="759"/>
    <n v="684"/>
    <n v="10"/>
    <n v="4972"/>
    <n v="497.2"/>
    <n v="437"/>
    <n v="0.8"/>
    <n v="4"/>
    <n v="0.87892196299275949"/>
    <n v="0.17578439259855191"/>
    <d v="1902-10-07T20:25:27"/>
    <d v="1899-12-30T00:00:12"/>
    <d v="1899-12-30T00:00:03"/>
    <n v="0"/>
    <n v="1"/>
    <n v="1"/>
    <n v="0.8"/>
    <n v="2"/>
    <n v="0.66666666666666663"/>
    <n v="0.16666666666666666"/>
    <d v="1899-12-30T01:58:34"/>
    <n v="1"/>
    <n v="4"/>
    <n v="0.8"/>
    <n v="0.2"/>
    <n v="1"/>
    <n v="1"/>
    <n v="0"/>
    <n v="0"/>
    <n v="0"/>
    <n v="0"/>
    <n v="0"/>
    <n v="0"/>
    <n v="0.4"/>
    <n v="2"/>
    <n v="0.25"/>
    <n v="3.7499999999999999E-2"/>
    <n v="75"/>
    <n v="75"/>
    <n v="80"/>
    <n v="80"/>
    <n v="80"/>
    <n v="0.8"/>
    <n v="390"/>
    <n v="0.98717948717948723"/>
    <n v="0.19743589743589746"/>
    <n v="3.8"/>
    <n v="78"/>
    <n v="0.77738695670111602"/>
    <s v="Lebih Dari Cukup"/>
    <s v="Stay"/>
    <x v="2"/>
  </r>
  <r>
    <n v="182"/>
    <s v="Azkoni Gumlaya"/>
    <s v="IDH90057"/>
    <s v="Associate engineer"/>
    <s v="Lubuk Linggau"/>
    <s v="Region 3"/>
    <s v="GSS"/>
    <d v="2024-01-01T00:00:00"/>
    <d v="2024-10-31T00:00:00"/>
    <s v="0 Tahun 11 Bulan 18 Hari "/>
    <n v="304"/>
    <n v="54"/>
    <n v="2"/>
    <n v="546"/>
    <n v="273"/>
    <n v="214"/>
    <n v="0.6"/>
    <n v="3"/>
    <n v="0.78388278388278387"/>
    <n v="0.15677655677655677"/>
    <d v="1904-04-15T17:09:29"/>
    <d v="1899-12-30T02:27:04"/>
    <d v="1899-12-30T02:00:14"/>
    <n v="0"/>
    <n v="1"/>
    <n v="1"/>
    <n v="0.8"/>
    <n v="2"/>
    <n v="0.66666666666666663"/>
    <n v="0.16666666666666666"/>
    <d v="1899-12-30T01:15:01"/>
    <n v="1"/>
    <n v="4"/>
    <n v="0.8"/>
    <n v="0.2"/>
    <n v="1"/>
    <n v="1"/>
    <n v="0"/>
    <n v="0"/>
    <n v="0"/>
    <n v="0"/>
    <n v="0"/>
    <n v="1"/>
    <n v="0.6"/>
    <n v="3"/>
    <n v="0.375"/>
    <n v="5.6249999999999994E-2"/>
    <n v="75"/>
    <n v="75"/>
    <n v="75"/>
    <n v="85"/>
    <n v="85"/>
    <n v="0.8"/>
    <n v="395"/>
    <n v="0.98734177215189878"/>
    <n v="0.19746835443037977"/>
    <n v="3.8"/>
    <n v="79"/>
    <n v="0.77716157787360318"/>
    <s v="New CE"/>
    <s v="Stay"/>
    <x v="2"/>
  </r>
  <r>
    <n v="183"/>
    <s v="Rahmat Hidayatullah"/>
    <s v="IDH40127"/>
    <s v="Engineer"/>
    <s v="Tasikmalaya"/>
    <s v="Region 2"/>
    <s v="GSS"/>
    <d v="2021-04-05T00:00:00"/>
    <d v="2024-10-31T00:00:00"/>
    <s v="3 Tahun 8 Bulan 14 Hari "/>
    <n v="1305"/>
    <n v="313"/>
    <n v="6"/>
    <n v="2164"/>
    <n v="360.66666666666669"/>
    <n v="307"/>
    <n v="0.8"/>
    <n v="4"/>
    <n v="0.8512014787430684"/>
    <n v="0.17024029574861368"/>
    <d v="1921-12-30T00:12:03"/>
    <d v="1899-12-30T01:37:33"/>
    <d v="1899-12-30T00:00:00"/>
    <n v="0"/>
    <n v="1"/>
    <n v="0"/>
    <n v="0.4"/>
    <n v="1"/>
    <n v="0.33333333333333331"/>
    <n v="8.3333333333333329E-2"/>
    <d v="1899-12-30T00:48:27"/>
    <n v="1.25"/>
    <n v="5"/>
    <n v="1"/>
    <n v="0.25"/>
    <n v="1"/>
    <n v="1"/>
    <n v="1"/>
    <n v="0"/>
    <n v="0"/>
    <n v="1"/>
    <n v="0"/>
    <n v="0"/>
    <n v="0.8"/>
    <n v="4"/>
    <n v="0.5"/>
    <n v="7.4999999999999997E-2"/>
    <n v="75"/>
    <n v="75"/>
    <n v="85"/>
    <n v="85"/>
    <n v="85"/>
    <n v="0.8"/>
    <n v="405"/>
    <n v="0.98765432098765427"/>
    <n v="0.19753086419753085"/>
    <n v="4.05"/>
    <n v="81"/>
    <n v="0.77610449327947784"/>
    <s v="Lebih Dari Cukup"/>
    <s v="Stay"/>
    <x v="1"/>
  </r>
  <r>
    <n v="120"/>
    <s v="I Gde Wahyu Aditya Dharma"/>
    <s v="IDH70056"/>
    <s v="Associate engineer"/>
    <s v="Denpasar"/>
    <s v="Region 3"/>
    <s v="SIPRAMA"/>
    <d v="2022-11-17T00:00:00"/>
    <d v="2024-10-31T00:00:00"/>
    <s v="2 Tahun 1 Bulan 2 Hari "/>
    <n v="714"/>
    <n v="612"/>
    <n v="11"/>
    <n v="5254"/>
    <n v="477.63636363636363"/>
    <n v="372"/>
    <n v="0.6"/>
    <n v="3"/>
    <n v="0.77883517320137041"/>
    <n v="0.15576703464027408"/>
    <d v="1899-12-30T09:18:00"/>
    <d v="1899-12-30T00:33:09"/>
    <d v="1899-12-30T00:00:00"/>
    <n v="1"/>
    <n v="1"/>
    <n v="0"/>
    <n v="0.8"/>
    <n v="2"/>
    <n v="0.66666666666666663"/>
    <n v="0.16666666666666666"/>
    <d v="1899-12-30T01:31:40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80"/>
    <n v="75"/>
    <n v="75"/>
    <n v="0.8"/>
    <n v="380"/>
    <n v="0.98684210526315785"/>
    <n v="0.19736842105263158"/>
    <n v="3.8"/>
    <n v="76"/>
    <n v="0.77605212235957222"/>
    <s v="Lebih Dari Cukup"/>
    <s v="Stay"/>
    <x v="2"/>
  </r>
  <r>
    <n v="184"/>
    <s v="Muhammad Oktanto D"/>
    <s v="IDH40053"/>
    <s v="Senior engineer"/>
    <s v="Banjarmasin"/>
    <s v="Region 3"/>
    <s v="IMPACT"/>
    <d v="2018-11-14T00:00:00"/>
    <d v="2024-10-31T00:00:00"/>
    <s v="6 Tahun 1 Bulan 5 Hari "/>
    <n v="2178"/>
    <n v="295"/>
    <n v="5"/>
    <n v="2105"/>
    <n v="421"/>
    <n v="357"/>
    <n v="0.8"/>
    <n v="4"/>
    <n v="0.84798099762470314"/>
    <n v="0.16959619952494065"/>
    <d v="1955-08-03T17:19:55"/>
    <d v="2024-06-28T21:15:38"/>
    <d v="1974-08-23T08:02:22"/>
    <n v="0"/>
    <n v="0"/>
    <n v="1"/>
    <n v="0.4"/>
    <n v="1"/>
    <n v="0.33333333333333331"/>
    <n v="8.3333333333333329E-2"/>
    <d v="1899-12-30T00:34:04"/>
    <n v="1.25"/>
    <n v="5"/>
    <n v="1"/>
    <n v="0.25"/>
    <n v="1"/>
    <n v="1"/>
    <n v="1"/>
    <n v="0"/>
    <n v="1"/>
    <n v="0"/>
    <n v="0"/>
    <n v="0"/>
    <n v="0.8"/>
    <n v="4"/>
    <n v="0.5"/>
    <n v="7.4999999999999997E-2"/>
    <n v="75"/>
    <n v="75"/>
    <n v="85"/>
    <n v="85"/>
    <n v="85"/>
    <n v="0.8"/>
    <n v="405"/>
    <n v="0.98765432098765427"/>
    <n v="0.19753086419753085"/>
    <n v="4.05"/>
    <n v="81"/>
    <n v="0.77546039705580472"/>
    <s v="Lebih Dari Cukup"/>
    <s v="Stay"/>
    <x v="0"/>
  </r>
  <r>
    <n v="185"/>
    <s v="Irshad Primambudi"/>
    <s v="IDH70063"/>
    <s v="Engineer"/>
    <s v="Purwokerto"/>
    <s v="Region 2"/>
    <s v="SIPRAMA"/>
    <d v="2022-11-17T00:00:00"/>
    <d v="2024-10-31T00:00:00"/>
    <s v="2 Tahun 1 Bulan 2 Hari "/>
    <n v="714"/>
    <n v="305"/>
    <n v="6"/>
    <n v="2018"/>
    <n v="336.33333333333331"/>
    <n v="337"/>
    <n v="1"/>
    <n v="5"/>
    <n v="1.001982160555005"/>
    <n v="0.200396432111001"/>
    <d v="1907-10-03T18:35:16"/>
    <d v="1899-12-30T00:58:26"/>
    <d v="1899-12-30T00:00:00"/>
    <n v="0"/>
    <n v="1"/>
    <n v="0"/>
    <n v="0.4"/>
    <n v="1"/>
    <n v="0.33333333333333331"/>
    <n v="8.3333333333333329E-2"/>
    <d v="1899-12-30T01:10:55"/>
    <n v="1"/>
    <n v="4"/>
    <n v="0.8"/>
    <n v="0.2"/>
    <n v="1"/>
    <n v="1"/>
    <n v="1"/>
    <n v="0"/>
    <n v="0"/>
    <n v="1"/>
    <n v="0"/>
    <n v="1"/>
    <n v="1"/>
    <n v="5"/>
    <n v="0.625"/>
    <n v="9.375E-2"/>
    <n v="75"/>
    <n v="75"/>
    <n v="80"/>
    <n v="85"/>
    <n v="85"/>
    <n v="0.8"/>
    <n v="400"/>
    <n v="0.98750000000000004"/>
    <n v="0.19750000000000001"/>
    <n v="4.2"/>
    <n v="80"/>
    <n v="0.77497976544433433"/>
    <s v="Lebih Dari Cukup"/>
    <s v="Stay"/>
    <x v="1"/>
  </r>
  <r>
    <n v="186"/>
    <s v="Syafrudin"/>
    <s v="IDH30039"/>
    <s v="Engineer"/>
    <s v="Padang"/>
    <s v="Region 3"/>
    <s v="IMPACT"/>
    <d v="2019-02-18T00:00:00"/>
    <d v="2024-10-31T00:00:00"/>
    <s v="5 Tahun 10 Bulan 1 Hari "/>
    <n v="2082"/>
    <n v="211"/>
    <n v="4"/>
    <n v="1415"/>
    <n v="353.75"/>
    <n v="331"/>
    <n v="0.8"/>
    <n v="4"/>
    <n v="0.93568904593639579"/>
    <n v="0.18713780918727918"/>
    <d v="1962-03-19T00:57:22"/>
    <d v="1946-09-02T19:00:58"/>
    <d v="1909-08-03T18:32:39"/>
    <n v="0"/>
    <n v="0"/>
    <n v="1"/>
    <n v="0.4"/>
    <n v="1"/>
    <n v="0.33333333333333331"/>
    <n v="8.3333333333333329E-2"/>
    <d v="1899-12-30T00:29:28"/>
    <n v="1.25"/>
    <n v="5"/>
    <n v="1"/>
    <n v="0.25"/>
    <n v="1"/>
    <n v="1"/>
    <n v="1"/>
    <n v="0"/>
    <n v="0"/>
    <n v="0"/>
    <n v="0"/>
    <n v="0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3.8500000000000005"/>
    <n v="78"/>
    <n v="0.77415703995651008"/>
    <s v="Lebih Dari Cukup"/>
    <s v="Stay"/>
    <x v="1"/>
  </r>
  <r>
    <n v="187"/>
    <s v="Adi Wicaksono"/>
    <s v="IDH90052"/>
    <s v="Associate engineer"/>
    <s v="Solo"/>
    <s v="Region 2"/>
    <s v="GSS"/>
    <d v="2023-11-13T00:00:00"/>
    <d v="2024-10-31T00:00:00"/>
    <s v="1 Tahun 1 Bulan 6 Hari "/>
    <n v="353"/>
    <n v="305"/>
    <n v="6"/>
    <n v="2074"/>
    <n v="345.66666666666669"/>
    <n v="370"/>
    <n v="1"/>
    <n v="5"/>
    <n v="1.0703953712632595"/>
    <n v="0.21407907425265191"/>
    <d v="1908-10-13T05:47:42"/>
    <d v="1941-06-26T14:24:54"/>
    <d v="1899-12-30T00:00:00"/>
    <n v="0"/>
    <n v="0"/>
    <n v="0"/>
    <n v="0"/>
    <n v="0"/>
    <n v="0"/>
    <n v="0"/>
    <d v="1899-12-30T00:38:59"/>
    <n v="1.25"/>
    <n v="5"/>
    <n v="1"/>
    <n v="0.25"/>
    <n v="1"/>
    <n v="1"/>
    <n v="1"/>
    <n v="0"/>
    <n v="1"/>
    <n v="1"/>
    <n v="0"/>
    <n v="1"/>
    <n v="1"/>
    <n v="6"/>
    <n v="0.75"/>
    <n v="0.11249999999999999"/>
    <n v="75"/>
    <n v="75"/>
    <n v="80"/>
    <n v="80"/>
    <n v="80"/>
    <n v="0.8"/>
    <n v="390"/>
    <n v="0.98717948717948723"/>
    <n v="0.19743589743589746"/>
    <n v="4.05"/>
    <n v="78"/>
    <n v="0.77401497168854938"/>
    <s v="New CE"/>
    <s v="Stay"/>
    <x v="2"/>
  </r>
  <r>
    <n v="188"/>
    <s v="Agung Mega Nanda"/>
    <s v="IDH70114"/>
    <s v="Associate engineer"/>
    <s v="Surabaya"/>
    <s v="Region 2"/>
    <s v="SIPRAMA"/>
    <d v="2024-05-01T00:00:00"/>
    <d v="2024-10-31T00:00:00"/>
    <s v="0 Tahun 7 Bulan 18 Hari "/>
    <n v="183"/>
    <n v="1384"/>
    <n v="22"/>
    <n v="6775"/>
    <n v="307.95454545454544"/>
    <n v="333"/>
    <n v="1"/>
    <n v="5"/>
    <n v="1.081328413284133"/>
    <n v="0.21626568265682661"/>
    <d v="1915-02-03T19:07:23"/>
    <d v="1910-05-15T15:39:09"/>
    <d v="1899-12-30T00:32:45"/>
    <n v="0"/>
    <n v="0"/>
    <n v="1"/>
    <n v="0.4"/>
    <n v="1"/>
    <n v="0.33333333333333331"/>
    <n v="8.3333333333333329E-2"/>
    <d v="1899-12-30T01:13:54"/>
    <n v="1"/>
    <n v="4"/>
    <n v="0.8"/>
    <n v="0.2"/>
    <n v="1"/>
    <n v="1"/>
    <n v="1"/>
    <n v="0"/>
    <n v="0"/>
    <n v="0"/>
    <n v="0"/>
    <n v="1"/>
    <n v="0.8"/>
    <n v="4"/>
    <n v="0.5"/>
    <n v="7.4999999999999997E-2"/>
    <n v="75"/>
    <n v="75"/>
    <n v="80"/>
    <n v="75"/>
    <n v="80"/>
    <n v="0.8"/>
    <n v="385"/>
    <n v="0.98701298701298701"/>
    <n v="0.19740259740259741"/>
    <n v="4"/>
    <n v="77"/>
    <n v="0.77200161339275741"/>
    <s v="New CE"/>
    <s v="Stay"/>
    <x v="2"/>
  </r>
  <r>
    <n v="189"/>
    <s v="Yudha Satria Guntoro"/>
    <s v="IDH60032"/>
    <s v="Engineer"/>
    <s v="Makassar"/>
    <s v="Region 3"/>
    <s v="CITIUS"/>
    <d v="2021-11-02T00:00:00"/>
    <d v="2024-10-31T00:00:00"/>
    <s v="3 Tahun 1 Bulan 17 Hari "/>
    <n v="1094"/>
    <n v="448"/>
    <n v="7"/>
    <n v="2614"/>
    <n v="373.42857142857144"/>
    <n v="360"/>
    <n v="0.8"/>
    <n v="4"/>
    <n v="0.96403978576893645"/>
    <n v="0.19280795715378729"/>
    <d v="1910-12-13T18:02:50"/>
    <d v="1899-12-30T00:00:00"/>
    <d v="1899-12-30T00:00:00"/>
    <n v="0"/>
    <n v="0"/>
    <n v="0"/>
    <n v="0"/>
    <n v="0"/>
    <n v="0"/>
    <n v="0"/>
    <d v="1899-12-30T00:53:01"/>
    <n v="1.25"/>
    <n v="5"/>
    <n v="1"/>
    <n v="0.25"/>
    <n v="1"/>
    <n v="1"/>
    <n v="1"/>
    <n v="1"/>
    <n v="1"/>
    <n v="1"/>
    <n v="0"/>
    <n v="1"/>
    <n v="1"/>
    <n v="7"/>
    <n v="0.875"/>
    <n v="0.13125000000000001"/>
    <n v="75"/>
    <n v="75"/>
    <n v="80"/>
    <n v="80"/>
    <n v="80"/>
    <n v="0.8"/>
    <n v="390"/>
    <n v="0.98717948717948723"/>
    <n v="0.19743589743589746"/>
    <n v="3.8499999999999996"/>
    <n v="78"/>
    <n v="0.77149385458968478"/>
    <s v="Lebih Dari Cukup"/>
    <s v="Stay"/>
    <x v="1"/>
  </r>
  <r>
    <n v="190"/>
    <s v="Zihni Zein"/>
    <s v="IDH40120"/>
    <s v="Associate engineer"/>
    <s v="Jakarta 2"/>
    <s v="Region 1"/>
    <s v="SIPRAMA"/>
    <d v="2021-04-05T00:00:00"/>
    <d v="2024-10-31T00:00:00"/>
    <s v="3 Tahun 8 Bulan 14 Hari "/>
    <n v="1305"/>
    <n v="893"/>
    <n v="14"/>
    <n v="6172"/>
    <n v="440.85714285714283"/>
    <n v="614"/>
    <n v="1"/>
    <n v="5"/>
    <n v="1.3927414128321451"/>
    <n v="0.27854828256642905"/>
    <d v="1986-10-02T16:07:01"/>
    <d v="1899-12-30T00:00:00"/>
    <d v="1899-12-30T00:00:00"/>
    <n v="0"/>
    <n v="0"/>
    <n v="0"/>
    <n v="0"/>
    <n v="0"/>
    <n v="0"/>
    <n v="0"/>
    <d v="1899-12-30T00:57:37"/>
    <n v="1"/>
    <n v="4"/>
    <n v="0.8"/>
    <n v="0.2"/>
    <n v="1"/>
    <n v="1"/>
    <n v="1"/>
    <n v="0"/>
    <n v="0"/>
    <n v="1"/>
    <n v="0"/>
    <n v="1"/>
    <n v="1"/>
    <n v="5"/>
    <n v="0.625"/>
    <n v="9.375E-2"/>
    <n v="75"/>
    <n v="75"/>
    <n v="90"/>
    <n v="85"/>
    <n v="80"/>
    <n v="0.8"/>
    <n v="405"/>
    <n v="0.98765432098765427"/>
    <n v="0.19753086419753085"/>
    <n v="3.8"/>
    <n v="81"/>
    <n v="0.76982914676395997"/>
    <s v="Lebih Dari Cukup"/>
    <s v="Stay"/>
    <x v="2"/>
  </r>
  <r>
    <n v="191"/>
    <s v="Irfan Ramadhan"/>
    <s v="IDH80056"/>
    <s v="Associate engineer"/>
    <s v="Jakarta 1"/>
    <s v="Region 1"/>
    <s v="IMPACT"/>
    <d v="2023-05-29T00:00:00"/>
    <d v="2024-10-31T00:00:00"/>
    <s v="1 Tahun 6 Bulan 20 Hari "/>
    <n v="521"/>
    <n v="897"/>
    <n v="13"/>
    <n v="6212"/>
    <n v="477.84615384615387"/>
    <n v="351"/>
    <n v="0.6"/>
    <n v="3"/>
    <n v="0.73454603992273015"/>
    <n v="0.14690920798454604"/>
    <d v="1899-12-30T00:23:16"/>
    <d v="1899-12-30T00:36:02"/>
    <d v="1899-12-30T00:00:00"/>
    <n v="1"/>
    <n v="1"/>
    <n v="0"/>
    <n v="0.8"/>
    <n v="2"/>
    <n v="0.66666666666666663"/>
    <n v="0.16666666666666666"/>
    <d v="1899-12-30T01:15:44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90"/>
    <n v="85"/>
    <n v="80"/>
    <n v="0.8"/>
    <n v="405"/>
    <n v="0.98765432098765427"/>
    <n v="0.19753086419753085"/>
    <n v="3.8"/>
    <n v="81"/>
    <n v="0.76735673884874356"/>
    <s v="Lebih Dari Cukup"/>
    <s v="Stay"/>
    <x v="2"/>
  </r>
  <r>
    <n v="192"/>
    <s v="Giri Dwi Prasetya"/>
    <s v="IDH80065"/>
    <s v="Associate engineer"/>
    <s v="Cikampek"/>
    <s v="Region 2"/>
    <s v="IMPACT"/>
    <d v="2023-07-24T00:00:00"/>
    <d v="2024-10-31T00:00:00"/>
    <s v="1 Tahun 4 Bulan 25 Hari "/>
    <n v="465"/>
    <n v="304"/>
    <n v="5"/>
    <n v="2111"/>
    <n v="422.2"/>
    <n v="406"/>
    <n v="0.8"/>
    <n v="4"/>
    <n v="0.96162955945049744"/>
    <n v="0.19232591189009951"/>
    <d v="1913-03-11T17:24:02"/>
    <d v="1899-12-30T02:34:15"/>
    <d v="1899-12-30T00:00:00"/>
    <n v="0"/>
    <n v="1"/>
    <n v="0"/>
    <n v="0.4"/>
    <n v="1"/>
    <n v="0.33333333333333331"/>
    <n v="8.3333333333333329E-2"/>
    <d v="1899-12-30T01:47:20"/>
    <n v="1"/>
    <n v="4"/>
    <n v="0.8"/>
    <n v="0.2"/>
    <n v="1"/>
    <n v="1"/>
    <n v="1"/>
    <n v="0"/>
    <n v="1"/>
    <n v="1"/>
    <n v="0"/>
    <n v="0"/>
    <n v="1"/>
    <n v="5"/>
    <n v="0.625"/>
    <n v="9.375E-2"/>
    <n v="75"/>
    <n v="75"/>
    <n v="80"/>
    <n v="80"/>
    <n v="80"/>
    <n v="0.8"/>
    <n v="390"/>
    <n v="0.98717948717948723"/>
    <n v="0.19743589743589746"/>
    <n v="4"/>
    <n v="78"/>
    <n v="0.76684514265933035"/>
    <s v="Lebih Dari Cukup"/>
    <s v="Stay"/>
    <x v="2"/>
  </r>
  <r>
    <n v="193"/>
    <s v="Wahyu Dwi Vebyannto"/>
    <s v="IDH10015"/>
    <s v="Associate engineer"/>
    <s v="Madiun"/>
    <s v="Region 2"/>
    <s v="KINARYA"/>
    <d v="2024-03-01T00:00:00"/>
    <d v="2024-10-31T00:00:00"/>
    <s v="0 Tahun 9 Bulan 18 Hari "/>
    <n v="244"/>
    <n v="213"/>
    <n v="3"/>
    <n v="1330"/>
    <n v="443.33333333333331"/>
    <n v="207"/>
    <n v="0.4"/>
    <n v="2"/>
    <n v="0.46691729323308273"/>
    <n v="9.3383458646616554E-2"/>
    <d v="1899-12-30T00:30:16"/>
    <d v="1899-12-30T00:19:22"/>
    <d v="1899-12-30T00:15:32"/>
    <n v="1"/>
    <n v="1"/>
    <n v="1"/>
    <n v="1.25"/>
    <n v="3"/>
    <n v="1"/>
    <n v="0.25"/>
    <d v="1899-12-30T02:02:05"/>
    <n v="0.75"/>
    <n v="3"/>
    <n v="0.6"/>
    <n v="0.15"/>
    <n v="1"/>
    <n v="1"/>
    <n v="1"/>
    <n v="0"/>
    <n v="1"/>
    <n v="0"/>
    <n v="0"/>
    <n v="0"/>
    <n v="0.8"/>
    <n v="4"/>
    <n v="0.5"/>
    <n v="7.4999999999999997E-2"/>
    <n v="75"/>
    <n v="75"/>
    <n v="80"/>
    <n v="80"/>
    <n v="80"/>
    <n v="0.8"/>
    <n v="390"/>
    <n v="0.98717948717948723"/>
    <n v="0.19743589743589746"/>
    <n v="4"/>
    <n v="78"/>
    <n v="0.76581935608251395"/>
    <s v="New CE"/>
    <s v="Stay"/>
    <x v="2"/>
  </r>
  <r>
    <n v="194"/>
    <s v="Rizki Pratama"/>
    <s v="IDH80022"/>
    <s v="Associate engineer"/>
    <s v="Tasikmalaya"/>
    <s v="Region 2"/>
    <s v="IMPACT"/>
    <d v="2023-02-09T00:00:00"/>
    <d v="2024-10-31T00:00:00"/>
    <s v="1 Tahun 10 Bulan 10 Hari "/>
    <n v="630"/>
    <n v="313"/>
    <n v="6"/>
    <n v="2164"/>
    <n v="360.66666666666669"/>
    <n v="446"/>
    <n v="1"/>
    <n v="5"/>
    <n v="1.2365988909426986"/>
    <n v="0.24731977818853973"/>
    <d v="1913-02-05T09:13:38"/>
    <d v="1899-12-30T02:15:14"/>
    <d v="1899-12-30T00:00:00"/>
    <n v="0"/>
    <n v="1"/>
    <n v="0"/>
    <n v="0.4"/>
    <n v="1"/>
    <n v="0.33333333333333331"/>
    <n v="8.3333333333333329E-2"/>
    <d v="1899-12-30T01:22:14"/>
    <n v="1"/>
    <n v="4"/>
    <n v="0.8"/>
    <n v="0.2"/>
    <n v="1"/>
    <n v="1"/>
    <n v="0"/>
    <n v="0"/>
    <n v="0"/>
    <n v="0"/>
    <n v="0"/>
    <n v="0"/>
    <n v="0.4"/>
    <n v="2"/>
    <n v="0.25"/>
    <n v="3.7499999999999999E-2"/>
    <n v="75"/>
    <n v="75"/>
    <n v="80"/>
    <n v="85"/>
    <n v="85"/>
    <n v="0.8"/>
    <n v="400"/>
    <n v="0.98750000000000004"/>
    <n v="0.19750000000000001"/>
    <n v="3.5999999999999996"/>
    <n v="80"/>
    <n v="0.7656531115218731"/>
    <s v="Lebih Dari Cukup"/>
    <s v="Stay"/>
    <x v="2"/>
  </r>
  <r>
    <n v="195"/>
    <s v="William Oka Pratama"/>
    <s v="IDH50016"/>
    <s v="Engineer"/>
    <s v="Banyuwangi"/>
    <s v="Region 2"/>
    <s v="SIPRAMA"/>
    <d v="2020-12-07T00:00:00"/>
    <d v="2024-10-31T00:00:00"/>
    <s v="4 Tahun 0 Bulan 12 Hari "/>
    <n v="1424"/>
    <n v="104"/>
    <n v="2"/>
    <n v="763"/>
    <n v="381.5"/>
    <n v="360"/>
    <n v="0.8"/>
    <n v="4"/>
    <n v="0.94364351245085187"/>
    <n v="0.18872870249017037"/>
    <d v="1910-12-28T19:52:10"/>
    <d v="1899-12-30T00:00:00"/>
    <d v="1899-12-30T00:00:06"/>
    <n v="0"/>
    <n v="0"/>
    <n v="1"/>
    <n v="0.4"/>
    <n v="1"/>
    <n v="0.33333333333333331"/>
    <n v="8.3333333333333329E-2"/>
    <d v="1899-12-30T01:33:20"/>
    <n v="1"/>
    <n v="4"/>
    <n v="0.8"/>
    <n v="0.2"/>
    <n v="1"/>
    <n v="1"/>
    <n v="1"/>
    <n v="0"/>
    <n v="0"/>
    <n v="1"/>
    <n v="0"/>
    <n v="1"/>
    <n v="1"/>
    <n v="5"/>
    <n v="0.625"/>
    <n v="9.375E-2"/>
    <n v="75"/>
    <n v="75"/>
    <n v="90"/>
    <n v="90"/>
    <n v="90"/>
    <n v="0.8"/>
    <n v="420"/>
    <n v="0.98809523809523814"/>
    <n v="0.19761904761904764"/>
    <n v="4"/>
    <n v="84"/>
    <n v="0.76343108344255128"/>
    <s v="Lebih Dari Cukup"/>
    <s v="Stay"/>
    <x v="1"/>
  </r>
  <r>
    <n v="196"/>
    <s v="M Dicky Syahputra"/>
    <s v="IDH80125"/>
    <s v="Associate engineer"/>
    <s v="Pekanbaru"/>
    <s v="Region 3"/>
    <s v="IMPACT"/>
    <d v="2023-11-13T00:00:00"/>
    <d v="2024-10-31T00:00:00"/>
    <s v="1 Tahun 1 Bulan 6 Hari "/>
    <n v="353"/>
    <n v="401"/>
    <n v="7"/>
    <n v="2754"/>
    <n v="393.42857142857144"/>
    <n v="415"/>
    <n v="1"/>
    <n v="5"/>
    <n v="1.0548293391430645"/>
    <n v="0.21096586782861293"/>
    <d v="1906-03-24T16:19:54"/>
    <d v="1899-12-30T00:56:20"/>
    <d v="1905-03-04T14:31:37"/>
    <n v="0"/>
    <n v="1"/>
    <n v="1"/>
    <n v="0.8"/>
    <n v="2"/>
    <n v="0.66666666666666663"/>
    <n v="0.16666666666666666"/>
    <d v="1899-12-30T02:23:37"/>
    <n v="0.75"/>
    <n v="3"/>
    <n v="0.6"/>
    <n v="0.15"/>
    <n v="1"/>
    <n v="1"/>
    <n v="0"/>
    <n v="0"/>
    <n v="0"/>
    <n v="0"/>
    <n v="0"/>
    <n v="0"/>
    <n v="0.4"/>
    <n v="2"/>
    <n v="0.25"/>
    <n v="3.7499999999999999E-2"/>
    <n v="75"/>
    <n v="75"/>
    <n v="80"/>
    <n v="80"/>
    <n v="80"/>
    <n v="0.8"/>
    <n v="390"/>
    <n v="0.98717948717948723"/>
    <n v="0.19743589743589746"/>
    <n v="3.75"/>
    <n v="78"/>
    <n v="0.76256843193117696"/>
    <s v="New CE"/>
    <s v="Stay"/>
    <x v="2"/>
  </r>
  <r>
    <n v="197"/>
    <s v="Dimas Anda Pratama"/>
    <s v="IDH60010"/>
    <s v="Engineer"/>
    <s v="Palembang"/>
    <s v="Region 3"/>
    <s v="CITIUS"/>
    <d v="2021-08-23T00:00:00"/>
    <d v="2024-10-31T00:00:00"/>
    <s v="3 Tahun 3 Bulan 26 Hari "/>
    <n v="1165"/>
    <n v="426"/>
    <n v="6"/>
    <n v="3000"/>
    <n v="500"/>
    <n v="469"/>
    <n v="0.8"/>
    <n v="4"/>
    <n v="0.93799999999999994"/>
    <n v="0.18759999999999999"/>
    <d v="1924-08-19T02:47:38"/>
    <d v="1922-07-30T20:17:13"/>
    <d v="1911-04-19T08:25:15"/>
    <n v="0"/>
    <n v="0"/>
    <n v="1"/>
    <n v="0.4"/>
    <n v="1"/>
    <n v="0.33333333333333331"/>
    <n v="8.3333333333333329E-2"/>
    <d v="1899-12-30T01:31:13"/>
    <n v="1"/>
    <n v="4"/>
    <n v="0.8"/>
    <n v="0.2"/>
    <n v="1"/>
    <n v="1"/>
    <n v="1"/>
    <n v="0"/>
    <n v="0"/>
    <n v="1"/>
    <n v="0"/>
    <n v="1"/>
    <n v="1"/>
    <n v="5"/>
    <n v="0.625"/>
    <n v="9.375E-2"/>
    <n v="75"/>
    <n v="75"/>
    <n v="80"/>
    <n v="85"/>
    <n v="80"/>
    <n v="0.8"/>
    <n v="395"/>
    <n v="0.98734177215189878"/>
    <n v="0.19746835443037977"/>
    <n v="4"/>
    <n v="79"/>
    <n v="0.76215168776371311"/>
    <s v="Lebih Dari Cukup"/>
    <s v="Stay"/>
    <x v="1"/>
  </r>
  <r>
    <n v="198"/>
    <s v="Fakhri Rahmatullah"/>
    <s v="IDH80042"/>
    <s v="Associate engineer"/>
    <s v="Jakarta 3"/>
    <s v="Region 1"/>
    <s v="IMPACT"/>
    <d v="2023-02-09T00:00:00"/>
    <d v="2024-10-31T00:00:00"/>
    <s v="1 Tahun 10 Bulan 10 Hari "/>
    <n v="630"/>
    <n v="1040"/>
    <n v="17"/>
    <n v="7455"/>
    <n v="438.52941176470586"/>
    <n v="491"/>
    <n v="1"/>
    <n v="5"/>
    <n v="1.1196512407780015"/>
    <n v="0.22393024815560031"/>
    <d v="1899-12-30T00:17:22"/>
    <d v="1899-12-30T00:00:00"/>
    <d v="1899-12-30T00:00:00"/>
    <n v="1"/>
    <n v="0"/>
    <n v="0"/>
    <n v="0.4"/>
    <n v="1"/>
    <n v="0.33333333333333331"/>
    <n v="8.3333333333333329E-2"/>
    <d v="1899-12-30T01:30:32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90"/>
    <n v="85"/>
    <n v="80"/>
    <n v="0.8"/>
    <n v="405"/>
    <n v="0.98765432098765427"/>
    <n v="0.19753086419753085"/>
    <n v="3.8"/>
    <n v="81"/>
    <n v="0.76104444568646457"/>
    <s v="Lebih Dari Cukup"/>
    <s v="Stay"/>
    <x v="2"/>
  </r>
  <r>
    <n v="199"/>
    <s v="Roby Kurniawan"/>
    <s v="IDH60008"/>
    <s v="Engineer"/>
    <s v="Samarinda"/>
    <s v="Region 3"/>
    <s v="CITIUS"/>
    <d v="2021-08-23T00:00:00"/>
    <d v="2024-10-31T00:00:00"/>
    <s v="3 Tahun 3 Bulan 26 Hari "/>
    <n v="1165"/>
    <n v="185"/>
    <n v="3"/>
    <n v="1462"/>
    <n v="487.33333333333331"/>
    <n v="374"/>
    <n v="0.6"/>
    <n v="3"/>
    <n v="0.76744186046511631"/>
    <n v="0.15348837209302327"/>
    <d v="1910-05-16T08:59:38"/>
    <d v="1899-12-30T00:00:00"/>
    <d v="1899-12-30T04:10:54"/>
    <n v="0"/>
    <n v="0"/>
    <n v="1"/>
    <n v="0.4"/>
    <n v="1"/>
    <n v="0.33333333333333331"/>
    <n v="8.3333333333333329E-2"/>
    <d v="1899-12-30T00:43:03"/>
    <n v="1.25"/>
    <n v="5"/>
    <n v="1"/>
    <n v="0.25"/>
    <n v="1"/>
    <n v="1"/>
    <n v="1"/>
    <n v="0"/>
    <n v="0"/>
    <n v="1"/>
    <n v="0"/>
    <n v="0"/>
    <n v="0.8"/>
    <n v="4"/>
    <n v="0.5"/>
    <n v="7.4999999999999997E-2"/>
    <n v="75"/>
    <n v="75"/>
    <n v="80"/>
    <n v="80"/>
    <n v="80"/>
    <n v="0.8"/>
    <n v="390"/>
    <n v="0.98717948717948723"/>
    <n v="0.19743589743589746"/>
    <n v="3.8499999999999996"/>
    <n v="78"/>
    <n v="0.75925760286225397"/>
    <s v="Lebih Dari Cukup"/>
    <s v="Stay"/>
    <x v="1"/>
  </r>
  <r>
    <n v="200"/>
    <s v="Alyan Elman Sumintoro"/>
    <s v="IDH80095"/>
    <s v="Associate engineer"/>
    <s v="Kupang"/>
    <s v="Region 1"/>
    <s v="IMPACT"/>
    <d v="2023-09-04T00:00:00"/>
    <d v="2024-10-31T00:00:00"/>
    <s v="1 Tahun 3 Bulan 15 Hari "/>
    <n v="423"/>
    <n v="116"/>
    <n v="3"/>
    <n v="683"/>
    <n v="227.66666666666666"/>
    <n v="251"/>
    <n v="1"/>
    <n v="5"/>
    <n v="1.1024890190336749"/>
    <n v="0.220497803806735"/>
    <d v="1903-05-12T18:41:27"/>
    <d v="1899-12-30T00:00:00"/>
    <d v="1899-12-30T00:01:31"/>
    <n v="0"/>
    <n v="0"/>
    <n v="1"/>
    <n v="0.4"/>
    <n v="1"/>
    <n v="0.33333333333333331"/>
    <n v="8.3333333333333329E-2"/>
    <d v="1899-12-30T01:33:31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90"/>
    <n v="85"/>
    <n v="80"/>
    <n v="0.8"/>
    <n v="405"/>
    <n v="0.98765432098765427"/>
    <n v="0.19753086419753085"/>
    <n v="3.8"/>
    <n v="81"/>
    <n v="0.75761200133759921"/>
    <s v="Lebih Dari Cukup"/>
    <s v="Stay"/>
    <x v="2"/>
  </r>
  <r>
    <n v="201"/>
    <s v="Awang Reza Al Chabir"/>
    <s v="IDH60011"/>
    <s v="Engineer"/>
    <s v="Palembang"/>
    <s v="Region 3"/>
    <s v="CITIUS"/>
    <d v="2021-08-23T00:00:00"/>
    <d v="2024-10-31T00:00:00"/>
    <s v="3 Tahun 3 Bulan 26 Hari "/>
    <n v="1165"/>
    <n v="426"/>
    <n v="6"/>
    <n v="3000"/>
    <n v="500"/>
    <n v="425"/>
    <n v="0.8"/>
    <n v="4"/>
    <n v="0.85"/>
    <n v="0.17"/>
    <d v="1934-01-15T18:18:19"/>
    <d v="1920-09-27T02:45:22"/>
    <d v="1937-11-10T16:02:19"/>
    <n v="0"/>
    <n v="0"/>
    <n v="1"/>
    <n v="0.4"/>
    <n v="1"/>
    <n v="0.33333333333333331"/>
    <n v="8.3333333333333329E-2"/>
    <d v="1899-12-30T00:57:37"/>
    <n v="1.25"/>
    <n v="5"/>
    <n v="1"/>
    <n v="0.25"/>
    <n v="1"/>
    <n v="1"/>
    <n v="1"/>
    <n v="0"/>
    <n v="0"/>
    <n v="0"/>
    <n v="0"/>
    <n v="0"/>
    <n v="0.6"/>
    <n v="3"/>
    <n v="0.375"/>
    <n v="5.6249999999999994E-2"/>
    <n v="75"/>
    <n v="75"/>
    <n v="80"/>
    <n v="85"/>
    <n v="80"/>
    <n v="0.8"/>
    <n v="395"/>
    <n v="0.98734177215189878"/>
    <n v="0.19746835443037977"/>
    <n v="3.8500000000000005"/>
    <n v="79"/>
    <n v="0.75705168776371323"/>
    <s v="Lebih Dari Cukup"/>
    <s v="Stay"/>
    <x v="1"/>
  </r>
  <r>
    <n v="202"/>
    <s v="Rifqi Muarifa"/>
    <s v="IDH70014"/>
    <s v="Engineer"/>
    <s v="Bandung"/>
    <s v="Region 2"/>
    <s v="SIPRAMA"/>
    <d v="2022-10-03T00:00:00"/>
    <d v="2024-10-31T00:00:00"/>
    <s v="2 Tahun 2 Bulan 16 Hari "/>
    <n v="759"/>
    <n v="872"/>
    <n v="15"/>
    <n v="5975"/>
    <n v="398.33333333333331"/>
    <n v="362"/>
    <n v="0.8"/>
    <n v="4"/>
    <n v="0.90878661087866108"/>
    <n v="0.18175732217573223"/>
    <d v="1909-09-11T14:04:13"/>
    <d v="1899-12-30T00:18:18"/>
    <d v="1899-12-30T00:00:00"/>
    <n v="0"/>
    <n v="1"/>
    <n v="0"/>
    <n v="0.4"/>
    <n v="1"/>
    <n v="0.33333333333333331"/>
    <n v="8.3333333333333329E-2"/>
    <d v="1899-12-30T01:03:06"/>
    <n v="1"/>
    <n v="4"/>
    <n v="0.8"/>
    <n v="0.2"/>
    <n v="1"/>
    <n v="1"/>
    <n v="1"/>
    <n v="0"/>
    <n v="1"/>
    <n v="1"/>
    <n v="0"/>
    <n v="0"/>
    <n v="1"/>
    <n v="5"/>
    <n v="0.625"/>
    <n v="9.375E-2"/>
    <n v="75"/>
    <n v="75"/>
    <n v="85"/>
    <n v="80"/>
    <n v="80"/>
    <n v="0.8"/>
    <n v="395"/>
    <n v="0.98734177215189878"/>
    <n v="0.19746835443037977"/>
    <n v="4"/>
    <n v="79"/>
    <n v="0.75630900993944539"/>
    <s v="Lebih Dari Cukup"/>
    <s v="Stay"/>
    <x v="1"/>
  </r>
  <r>
    <n v="203"/>
    <s v="Abdimas Pasa"/>
    <s v="IDH40085"/>
    <s v="Senior engineer"/>
    <s v="Medan"/>
    <s v="Region 3"/>
    <s v="GSS"/>
    <d v="2019-10-02T00:00:00"/>
    <d v="2024-10-31T00:00:00"/>
    <s v="5 Tahun 2 Bulan 17 Hari "/>
    <n v="1856"/>
    <n v="684"/>
    <n v="10"/>
    <n v="4972"/>
    <n v="497.2"/>
    <n v="402"/>
    <n v="0.8"/>
    <n v="4"/>
    <n v="0.80852775543041033"/>
    <n v="0.16170555108608209"/>
    <d v="1952-06-16T17:21:03"/>
    <d v="1965-11-07T18:15:27"/>
    <d v="1998-02-10T03:18:27"/>
    <n v="0"/>
    <n v="0"/>
    <n v="1"/>
    <n v="0.4"/>
    <n v="1"/>
    <n v="0.33333333333333331"/>
    <n v="8.3333333333333329E-2"/>
    <d v="1899-12-30T01:31:20"/>
    <n v="1"/>
    <n v="4"/>
    <n v="0.8"/>
    <n v="0.2"/>
    <n v="1"/>
    <n v="1"/>
    <n v="1"/>
    <n v="1"/>
    <n v="0"/>
    <n v="1"/>
    <n v="0"/>
    <n v="1"/>
    <n v="1"/>
    <n v="6"/>
    <n v="0.75"/>
    <n v="0.11249999999999999"/>
    <n v="75"/>
    <n v="75"/>
    <n v="80"/>
    <n v="90"/>
    <n v="80"/>
    <n v="0.8"/>
    <n v="400"/>
    <n v="0.98750000000000004"/>
    <n v="0.19750000000000001"/>
    <n v="4"/>
    <n v="80"/>
    <n v="0.75503888441941536"/>
    <s v="Lebih Dari Cukup"/>
    <s v="Stay"/>
    <x v="0"/>
  </r>
  <r>
    <n v="204"/>
    <s v="Ibnu Malik Al Hamas"/>
    <s v="IDH30050"/>
    <s v="Senior engineer"/>
    <s v="Cikampek"/>
    <s v="Region 2"/>
    <s v="GSS"/>
    <d v="2020-08-03T00:00:00"/>
    <d v="2024-10-31T00:00:00"/>
    <s v="4 Tahun 4 Bulan 16 Hari "/>
    <n v="1550"/>
    <n v="304"/>
    <n v="5"/>
    <n v="2111"/>
    <n v="422.2"/>
    <n v="379"/>
    <n v="0.8"/>
    <n v="4"/>
    <n v="0.89767882520132636"/>
    <n v="0.17953576504026528"/>
    <d v="1914-11-24T19:53:00"/>
    <d v="1899-12-30T00:35:36"/>
    <d v="1899-12-30T00:00:00"/>
    <n v="0"/>
    <n v="1"/>
    <n v="0"/>
    <n v="0.4"/>
    <n v="1"/>
    <n v="0.33333333333333331"/>
    <n v="8.3333333333333329E-2"/>
    <d v="1899-12-30T01:18:53"/>
    <n v="1"/>
    <n v="4"/>
    <n v="0.8"/>
    <n v="0.2"/>
    <n v="1"/>
    <n v="1"/>
    <n v="1"/>
    <n v="1"/>
    <n v="0"/>
    <n v="1"/>
    <n v="0"/>
    <n v="0"/>
    <n v="1"/>
    <n v="5"/>
    <n v="0.625"/>
    <n v="9.375E-2"/>
    <n v="75"/>
    <n v="75"/>
    <n v="80"/>
    <n v="80"/>
    <n v="80"/>
    <n v="0.8"/>
    <n v="390"/>
    <n v="0.98717948717948723"/>
    <n v="0.19743589743589746"/>
    <n v="4"/>
    <n v="78"/>
    <n v="0.75405499580949598"/>
    <s v="Lebih Dari Cukup"/>
    <s v="Stay"/>
    <x v="0"/>
  </r>
  <r>
    <n v="205"/>
    <s v="Muhammad Azhar"/>
    <s v="IDH70006"/>
    <s v="Engineer"/>
    <s v="Samarinda"/>
    <s v="Region 3"/>
    <s v="SIPRAMA"/>
    <d v="2022-08-22T00:00:00"/>
    <d v="2024-10-31T00:00:00"/>
    <s v="2 Tahun 3 Bulan 27 Hari "/>
    <n v="801"/>
    <n v="185"/>
    <n v="3"/>
    <n v="1462"/>
    <n v="487.33333333333331"/>
    <n v="444"/>
    <n v="0.8"/>
    <n v="4"/>
    <n v="0.91108071135430924"/>
    <n v="0.18221614227086186"/>
    <d v="1901-09-24T05:05:29"/>
    <d v="1899-12-30T00:10:46"/>
    <d v="1907-10-02T12:24:11"/>
    <n v="0"/>
    <n v="1"/>
    <n v="1"/>
    <n v="0.8"/>
    <n v="2"/>
    <n v="0.66666666666666663"/>
    <n v="0.16666666666666666"/>
    <d v="1899-12-30T02:22:20"/>
    <n v="0.75"/>
    <n v="3"/>
    <n v="0.6"/>
    <n v="0.15"/>
    <n v="1"/>
    <n v="1"/>
    <n v="1"/>
    <n v="0"/>
    <n v="0"/>
    <n v="0"/>
    <n v="0"/>
    <n v="0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3.75"/>
    <n v="78"/>
    <n v="0.7525687063734261"/>
    <s v="Lebih Dari Cukup"/>
    <s v="Stay"/>
    <x v="1"/>
  </r>
  <r>
    <n v="206"/>
    <s v="M Triwahyudi Damanik"/>
    <s v="IDH90054"/>
    <s v="Associate engineer"/>
    <s v="Pematang Siantar"/>
    <s v="Region 3"/>
    <s v="GSS"/>
    <d v="2024-03-01T00:00:00"/>
    <d v="2024-10-31T00:00:00"/>
    <s v="0 Tahun 9 Bulan 18 Hari "/>
    <n v="244"/>
    <n v="235"/>
    <n v="4"/>
    <n v="1697"/>
    <n v="424.25"/>
    <n v="377"/>
    <n v="0.8"/>
    <n v="4"/>
    <n v="0.88862698880377133"/>
    <n v="0.17772539776075427"/>
    <d v="1907-10-13T17:44:34"/>
    <d v="1903-11-19T02:38:44"/>
    <d v="1899-12-30T03:11:45"/>
    <n v="0"/>
    <n v="0"/>
    <n v="1"/>
    <n v="0.4"/>
    <n v="1"/>
    <n v="0.33333333333333331"/>
    <n v="8.3333333333333329E-2"/>
    <d v="1899-12-30T01:17:32"/>
    <n v="1"/>
    <n v="4"/>
    <n v="0.8"/>
    <n v="0.2"/>
    <n v="1"/>
    <n v="1"/>
    <n v="1"/>
    <n v="0"/>
    <n v="1"/>
    <n v="1"/>
    <n v="0"/>
    <n v="0"/>
    <n v="1"/>
    <n v="5"/>
    <n v="0.625"/>
    <n v="9.375E-2"/>
    <n v="75"/>
    <n v="75"/>
    <n v="80"/>
    <n v="80"/>
    <n v="80"/>
    <n v="0.8"/>
    <n v="390"/>
    <n v="0.98717948717948723"/>
    <n v="0.19743589743589746"/>
    <n v="4"/>
    <n v="78"/>
    <n v="0.75224462852998508"/>
    <s v="New CE"/>
    <s v="Stay"/>
    <x v="2"/>
  </r>
  <r>
    <n v="207"/>
    <s v="Ali Mukti"/>
    <s v="IDH40096"/>
    <s v="Engineer"/>
    <s v="Banjarmasin"/>
    <s v="Region 3"/>
    <s v="IMPACT"/>
    <d v="2020-01-06T00:00:00"/>
    <d v="2024-10-31T00:00:00"/>
    <s v="4 Tahun 11 Bulan 13 Hari "/>
    <n v="1760"/>
    <n v="295"/>
    <n v="5"/>
    <n v="2105"/>
    <n v="421"/>
    <n v="413"/>
    <n v="0.8"/>
    <n v="4"/>
    <n v="0.98099762470308793"/>
    <n v="0.1961995249406176"/>
    <d v="1932-10-04T02:57:25"/>
    <d v="2024-09-19T14:49:14"/>
    <d v="1977-09-18T17:38:36"/>
    <n v="0"/>
    <n v="0"/>
    <n v="1"/>
    <n v="0.4"/>
    <n v="1"/>
    <n v="0.33333333333333331"/>
    <n v="8.3333333333333329E-2"/>
    <d v="1899-12-30T01:05:11"/>
    <n v="1"/>
    <n v="4"/>
    <n v="0.8"/>
    <n v="0.2"/>
    <n v="1"/>
    <n v="1"/>
    <n v="1"/>
    <n v="0"/>
    <n v="1"/>
    <n v="0"/>
    <n v="0"/>
    <n v="0"/>
    <n v="0.8"/>
    <n v="4"/>
    <n v="0.5"/>
    <n v="7.4999999999999997E-2"/>
    <n v="75"/>
    <n v="75"/>
    <n v="80"/>
    <n v="75"/>
    <n v="80"/>
    <n v="0.8"/>
    <n v="385"/>
    <n v="0.98701298701298701"/>
    <n v="0.19740259740259741"/>
    <n v="3.8"/>
    <n v="77"/>
    <n v="0.75193545567654829"/>
    <s v="Lebih Dari Cukup"/>
    <s v="Stay"/>
    <x v="1"/>
  </r>
  <r>
    <n v="208"/>
    <s v="Ardian Syafrizal"/>
    <s v="IDH80077"/>
    <s v="Associate engineer"/>
    <s v="Merauke"/>
    <s v="Region 1"/>
    <s v="IMPACT"/>
    <d v="2023-07-24T00:00:00"/>
    <d v="2024-10-31T00:00:00"/>
    <s v="1 Tahun 4 Bulan 25 Hari "/>
    <n v="465"/>
    <n v="34"/>
    <n v="1"/>
    <n v="290"/>
    <n v="290"/>
    <n v="284"/>
    <n v="0.8"/>
    <n v="4"/>
    <n v="0.97931034482758617"/>
    <n v="0.19586206896551725"/>
    <d v="1906-07-21T05:17:48"/>
    <d v="1899-12-30T00:00:00"/>
    <d v="1965-08-02T21:45:53"/>
    <n v="0"/>
    <n v="0"/>
    <n v="1"/>
    <n v="0.4"/>
    <n v="1"/>
    <n v="0.33333333333333331"/>
    <n v="8.3333333333333329E-2"/>
    <d v="1899-12-30T01:50:46"/>
    <n v="1"/>
    <n v="4"/>
    <n v="0.8"/>
    <n v="0.2"/>
    <n v="1"/>
    <n v="1"/>
    <n v="1"/>
    <n v="0"/>
    <n v="0"/>
    <n v="1"/>
    <n v="0"/>
    <n v="0"/>
    <n v="0.8"/>
    <n v="4"/>
    <n v="0.5"/>
    <n v="7.4999999999999997E-2"/>
    <n v="75"/>
    <n v="75"/>
    <n v="90"/>
    <n v="85"/>
    <n v="80"/>
    <n v="0.8"/>
    <n v="405"/>
    <n v="0.98765432098765427"/>
    <n v="0.19753086419753085"/>
    <n v="3.8"/>
    <n v="81"/>
    <n v="0.75172626649638141"/>
    <s v="Lebih Dari Cukup"/>
    <s v="Stay"/>
    <x v="2"/>
  </r>
  <r>
    <n v="209"/>
    <s v="Alparizi"/>
    <s v="IDH80009"/>
    <s v="Associate engineer"/>
    <s v="Denpasar"/>
    <s v="Region 3"/>
    <s v="IMPACT"/>
    <d v="2023-01-09T00:00:00"/>
    <d v="2024-10-31T00:00:00"/>
    <s v="1 Tahun 11 Bulan 10 Hari "/>
    <n v="661"/>
    <n v="612"/>
    <n v="11"/>
    <n v="5254"/>
    <n v="477.63636363636363"/>
    <n v="422"/>
    <n v="0.8"/>
    <n v="4"/>
    <n v="0.88351732013703843"/>
    <n v="0.17670346402740769"/>
    <d v="1908-10-11T05:08:26"/>
    <d v="1899-12-30T00:31:53"/>
    <d v="1899-12-30T00:00:00"/>
    <n v="0"/>
    <n v="1"/>
    <n v="0"/>
    <n v="0.4"/>
    <n v="1"/>
    <n v="0.33333333333333331"/>
    <n v="8.3333333333333329E-2"/>
    <d v="1899-12-30T01:07:46"/>
    <n v="1"/>
    <n v="4"/>
    <n v="0.8"/>
    <n v="0.2"/>
    <n v="1"/>
    <n v="1"/>
    <n v="1"/>
    <n v="1"/>
    <n v="0"/>
    <n v="1"/>
    <n v="0"/>
    <n v="0"/>
    <n v="1"/>
    <n v="5"/>
    <n v="0.625"/>
    <n v="9.375E-2"/>
    <n v="75"/>
    <n v="75"/>
    <n v="75"/>
    <n v="65"/>
    <n v="65"/>
    <n v="0.8"/>
    <n v="355"/>
    <n v="0.9859154929577465"/>
    <n v="0.19718309859154931"/>
    <n v="4"/>
    <n v="71"/>
    <n v="0.75096989595229036"/>
    <s v="Lebih Dari Cukup"/>
    <s v="Stay"/>
    <x v="2"/>
  </r>
  <r>
    <n v="210"/>
    <s v="Satiadi Yoga Nandiko"/>
    <s v="IDH80016"/>
    <s v="Associate engineer"/>
    <s v="Bogor"/>
    <s v="Region 1"/>
    <s v="IMPACT"/>
    <d v="2023-01-09T00:00:00"/>
    <d v="2024-10-31T00:00:00"/>
    <s v="1 Tahun 11 Bulan 10 Hari "/>
    <n v="661"/>
    <n v="338"/>
    <n v="6"/>
    <n v="2750"/>
    <n v="458.33333333333331"/>
    <n v="446"/>
    <n v="0.8"/>
    <n v="4"/>
    <n v="0.97309090909090912"/>
    <n v="0.19461818181818183"/>
    <d v="1905-10-16T18:50:25"/>
    <d v="1899-12-30T00:43:40"/>
    <d v="1899-12-30T00:00:00"/>
    <n v="0"/>
    <n v="1"/>
    <n v="0"/>
    <n v="0.4"/>
    <n v="1"/>
    <n v="0.33333333333333331"/>
    <n v="8.3333333333333329E-2"/>
    <d v="1899-12-30T01:03:40"/>
    <n v="1"/>
    <n v="4"/>
    <n v="0.8"/>
    <n v="0.2"/>
    <n v="1"/>
    <n v="1"/>
    <n v="1"/>
    <n v="0"/>
    <n v="0"/>
    <n v="1"/>
    <n v="0"/>
    <n v="0"/>
    <n v="0.8"/>
    <n v="4"/>
    <n v="0.5"/>
    <n v="7.4999999999999997E-2"/>
    <n v="75"/>
    <n v="75"/>
    <n v="90"/>
    <n v="80"/>
    <n v="80"/>
    <n v="0.8"/>
    <n v="400"/>
    <n v="0.98750000000000004"/>
    <n v="0.19750000000000001"/>
    <n v="3.8"/>
    <n v="80"/>
    <n v="0.7504515151515152"/>
    <s v="Lebih Dari Cukup"/>
    <s v="Stay"/>
    <x v="2"/>
  </r>
  <r>
    <n v="211"/>
    <s v="Refky Hidayat"/>
    <s v="IDH50019"/>
    <s v="Engineer"/>
    <s v="Palembang"/>
    <s v="Region 3"/>
    <s v="SIPRAMA"/>
    <d v="2020-12-07T00:00:00"/>
    <d v="2024-10-31T00:00:00"/>
    <s v="4 Tahun 0 Bulan 12 Hari "/>
    <n v="1424"/>
    <n v="426"/>
    <n v="6"/>
    <n v="3000"/>
    <n v="500"/>
    <n v="437"/>
    <n v="0.8"/>
    <n v="4"/>
    <n v="0.874"/>
    <n v="0.17480000000000001"/>
    <d v="1968-01-03T05:12:05"/>
    <d v="1944-06-16T07:11:27"/>
    <d v="1941-06-30T05:41:18"/>
    <n v="0"/>
    <n v="0"/>
    <n v="1"/>
    <n v="0.4"/>
    <n v="1"/>
    <n v="0.33333333333333331"/>
    <n v="8.3333333333333329E-2"/>
    <d v="1899-12-30T01:46:55"/>
    <n v="1"/>
    <n v="4"/>
    <n v="0.8"/>
    <n v="0.2"/>
    <n v="1"/>
    <n v="1"/>
    <n v="1"/>
    <n v="0"/>
    <n v="0"/>
    <n v="1"/>
    <n v="0"/>
    <n v="1"/>
    <n v="1"/>
    <n v="5"/>
    <n v="0.625"/>
    <n v="9.375E-2"/>
    <n v="75"/>
    <n v="75"/>
    <n v="80"/>
    <n v="85"/>
    <n v="80"/>
    <n v="0.8"/>
    <n v="395"/>
    <n v="0.98734177215189878"/>
    <n v="0.19746835443037977"/>
    <n v="4"/>
    <n v="79"/>
    <n v="0.74935168776371308"/>
    <s v="Lebih Dari Cukup"/>
    <s v="Stay"/>
    <x v="1"/>
  </r>
  <r>
    <n v="212"/>
    <s v="Reynaldy Ikhlasul Amal Makalalag"/>
    <s v="IDH70007"/>
    <s v="Engineer"/>
    <s v="Manado"/>
    <s v="Region 3"/>
    <s v="SIPRAMA"/>
    <d v="2022-08-22T00:00:00"/>
    <d v="2024-10-31T00:00:00"/>
    <s v="2 Tahun 3 Bulan 27 Hari "/>
    <n v="801"/>
    <n v="156"/>
    <n v="4"/>
    <n v="1290"/>
    <n v="322.5"/>
    <n v="367"/>
    <n v="1"/>
    <n v="5"/>
    <n v="1.1379844961240311"/>
    <n v="0.22759689922480622"/>
    <d v="1910-02-07T18:49:10"/>
    <d v="1899-12-30T00:00:00"/>
    <d v="1913-05-03T23:29:59"/>
    <n v="0"/>
    <n v="0"/>
    <n v="1"/>
    <n v="0.4"/>
    <n v="1"/>
    <n v="0.33333333333333331"/>
    <n v="8.3333333333333329E-2"/>
    <d v="1899-12-30T01:22:38"/>
    <n v="1"/>
    <n v="4"/>
    <n v="0.8"/>
    <n v="0.2"/>
    <n v="1"/>
    <n v="1"/>
    <n v="0"/>
    <n v="0"/>
    <n v="0"/>
    <n v="0"/>
    <n v="0"/>
    <n v="0"/>
    <n v="0.4"/>
    <n v="2"/>
    <n v="0.25"/>
    <n v="3.7499999999999999E-2"/>
    <n v="75"/>
    <n v="75"/>
    <n v="70"/>
    <n v="70"/>
    <n v="70"/>
    <n v="0.8"/>
    <n v="360"/>
    <n v="0.98611111111111116"/>
    <n v="0.19722222222222224"/>
    <n v="3.5999999999999996"/>
    <n v="72"/>
    <n v="0.7456524547803618"/>
    <s v="Lebih Dari Cukup"/>
    <s v="Stay"/>
    <x v="1"/>
  </r>
  <r>
    <n v="213"/>
    <s v="Dika Febri Andreansyah"/>
    <s v="IDH80124"/>
    <s v="Associate engineer"/>
    <s v="Tegal"/>
    <s v="Region 2"/>
    <s v="IMPACT"/>
    <d v="2023-11-13T00:00:00"/>
    <d v="2024-10-31T00:00:00"/>
    <s v="1 Tahun 1 Bulan 6 Hari "/>
    <n v="353"/>
    <n v="211"/>
    <n v="4"/>
    <n v="1615"/>
    <n v="403.75"/>
    <n v="342"/>
    <n v="0.8"/>
    <n v="4"/>
    <n v="0.84705882352941175"/>
    <n v="0.16941176470588237"/>
    <d v="1905-12-02T21:54:05"/>
    <d v="1899-12-30T00:06:46"/>
    <d v="1899-12-30T00:00:00"/>
    <n v="0"/>
    <n v="1"/>
    <n v="0"/>
    <n v="0.4"/>
    <n v="1"/>
    <n v="0.33333333333333331"/>
    <n v="8.3333333333333329E-2"/>
    <d v="1899-12-30T01:31:20"/>
    <n v="1"/>
    <n v="4"/>
    <n v="0.8"/>
    <n v="0.2"/>
    <n v="1"/>
    <n v="1"/>
    <n v="1"/>
    <n v="0"/>
    <n v="1"/>
    <n v="0"/>
    <n v="0"/>
    <n v="1"/>
    <n v="1"/>
    <n v="5"/>
    <n v="0.625"/>
    <n v="9.375E-2"/>
    <n v="75"/>
    <n v="75"/>
    <n v="80"/>
    <n v="80"/>
    <n v="80"/>
    <n v="0.8"/>
    <n v="390"/>
    <n v="0.98717948717948723"/>
    <n v="0.19743589743589746"/>
    <n v="4"/>
    <n v="78"/>
    <n v="0.74393099547511321"/>
    <s v="New CE"/>
    <s v="Stay"/>
    <x v="2"/>
  </r>
  <r>
    <n v="214"/>
    <s v="Willy Buana"/>
    <s v="IDH80040"/>
    <s v="Associate engineer"/>
    <s v="Jakarta 1"/>
    <s v="Region 1"/>
    <s v="IMPACT"/>
    <d v="2023-02-09T00:00:00"/>
    <d v="2024-10-31T00:00:00"/>
    <s v="1 Tahun 10 Bulan 10 Hari "/>
    <n v="630"/>
    <n v="897"/>
    <n v="13"/>
    <n v="6212"/>
    <n v="477.84615384615387"/>
    <n v="491"/>
    <n v="1"/>
    <n v="5"/>
    <n v="1.0275273663876368"/>
    <n v="0.20550547327752736"/>
    <d v="1899-12-30T00:22:42"/>
    <d v="1899-12-30T00:00:00"/>
    <d v="1899-12-30T00:00:00"/>
    <n v="1"/>
    <n v="0"/>
    <n v="0"/>
    <n v="0.4"/>
    <n v="1"/>
    <n v="0.33333333333333331"/>
    <n v="8.3333333333333329E-2"/>
    <d v="1899-12-30T01:07:03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90"/>
    <n v="80"/>
    <n v="80"/>
    <n v="0.8"/>
    <n v="400"/>
    <n v="0.98750000000000004"/>
    <n v="0.19750000000000001"/>
    <n v="3.8"/>
    <n v="80"/>
    <n v="0.74258880661086069"/>
    <s v="Lebih Dari Cukup"/>
    <s v="Stay"/>
    <x v="2"/>
  </r>
  <r>
    <n v="215"/>
    <s v="Gideon Arinata"/>
    <s v="IDH40077"/>
    <s v="Senior engineer"/>
    <s v="Jakarta 2"/>
    <s v="Region 1"/>
    <s v="SIPRAMA"/>
    <d v="2019-06-24T00:00:00"/>
    <d v="2024-10-31T00:00:00"/>
    <s v="5 Tahun 5 Bulan 25 Hari "/>
    <n v="1956"/>
    <n v="893"/>
    <n v="14"/>
    <n v="6172"/>
    <n v="440.85714285714283"/>
    <n v="316"/>
    <n v="0.6"/>
    <n v="3"/>
    <n v="0.71678548282566434"/>
    <n v="0.14335709656513287"/>
    <d v="1921-10-31T05:09:05"/>
    <d v="1899-12-30T00:00:00"/>
    <d v="1899-12-30T00:00:00"/>
    <n v="0"/>
    <n v="0"/>
    <n v="0"/>
    <n v="0"/>
    <n v="0"/>
    <n v="0"/>
    <n v="0"/>
    <d v="1899-12-30T00:41:14"/>
    <n v="1.25"/>
    <n v="5"/>
    <n v="1"/>
    <n v="0.25"/>
    <n v="1"/>
    <n v="1"/>
    <n v="1"/>
    <n v="1"/>
    <n v="1"/>
    <n v="1"/>
    <n v="1"/>
    <n v="1"/>
    <n v="1"/>
    <n v="8"/>
    <n v="1"/>
    <n v="0.15"/>
    <n v="75"/>
    <n v="75"/>
    <n v="90"/>
    <n v="90"/>
    <n v="90"/>
    <n v="0.8"/>
    <n v="420"/>
    <n v="0.98809523809523814"/>
    <n v="0.19761904761904764"/>
    <n v="3.6500000000000004"/>
    <n v="84"/>
    <n v="0.74097614418418045"/>
    <s v="Lebih Dari Cukup"/>
    <s v="Stay"/>
    <x v="0"/>
  </r>
  <r>
    <n v="216"/>
    <s v="Rhizky Sheplia Prananda"/>
    <s v="IDH80015"/>
    <s v="Associate engineer"/>
    <s v="Tangerang"/>
    <s v="Region 1"/>
    <s v="IMPACT"/>
    <d v="2023-01-09T00:00:00"/>
    <d v="2024-10-31T00:00:00"/>
    <s v="1 Tahun 11 Bulan 10 Hari "/>
    <n v="661"/>
    <n v="760"/>
    <n v="13"/>
    <n v="5863"/>
    <n v="451"/>
    <n v="459"/>
    <n v="1"/>
    <n v="5"/>
    <n v="1.0177383592017739"/>
    <n v="0.2035476718403548"/>
    <d v="1899-12-30T00:53:23"/>
    <d v="2024-04-14T20:56:46"/>
    <d v="1899-12-30T00:00:00"/>
    <n v="1"/>
    <n v="0"/>
    <n v="0"/>
    <n v="0.4"/>
    <n v="1"/>
    <n v="0.33333333333333331"/>
    <n v="8.3333333333333329E-2"/>
    <d v="1899-12-30T01:34:49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90"/>
    <n v="85"/>
    <n v="80"/>
    <n v="0.8"/>
    <n v="405"/>
    <n v="0.98765432098765427"/>
    <n v="0.19753086419753085"/>
    <n v="3.8"/>
    <n v="81"/>
    <n v="0.74066186937121903"/>
    <s v="Lebih Dari Cukup"/>
    <s v="Stay"/>
    <x v="2"/>
  </r>
  <r>
    <n v="217"/>
    <s v="Muhamad Ikhwanus Syafa"/>
    <s v="IDH70028"/>
    <s v="Engineer"/>
    <s v="Tarakan"/>
    <s v="Region 3"/>
    <s v="SIPRAMA"/>
    <d v="2022-10-03T00:00:00"/>
    <d v="2024-10-31T00:00:00"/>
    <s v="2 Tahun 2 Bulan 16 Hari "/>
    <n v="759"/>
    <n v="81"/>
    <n v="2"/>
    <n v="677"/>
    <n v="338.5"/>
    <n v="307"/>
    <n v="0.8"/>
    <n v="4"/>
    <n v="0.90694239290989664"/>
    <n v="0.18138847858197935"/>
    <d v="1921-08-31T15:15:58"/>
    <d v="1899-12-30T00:00:00"/>
    <d v="1910-05-11T10:14:00"/>
    <n v="0"/>
    <n v="0"/>
    <n v="1"/>
    <n v="0.4"/>
    <n v="1"/>
    <n v="0.33333333333333331"/>
    <n v="8.3333333333333329E-2"/>
    <d v="1899-12-30T01:20:34"/>
    <n v="1"/>
    <n v="4"/>
    <n v="0.8"/>
    <n v="0.2"/>
    <n v="1"/>
    <n v="1"/>
    <n v="1"/>
    <n v="0"/>
    <n v="0"/>
    <n v="0"/>
    <n v="0"/>
    <n v="1"/>
    <n v="0.8"/>
    <n v="4"/>
    <n v="0.5"/>
    <n v="7.4999999999999997E-2"/>
    <n v="75"/>
    <n v="75"/>
    <n v="80"/>
    <n v="80"/>
    <n v="80"/>
    <n v="0.8"/>
    <n v="390"/>
    <n v="0.98717948717948723"/>
    <n v="0.19743589743589746"/>
    <n v="3.8"/>
    <n v="78"/>
    <n v="0.73715770935121006"/>
    <s v="Lebih Dari Cukup"/>
    <s v="Stay"/>
    <x v="1"/>
  </r>
  <r>
    <n v="218"/>
    <s v="Tanto Rusdwiano"/>
    <s v="IDH40001"/>
    <s v="Senior engineer"/>
    <s v="Bandung"/>
    <s v="Region 2"/>
    <s v="SIPRAMA"/>
    <d v="2017-01-16T00:00:00"/>
    <d v="2024-10-31T00:00:00"/>
    <s v="7 Tahun 11 Bulan 3 Hari "/>
    <n v="2845"/>
    <n v="872"/>
    <n v="15"/>
    <n v="5975"/>
    <n v="398.33333333333331"/>
    <n v="388"/>
    <n v="0.8"/>
    <n v="4"/>
    <n v="0.97405857740585777"/>
    <n v="0.19481171548117157"/>
    <d v="1963-08-09T18:51:07"/>
    <d v="1899-12-30T00:00:00"/>
    <d v="1899-12-30T00:00:00"/>
    <n v="0"/>
    <n v="0"/>
    <n v="0"/>
    <n v="0"/>
    <n v="0"/>
    <n v="0"/>
    <n v="0"/>
    <d v="1899-12-30T00:52:00"/>
    <n v="1.25"/>
    <n v="5"/>
    <n v="1"/>
    <n v="0.25"/>
    <n v="1"/>
    <n v="1"/>
    <n v="1"/>
    <n v="0"/>
    <n v="1"/>
    <n v="1"/>
    <n v="0"/>
    <n v="0"/>
    <n v="1"/>
    <n v="5"/>
    <n v="0.625"/>
    <n v="9.375E-2"/>
    <n v="75"/>
    <n v="75"/>
    <n v="90"/>
    <n v="90"/>
    <n v="90"/>
    <n v="0.8"/>
    <n v="420"/>
    <n v="0.98809523809523814"/>
    <n v="0.19761904761904764"/>
    <n v="3.8499999999999996"/>
    <n v="84"/>
    <n v="0.73618076310021929"/>
    <s v="Lebih Dari Cukup"/>
    <s v="Stay"/>
    <x v="0"/>
  </r>
  <r>
    <n v="219"/>
    <s v="Muhammad Alpin"/>
    <s v="IDH60039"/>
    <s v="Engineer"/>
    <s v="Pematang Siantar"/>
    <s v="Region 3"/>
    <s v="CITIUS"/>
    <d v="2021-11-02T00:00:00"/>
    <d v="2024-10-31T00:00:00"/>
    <s v="3 Tahun 1 Bulan 17 Hari "/>
    <n v="1094"/>
    <n v="235"/>
    <n v="4"/>
    <n v="1697"/>
    <n v="424.25"/>
    <n v="342"/>
    <n v="0.8"/>
    <n v="4"/>
    <n v="0.80612846199175014"/>
    <n v="0.16122569239835005"/>
    <d v="1936-08-08T07:22:57"/>
    <d v="1920-09-30T17:06:00"/>
    <d v="1913-11-01T05:21:31"/>
    <n v="0"/>
    <n v="0"/>
    <n v="1"/>
    <n v="0.4"/>
    <n v="1"/>
    <n v="0.33333333333333331"/>
    <n v="8.3333333333333329E-2"/>
    <d v="1899-12-30T01:02:00"/>
    <n v="1"/>
    <n v="4"/>
    <n v="0.8"/>
    <n v="0.2"/>
    <n v="1"/>
    <n v="1"/>
    <n v="0"/>
    <n v="0"/>
    <n v="1"/>
    <n v="1"/>
    <n v="1"/>
    <n v="0"/>
    <n v="1"/>
    <n v="5"/>
    <n v="0.625"/>
    <n v="9.375E-2"/>
    <n v="75"/>
    <n v="75"/>
    <n v="85"/>
    <n v="85"/>
    <n v="85"/>
    <n v="0.8"/>
    <n v="405"/>
    <n v="0.98765432098765427"/>
    <n v="0.19753086419753085"/>
    <n v="4"/>
    <n v="81"/>
    <n v="0.73583988992921423"/>
    <s v="Lebih Dari Cukup"/>
    <s v="Stay"/>
    <x v="1"/>
  </r>
  <r>
    <n v="220"/>
    <s v="Yayang Liona"/>
    <s v="IDH70117"/>
    <s v="Associate engineer"/>
    <s v="Kediri"/>
    <s v="Region 2"/>
    <s v="SIPRAMA"/>
    <d v="2024-02-01T00:00:00"/>
    <d v="2024-10-31T00:00:00"/>
    <s v="0 Tahun 10 Bulan 18 Hari "/>
    <n v="273"/>
    <n v="358"/>
    <n v="7"/>
    <n v="2648"/>
    <n v="378.28571428571428"/>
    <n v="304"/>
    <n v="0.8"/>
    <n v="4"/>
    <n v="0.8036253776435045"/>
    <n v="0.16072507552870091"/>
    <d v="1901-09-05T19:53:27"/>
    <d v="1899-12-30T00:42:19"/>
    <d v="1899-12-30T00:00:00"/>
    <n v="0"/>
    <n v="1"/>
    <n v="0"/>
    <n v="0.4"/>
    <n v="1"/>
    <n v="0.33333333333333331"/>
    <n v="8.3333333333333329E-2"/>
    <d v="1899-12-30T01:09:41"/>
    <n v="1"/>
    <n v="4"/>
    <n v="0.8"/>
    <n v="0.2"/>
    <n v="1"/>
    <n v="1"/>
    <n v="1"/>
    <n v="0"/>
    <n v="0"/>
    <n v="1"/>
    <n v="0"/>
    <n v="1"/>
    <n v="1"/>
    <n v="5"/>
    <n v="0.625"/>
    <n v="9.375E-2"/>
    <n v="75"/>
    <n v="75"/>
    <n v="80"/>
    <n v="80"/>
    <n v="80"/>
    <n v="0.8"/>
    <n v="390"/>
    <n v="0.98717948717948723"/>
    <n v="0.19743589743589746"/>
    <n v="4"/>
    <n v="78"/>
    <n v="0.73524430629793169"/>
    <s v="New CE"/>
    <s v="Stay"/>
    <x v="2"/>
  </r>
  <r>
    <n v="221"/>
    <s v="Alfi Syahri Fatahilah"/>
    <s v="IDH30043"/>
    <s v="Engineer"/>
    <s v="Jakarta 3"/>
    <s v="Region 1"/>
    <s v="SIPRAMA"/>
    <d v="2019-10-02T00:00:00"/>
    <d v="2024-10-31T00:00:00"/>
    <s v="5 Tahun 2 Bulan 17 Hari "/>
    <n v="1856"/>
    <n v="1040"/>
    <n v="17"/>
    <n v="7455"/>
    <n v="438.52941176470586"/>
    <n v="609"/>
    <n v="1"/>
    <n v="5"/>
    <n v="1.3887323943661973"/>
    <n v="0.2777464788732395"/>
    <d v="1926-06-24T08:04:05"/>
    <d v="1899-12-30T00:00:00"/>
    <d v="1899-12-30T00:00:00"/>
    <n v="0"/>
    <n v="0"/>
    <n v="0"/>
    <n v="0"/>
    <n v="0"/>
    <n v="0"/>
    <n v="0"/>
    <d v="1899-12-30T01:20:28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90"/>
    <n v="90"/>
    <n v="75"/>
    <n v="0.8"/>
    <n v="405"/>
    <n v="0.98765432098765427"/>
    <n v="0.19753086419753085"/>
    <n v="3.4000000000000004"/>
    <n v="81"/>
    <n v="0.73152734307077039"/>
    <s v="Lebih Dari Cukup"/>
    <s v="Stay"/>
    <x v="1"/>
  </r>
  <r>
    <n v="222"/>
    <s v="Graldi Firson Sualang"/>
    <s v="IDH40015"/>
    <s v="Senior engineer"/>
    <s v="Manado"/>
    <s v="Region 3"/>
    <s v="IMPACT"/>
    <d v="2017-10-02T00:00:00"/>
    <d v="2024-10-31T00:00:00"/>
    <s v="7 Tahun 2 Bulan 17 Hari "/>
    <n v="2586"/>
    <n v="156"/>
    <n v="4"/>
    <n v="1290"/>
    <n v="322.5"/>
    <n v="231"/>
    <n v="0.6"/>
    <n v="3"/>
    <n v="0.71627906976744182"/>
    <n v="0.14325581395348838"/>
    <d v="1913-06-05T01:37:57"/>
    <d v="1899-12-30T00:00:00"/>
    <d v="1931-01-12T06:08:33"/>
    <n v="0"/>
    <n v="0"/>
    <n v="1"/>
    <n v="0.4"/>
    <n v="1"/>
    <n v="0.33333333333333331"/>
    <n v="8.3333333333333329E-2"/>
    <d v="1899-12-30T00:55:47"/>
    <n v="1.25"/>
    <n v="5"/>
    <n v="1"/>
    <n v="0.25"/>
    <n v="1"/>
    <n v="1"/>
    <n v="1"/>
    <n v="0"/>
    <n v="0"/>
    <n v="0"/>
    <n v="0"/>
    <n v="0"/>
    <n v="0.6"/>
    <n v="3"/>
    <n v="0.375"/>
    <n v="5.6249999999999994E-2"/>
    <n v="75"/>
    <n v="75"/>
    <n v="85"/>
    <n v="90"/>
    <n v="85"/>
    <n v="0.8"/>
    <n v="410"/>
    <n v="0.98780487804878048"/>
    <n v="0.19756097560975611"/>
    <n v="3.6500000000000004"/>
    <n v="82"/>
    <n v="0.73040012289657774"/>
    <s v="Lebih Dari Cukup"/>
    <s v="Stay"/>
    <x v="0"/>
  </r>
  <r>
    <n v="223"/>
    <s v="Muh. Amri Irianto"/>
    <s v="IDH80093"/>
    <s v="Associate engineer"/>
    <s v="Parepare"/>
    <s v="Region 3"/>
    <s v="IMPACT"/>
    <d v="2023-09-04T00:00:00"/>
    <d v="2024-10-31T00:00:00"/>
    <s v="1 Tahun 3 Bulan 15 Hari "/>
    <n v="423"/>
    <n v="171"/>
    <n v="4"/>
    <n v="1473"/>
    <n v="368.25"/>
    <n v="356"/>
    <n v="0.8"/>
    <n v="4"/>
    <n v="0.96673455532926"/>
    <n v="0.193346911065852"/>
    <d v="1920-01-29T10:15:25"/>
    <d v="1915-07-27T18:19:11"/>
    <d v="1924-11-30T10:05:24"/>
    <n v="0"/>
    <n v="0"/>
    <n v="1"/>
    <n v="0.4"/>
    <n v="1"/>
    <n v="0.33333333333333331"/>
    <n v="8.3333333333333329E-2"/>
    <d v="1899-12-30T01:36:01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3.6000000000000005"/>
    <n v="78"/>
    <n v="0.73036614183508286"/>
    <s v="Lebih Dari Cukup"/>
    <s v="Stay"/>
    <x v="2"/>
  </r>
  <r>
    <n v="224"/>
    <s v="Eko Febian Wijaksana"/>
    <s v="IDH70107"/>
    <s v="Associate engineer"/>
    <s v="Jakarta 3"/>
    <s v="Region 1"/>
    <s v="SIPRAMA"/>
    <d v="2024-01-15T00:00:00"/>
    <d v="2024-10-31T00:00:00"/>
    <s v="0 Tahun 11 Bulan 4 Hari "/>
    <n v="290"/>
    <n v="1040"/>
    <n v="17"/>
    <n v="7455"/>
    <n v="438.52941176470586"/>
    <n v="299"/>
    <n v="0.6"/>
    <n v="3"/>
    <n v="0.68182427900737763"/>
    <n v="0.13636485580147553"/>
    <d v="1899-12-30T00:30:00"/>
    <d v="1899-12-30T00:00:00"/>
    <d v="1899-12-30T00:00:00"/>
    <n v="1"/>
    <n v="0"/>
    <n v="0"/>
    <n v="0.4"/>
    <n v="1"/>
    <n v="0.33333333333333331"/>
    <n v="8.3333333333333329E-2"/>
    <d v="1899-12-30T01:29:42"/>
    <n v="1"/>
    <n v="4"/>
    <n v="0.8"/>
    <n v="0.2"/>
    <n v="1"/>
    <n v="1"/>
    <n v="1"/>
    <n v="1"/>
    <n v="1"/>
    <n v="0"/>
    <n v="0"/>
    <n v="1"/>
    <n v="1"/>
    <n v="6"/>
    <n v="0.75"/>
    <n v="0.11249999999999999"/>
    <n v="75"/>
    <n v="75"/>
    <n v="90"/>
    <n v="85"/>
    <n v="80"/>
    <n v="0.8"/>
    <n v="405"/>
    <n v="0.98765432098765427"/>
    <n v="0.19753086419753085"/>
    <n v="3.8"/>
    <n v="81"/>
    <n v="0.72972905333233973"/>
    <s v="New CE"/>
    <s v="Stay"/>
    <x v="2"/>
  </r>
  <r>
    <n v="11"/>
    <s v="Remondo Extrada Simanjuntak"/>
    <s v="IDH40054"/>
    <s v="Engineer"/>
    <s v="Pontianak"/>
    <s v="Region 3"/>
    <s v="IMPACT"/>
    <d v="2018-11-14T00:00:00"/>
    <d v="2024-10-31T00:00:00"/>
    <s v="6 Tahun 1 Bulan 5 Hari "/>
    <n v="2178"/>
    <n v="221"/>
    <n v="4"/>
    <n v="1669"/>
    <n v="417.25"/>
    <n v="412"/>
    <n v="0.8"/>
    <n v="4"/>
    <n v="0.98741761533852601"/>
    <n v="0.19748352306770522"/>
    <d v="1930-02-26T20:19:05"/>
    <d v="1899-12-30T03:04:00"/>
    <d v="1962-02-10T23:08:27"/>
    <n v="0"/>
    <n v="0"/>
    <n v="1"/>
    <n v="0.4"/>
    <n v="1"/>
    <n v="0.33333333333333331"/>
    <n v="8.3333333333333329E-2"/>
    <d v="1899-12-30T03:45:35"/>
    <n v="0.5"/>
    <n v="2"/>
    <n v="0.4"/>
    <n v="0.1"/>
    <n v="1"/>
    <n v="1"/>
    <n v="1"/>
    <n v="1"/>
    <n v="1"/>
    <n v="1"/>
    <n v="1"/>
    <n v="1"/>
    <n v="1"/>
    <n v="8"/>
    <n v="1"/>
    <n v="0.15"/>
    <n v="75"/>
    <n v="65"/>
    <n v="80"/>
    <n v="70"/>
    <n v="75"/>
    <n v="0.8"/>
    <n v="365"/>
    <n v="0.98630136986301364"/>
    <n v="0.19726027397260273"/>
    <n v="3.5"/>
    <n v="73"/>
    <n v="0.7280771303736413"/>
    <s v="Lebih Dari Cukup"/>
    <s v="Stay"/>
    <x v="1"/>
  </r>
  <r>
    <n v="225"/>
    <s v="Saoki Firdaus"/>
    <s v="IDH80083"/>
    <s v="Associate engineer"/>
    <s v="Jakarta 1"/>
    <s v="Region 1"/>
    <s v="IMPACT"/>
    <d v="2023-09-04T00:00:00"/>
    <d v="2024-10-31T00:00:00"/>
    <s v="1 Tahun 3 Bulan 15 Hari "/>
    <n v="423"/>
    <n v="897"/>
    <n v="13"/>
    <n v="6212"/>
    <n v="477.84615384615387"/>
    <n v="456"/>
    <n v="0.8"/>
    <n v="4"/>
    <n v="0.95428203477141016"/>
    <n v="0.19085640695428205"/>
    <d v="1899-12-30T00:47:23"/>
    <d v="1899-12-30T00:00:00"/>
    <d v="1899-12-30T00:00:00"/>
    <n v="1"/>
    <n v="0"/>
    <n v="0"/>
    <n v="0.4"/>
    <n v="1"/>
    <n v="0.33333333333333331"/>
    <n v="8.3333333333333329E-2"/>
    <d v="1899-12-30T01:35:35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90"/>
    <n v="85"/>
    <n v="80"/>
    <n v="0.8"/>
    <n v="405"/>
    <n v="0.98765432098765427"/>
    <n v="0.19753086419753085"/>
    <n v="3.6000000000000005"/>
    <n v="81"/>
    <n v="0.72797060448514628"/>
    <s v="Lebih Dari Cukup"/>
    <s v="Stay"/>
    <x v="2"/>
  </r>
  <r>
    <n v="226"/>
    <s v="Muhammad Arfan Lesmana"/>
    <s v="IDH80080"/>
    <s v="Associate engineer"/>
    <s v="Bandung"/>
    <s v="Region 2"/>
    <s v="IMPACT"/>
    <d v="2023-07-24T00:00:00"/>
    <d v="2024-10-31T00:00:00"/>
    <s v="1 Tahun 4 Bulan 25 Hari "/>
    <n v="465"/>
    <n v="872"/>
    <n v="15"/>
    <n v="5975"/>
    <n v="398.33333333333331"/>
    <n v="380"/>
    <n v="0.8"/>
    <n v="4"/>
    <n v="0.95397489539748959"/>
    <n v="0.19079497907949794"/>
    <d v="1902-06-27T18:48:08"/>
    <d v="1899-12-30T00:13:45"/>
    <d v="1899-12-30T00:00:00"/>
    <n v="0"/>
    <n v="1"/>
    <n v="0"/>
    <n v="0.4"/>
    <n v="1"/>
    <n v="0.33333333333333331"/>
    <n v="8.3333333333333329E-2"/>
    <d v="1899-12-30T01:39:03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3.6000000000000005"/>
    <n v="78"/>
    <n v="0.7278142098487288"/>
    <s v="Lebih Dari Cukup"/>
    <s v="Stay"/>
    <x v="2"/>
  </r>
  <r>
    <n v="227"/>
    <s v="Mohamad Nursamsi Adiwiranto"/>
    <s v="IDH60077"/>
    <s v="Engineer"/>
    <s v="Yogyakarta"/>
    <s v="Region 2"/>
    <s v="CITIUS"/>
    <d v="2022-07-04T00:00:00"/>
    <d v="2024-10-31T00:00:00"/>
    <s v="2 Tahun 5 Bulan 15 Hari "/>
    <n v="850"/>
    <n v="507"/>
    <n v="10"/>
    <n v="3304"/>
    <n v="330.4"/>
    <n v="315"/>
    <n v="0.8"/>
    <n v="4"/>
    <n v="0.95338983050847459"/>
    <n v="0.19067796610169493"/>
    <d v="1907-05-30T20:00:08"/>
    <d v="1899-12-30T01:57:35"/>
    <d v="1899-12-30T00:00:00"/>
    <n v="0"/>
    <n v="1"/>
    <n v="0"/>
    <n v="0.4"/>
    <n v="1"/>
    <n v="0.33333333333333331"/>
    <n v="8.3333333333333329E-2"/>
    <d v="1899-12-30T01:16:15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3.6000000000000005"/>
    <n v="78"/>
    <n v="0.72769719687092582"/>
    <s v="Down Grade"/>
    <s v="Down Grade"/>
    <x v="1"/>
  </r>
  <r>
    <n v="228"/>
    <s v="Rizaldi"/>
    <s v="IDH60082"/>
    <s v="Engineer"/>
    <s v="Makassar"/>
    <s v="Region 3"/>
    <s v="CITIUS"/>
    <d v="2022-07-04T00:00:00"/>
    <d v="2024-10-31T00:00:00"/>
    <s v="2 Tahun 5 Bulan 15 Hari "/>
    <n v="850"/>
    <n v="448"/>
    <n v="7"/>
    <n v="2614"/>
    <n v="373.42857142857144"/>
    <n v="356"/>
    <n v="0.8"/>
    <n v="4"/>
    <n v="0.95332823259372601"/>
    <n v="0.19066564651874521"/>
    <d v="1916-11-06T22:24:49"/>
    <d v="1899-12-30T00:00:00"/>
    <d v="1899-12-30T02:39:36"/>
    <n v="0"/>
    <n v="0"/>
    <n v="1"/>
    <n v="0.4"/>
    <n v="1"/>
    <n v="0.33333333333333331"/>
    <n v="8.3333333333333329E-2"/>
    <d v="1899-12-30T01:34:23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3.6000000000000005"/>
    <n v="78"/>
    <n v="0.72768487728797604"/>
    <s v="Lebih Dari Cukup"/>
    <s v="Stay"/>
    <x v="1"/>
  </r>
  <r>
    <n v="229"/>
    <s v="Nugroho Bagus Pamungkas"/>
    <s v="IDH60052"/>
    <s v="Engineer"/>
    <s v="Kediri"/>
    <s v="Region 2"/>
    <s v="CITIUS"/>
    <d v="2022-03-01T00:00:00"/>
    <d v="2024-10-31T00:00:00"/>
    <s v="2 Tahun 9 Bulan 18 Hari "/>
    <n v="975"/>
    <n v="358"/>
    <n v="7"/>
    <n v="2648"/>
    <n v="378.28571428571428"/>
    <n v="358"/>
    <n v="0.8"/>
    <n v="4"/>
    <n v="0.9463746223564955"/>
    <n v="0.18927492447129912"/>
    <d v="1908-01-11T22:13:28"/>
    <d v="1962-02-05T05:24:31"/>
    <d v="1899-12-30T01:15:16"/>
    <n v="0"/>
    <n v="0"/>
    <n v="1"/>
    <n v="0.4"/>
    <n v="1"/>
    <n v="0.33333333333333331"/>
    <n v="8.3333333333333329E-2"/>
    <d v="1899-12-30T01:27:12"/>
    <n v="1"/>
    <n v="4"/>
    <n v="0.8"/>
    <n v="0.2"/>
    <n v="1"/>
    <n v="1"/>
    <n v="0"/>
    <n v="0"/>
    <n v="0"/>
    <n v="0"/>
    <n v="0"/>
    <n v="1"/>
    <n v="0.6"/>
    <n v="3"/>
    <n v="0.375"/>
    <n v="5.6249999999999994E-2"/>
    <n v="75"/>
    <n v="75"/>
    <n v="80"/>
    <n v="75"/>
    <n v="75"/>
    <n v="0.8"/>
    <n v="380"/>
    <n v="0.98684210526315785"/>
    <n v="0.19736842105263158"/>
    <n v="3.6000000000000005"/>
    <n v="76"/>
    <n v="0.726226678857264"/>
    <s v="Lebih Dari Cukup"/>
    <s v="Stay"/>
    <x v="1"/>
  </r>
  <r>
    <n v="230"/>
    <s v="Ilham Yudha Alfiandi"/>
    <s v="IDH60019"/>
    <s v="Engineer"/>
    <s v="Semarang"/>
    <s v="Region 2"/>
    <s v="CITIUS"/>
    <d v="2021-09-27T00:00:00"/>
    <d v="2024-10-31T00:00:00"/>
    <s v="3 Tahun 2 Bulan 22 Hari "/>
    <n v="1130"/>
    <n v="625"/>
    <n v="10"/>
    <n v="4149"/>
    <n v="414.9"/>
    <n v="288"/>
    <n v="0.6"/>
    <n v="3"/>
    <n v="0.69414316702819956"/>
    <n v="0.13882863340563992"/>
    <d v="1899-12-30T00:18:12"/>
    <d v="1903-06-13T22:58:57"/>
    <d v="1899-12-30T00:00:00"/>
    <n v="1"/>
    <n v="0"/>
    <n v="0"/>
    <n v="0.4"/>
    <n v="1"/>
    <n v="0.33333333333333331"/>
    <n v="8.3333333333333329E-2"/>
    <d v="1899-12-30T00:44:43"/>
    <n v="1.25"/>
    <n v="5"/>
    <n v="1"/>
    <n v="0.25"/>
    <n v="1"/>
    <n v="1"/>
    <n v="1"/>
    <n v="0"/>
    <n v="0"/>
    <n v="0"/>
    <n v="0"/>
    <n v="0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3.6500000000000004"/>
    <n v="78"/>
    <n v="0.72584786417487068"/>
    <s v="Lebih Dari Cukup"/>
    <s v="Stay"/>
    <x v="1"/>
  </r>
  <r>
    <n v="231"/>
    <s v="Dion Permadi"/>
    <s v="IDH80058"/>
    <s v="Associate engineer"/>
    <s v="Jakarta 3"/>
    <s v="Region 1"/>
    <s v="IMPACT"/>
    <d v="2023-05-29T00:00:00"/>
    <d v="2024-10-31T00:00:00"/>
    <s v="1 Tahun 6 Bulan 20 Hari "/>
    <n v="521"/>
    <n v="1040"/>
    <n v="17"/>
    <n v="7455"/>
    <n v="438.52941176470586"/>
    <n v="470"/>
    <n v="1"/>
    <n v="5"/>
    <n v="1.0717639168343394"/>
    <n v="0.21435278336686789"/>
    <d v="1907-04-03T08:59:40"/>
    <d v="1899-12-30T00:00:00"/>
    <d v="1899-12-30T00:00:00"/>
    <n v="0"/>
    <n v="0"/>
    <n v="0"/>
    <n v="0"/>
    <n v="0"/>
    <n v="0"/>
    <n v="0"/>
    <d v="1899-12-30T01:29:03"/>
    <n v="1"/>
    <n v="4"/>
    <n v="0.8"/>
    <n v="0.2"/>
    <n v="1"/>
    <n v="1"/>
    <n v="1"/>
    <n v="0"/>
    <n v="1"/>
    <n v="1"/>
    <n v="0"/>
    <n v="1"/>
    <n v="1"/>
    <n v="6"/>
    <n v="0.75"/>
    <n v="0.11249999999999999"/>
    <n v="75"/>
    <n v="75"/>
    <n v="90"/>
    <n v="85"/>
    <n v="80"/>
    <n v="0.8"/>
    <n v="405"/>
    <n v="0.98765432098765427"/>
    <n v="0.19753086419753085"/>
    <n v="3.8"/>
    <n v="81"/>
    <n v="0.72438364756439877"/>
    <s v="Lebih Dari Cukup"/>
    <s v="Stay"/>
    <x v="2"/>
  </r>
  <r>
    <n v="232"/>
    <s v="Gilang Ramadhan"/>
    <s v="IDH60056"/>
    <s v="Senior engineer"/>
    <s v="Depok"/>
    <s v="Region 1"/>
    <s v="CITIUS"/>
    <d v="2022-03-01T00:00:00"/>
    <d v="2024-10-31T00:00:00"/>
    <s v="2 Tahun 9 Bulan 18 Hari "/>
    <n v="975"/>
    <n v="194"/>
    <n v="2"/>
    <n v="1461"/>
    <n v="730.5"/>
    <n v="463"/>
    <n v="0.6"/>
    <n v="3"/>
    <n v="0.63381245722108148"/>
    <n v="0.12676249144421631"/>
    <d v="1934-07-13T03:36:55"/>
    <d v="1899-12-30T00:00:00"/>
    <d v="1899-12-30T00:00:00"/>
    <n v="0"/>
    <n v="0"/>
    <n v="0"/>
    <n v="0"/>
    <n v="0"/>
    <n v="0"/>
    <n v="0"/>
    <d v="1899-12-30T00:47:08"/>
    <n v="1.25"/>
    <n v="5"/>
    <n v="1"/>
    <n v="0.25"/>
    <n v="1"/>
    <n v="1"/>
    <n v="1"/>
    <n v="1"/>
    <n v="1"/>
    <n v="1"/>
    <n v="1"/>
    <n v="1"/>
    <n v="1"/>
    <n v="8"/>
    <n v="1"/>
    <n v="0.15"/>
    <n v="75"/>
    <n v="75"/>
    <n v="90"/>
    <n v="90"/>
    <n v="90"/>
    <n v="0.8"/>
    <n v="420"/>
    <n v="0.98809523809523814"/>
    <n v="0.19761904761904764"/>
    <n v="3.6500000000000004"/>
    <n v="84"/>
    <n v="0.72438153906326397"/>
    <s v="Lebih Dari Cukup"/>
    <s v="Stay"/>
    <x v="0"/>
  </r>
  <r>
    <n v="233"/>
    <s v="Irfan Marsa Allya"/>
    <s v="IDH50018"/>
    <s v="Engineer"/>
    <s v="Pekanbaru"/>
    <s v="Region 3"/>
    <s v="SIPRAMA"/>
    <d v="2020-12-07T00:00:00"/>
    <d v="2024-10-31T00:00:00"/>
    <s v="4 Tahun 0 Bulan 12 Hari "/>
    <n v="1424"/>
    <n v="401"/>
    <n v="7"/>
    <n v="2754"/>
    <n v="393.42857142857144"/>
    <n v="302"/>
    <n v="0.6"/>
    <n v="3"/>
    <n v="0.76761074800290485"/>
    <n v="0.15352214960058097"/>
    <d v="1934-07-08T07:49:16"/>
    <d v="1899-12-30T00:34:23"/>
    <d v="1953-03-31T05:47:19"/>
    <n v="0"/>
    <n v="1"/>
    <n v="1"/>
    <n v="0.8"/>
    <n v="2"/>
    <n v="0.66666666666666663"/>
    <n v="0.16666666666666666"/>
    <d v="1899-12-30T02:01:30"/>
    <n v="0.75"/>
    <n v="3"/>
    <n v="0.6"/>
    <n v="0.15"/>
    <n v="1"/>
    <n v="1"/>
    <n v="1"/>
    <n v="0"/>
    <n v="0"/>
    <n v="0"/>
    <n v="0"/>
    <n v="0"/>
    <n v="0.6"/>
    <n v="3"/>
    <n v="0.375"/>
    <n v="5.6249999999999994E-2"/>
    <n v="75"/>
    <n v="75"/>
    <n v="80"/>
    <n v="75"/>
    <n v="80"/>
    <n v="0.8"/>
    <n v="385"/>
    <n v="0.98701298701298701"/>
    <n v="0.19740259740259741"/>
    <n v="3.55"/>
    <n v="77"/>
    <n v="0.723841413669845"/>
    <s v="Lebih Dari Cukup"/>
    <s v="Stay"/>
    <x v="1"/>
  </r>
  <r>
    <n v="234"/>
    <s v="Ofeber Tafonao"/>
    <s v="IDH80071"/>
    <s v="Associate engineer"/>
    <s v="Medan"/>
    <s v="Region 3"/>
    <s v="IMPACT"/>
    <d v="2023-07-24T00:00:00"/>
    <d v="2024-10-31T00:00:00"/>
    <s v="1 Tahun 4 Bulan 25 Hari "/>
    <n v="465"/>
    <n v="684"/>
    <n v="10"/>
    <n v="4972"/>
    <n v="497.2"/>
    <n v="464"/>
    <n v="0.8"/>
    <n v="4"/>
    <n v="0.93322606596942881"/>
    <n v="0.18664521319388577"/>
    <d v="1906-07-21T06:33:14"/>
    <d v="1931-02-11T09:44:00"/>
    <d v="1962-04-07T21:30:58"/>
    <n v="0"/>
    <n v="0"/>
    <n v="1"/>
    <n v="0.4"/>
    <n v="1"/>
    <n v="0.33333333333333331"/>
    <n v="8.3333333333333329E-2"/>
    <d v="1899-12-30T01:31:33"/>
    <n v="1"/>
    <n v="4"/>
    <n v="0.8"/>
    <n v="0.2"/>
    <n v="1"/>
    <n v="1"/>
    <n v="0"/>
    <n v="0"/>
    <n v="0"/>
    <n v="1"/>
    <n v="0"/>
    <n v="0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3.6000000000000005"/>
    <n v="78"/>
    <n v="0.72366444396311658"/>
    <s v="Lebih Dari Cukup"/>
    <s v="Stay"/>
    <x v="2"/>
  </r>
  <r>
    <n v="235"/>
    <s v="Deas Aditya"/>
    <s v="IDH70103"/>
    <s v="Associate engineer"/>
    <s v="Jakarta 2"/>
    <s v="Region 1"/>
    <s v="SIPRAMA"/>
    <d v="2023-11-13T00:00:00"/>
    <d v="2024-10-31T00:00:00"/>
    <s v="1 Tahun 1 Bulan 6 Hari "/>
    <n v="353"/>
    <n v="893"/>
    <n v="14"/>
    <n v="6172"/>
    <n v="440.85714285714283"/>
    <n v="409"/>
    <n v="0.8"/>
    <n v="4"/>
    <n v="0.92773817239144529"/>
    <n v="0.18554763447828906"/>
    <d v="1899-12-30T00:53:50"/>
    <d v="1899-12-30T00:00:00"/>
    <d v="1899-12-30T00:00:00"/>
    <n v="1"/>
    <n v="0"/>
    <n v="0"/>
    <n v="0.4"/>
    <n v="1"/>
    <n v="0.33333333333333331"/>
    <n v="8.3333333333333329E-2"/>
    <d v="1899-12-30T01:14:58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75"/>
    <n v="85"/>
    <n v="80"/>
    <n v="0.8"/>
    <n v="390"/>
    <n v="0.98717948717948723"/>
    <n v="0.19743589743589746"/>
    <n v="3.6000000000000005"/>
    <n v="78"/>
    <n v="0.7225668652475199"/>
    <s v="New CE"/>
    <s v="Stay"/>
    <x v="2"/>
  </r>
  <r>
    <n v="236"/>
    <s v="Nur Chalis"/>
    <s v="IDH90002"/>
    <s v="Associate engineer"/>
    <s v="Yogyakarta"/>
    <s v="Region 2"/>
    <s v="GSS"/>
    <d v="2023-09-04T00:00:00"/>
    <d v="2024-10-31T00:00:00"/>
    <s v="1 Tahun 3 Bulan 15 Hari "/>
    <n v="423"/>
    <n v="507"/>
    <n v="10"/>
    <n v="3304"/>
    <n v="330.4"/>
    <n v="255"/>
    <n v="0.6"/>
    <n v="3"/>
    <n v="0.77179176755447942"/>
    <n v="0.15435835351089588"/>
    <d v="1903-07-21T05:05:13"/>
    <d v="1899-12-30T00:40:54"/>
    <d v="1899-12-30T00:00:00"/>
    <n v="0"/>
    <n v="1"/>
    <n v="0"/>
    <n v="0.4"/>
    <n v="1"/>
    <n v="0.33333333333333331"/>
    <n v="8.3333333333333329E-2"/>
    <d v="1899-12-30T00:53:55"/>
    <n v="1.25"/>
    <n v="5"/>
    <n v="1"/>
    <n v="0.25"/>
    <n v="1"/>
    <n v="1"/>
    <n v="0"/>
    <n v="0"/>
    <n v="0"/>
    <n v="0"/>
    <n v="0"/>
    <n v="0"/>
    <n v="0.4"/>
    <n v="2"/>
    <n v="0.25"/>
    <n v="3.7499999999999999E-2"/>
    <n v="75"/>
    <n v="75"/>
    <n v="75"/>
    <n v="80"/>
    <n v="75"/>
    <n v="0.8"/>
    <n v="380"/>
    <n v="0.98684210526315785"/>
    <n v="0.19736842105263158"/>
    <n v="3.45"/>
    <n v="76"/>
    <n v="0.72256010789686087"/>
    <s v="Lebih Dari Cukup"/>
    <s v="Stay"/>
    <x v="2"/>
  </r>
  <r>
    <n v="237"/>
    <s v="Nurul Muhyidin"/>
    <s v="IDH60084"/>
    <s v="Engineer"/>
    <s v="Serang"/>
    <s v="Region 1"/>
    <s v="CITIUS"/>
    <d v="2022-07-04T00:00:00"/>
    <d v="2024-10-31T00:00:00"/>
    <s v="2 Tahun 5 Bulan 15 Hari "/>
    <n v="850"/>
    <n v="218"/>
    <n v="4"/>
    <n v="1692"/>
    <n v="423"/>
    <n v="392"/>
    <n v="0.8"/>
    <n v="4"/>
    <n v="0.92671394799054374"/>
    <n v="0.18534278959810876"/>
    <d v="1912-10-31T20:27:04"/>
    <d v="1916-08-10T00:49:50"/>
    <d v="1899-12-30T02:03:08"/>
    <n v="0"/>
    <n v="0"/>
    <n v="1"/>
    <n v="0.4"/>
    <n v="1"/>
    <n v="0.33333333333333331"/>
    <n v="8.3333333333333329E-2"/>
    <d v="1899-12-30T01:34:58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90"/>
    <n v="90"/>
    <n v="80"/>
    <n v="0.8"/>
    <n v="410"/>
    <n v="0.98780487804878048"/>
    <n v="0.19756097560975611"/>
    <n v="3.6000000000000005"/>
    <n v="82"/>
    <n v="0.72248709854119819"/>
    <s v="Lebih Dari Cukup"/>
    <s v="Stay"/>
    <x v="1"/>
  </r>
  <r>
    <n v="238"/>
    <s v="Bintang Wahyu Nugroho"/>
    <s v="IDH10010"/>
    <s v="Associate engineer"/>
    <s v="Jakarta 2"/>
    <s v="Region 1"/>
    <s v="KINARYA"/>
    <d v="2024-04-01T00:00:00"/>
    <d v="2024-10-31T00:00:00"/>
    <s v="0 Tahun 8 Bulan 18 Hari "/>
    <n v="213"/>
    <n v="893"/>
    <n v="14"/>
    <n v="6172"/>
    <n v="440.85714285714283"/>
    <n v="199"/>
    <n v="0.4"/>
    <n v="2"/>
    <n v="0.45139338950097213"/>
    <n v="9.0278677900194435E-2"/>
    <d v="1899-12-30T00:27:45"/>
    <d v="1899-12-30T00:00:00"/>
    <d v="1899-12-30T00:00:00"/>
    <n v="1"/>
    <n v="0"/>
    <n v="0"/>
    <n v="0.4"/>
    <n v="1"/>
    <n v="0.33333333333333331"/>
    <n v="8.3333333333333329E-2"/>
    <d v="1899-12-30T01:06:04"/>
    <n v="1"/>
    <n v="4"/>
    <n v="0.8"/>
    <n v="0.2"/>
    <n v="1"/>
    <n v="1"/>
    <n v="1"/>
    <n v="1"/>
    <n v="1"/>
    <n v="1"/>
    <n v="1"/>
    <n v="1"/>
    <n v="1"/>
    <n v="8"/>
    <n v="1"/>
    <n v="0.15"/>
    <n v="75"/>
    <n v="75"/>
    <n v="90"/>
    <n v="85"/>
    <n v="80"/>
    <n v="0.8"/>
    <n v="405"/>
    <n v="0.98765432098765427"/>
    <n v="0.19753086419753085"/>
    <n v="3.5999999999999996"/>
    <n v="81"/>
    <n v="0.72114287543105859"/>
    <s v="New CE"/>
    <s v="Stay"/>
    <x v="2"/>
  </r>
  <r>
    <n v="239"/>
    <s v="Bonaventura P Jemi"/>
    <s v="IDH60047"/>
    <s v="Engineer"/>
    <s v="Ende"/>
    <s v="Region 1"/>
    <s v="CITIUS"/>
    <d v="2022-01-24T00:00:00"/>
    <d v="2024-10-31T00:00:00"/>
    <s v="2 Tahun 10 Bulan 25 Hari "/>
    <n v="1011"/>
    <n v="50"/>
    <n v="1"/>
    <n v="313"/>
    <n v="313"/>
    <n v="288"/>
    <n v="0.8"/>
    <n v="4"/>
    <n v="0.92012779552715651"/>
    <n v="0.18402555910543131"/>
    <d v="1915-07-28T09:17:30"/>
    <d v="1899-12-30T00:00:00"/>
    <d v="1923-05-03T03:02:58"/>
    <n v="0"/>
    <n v="0"/>
    <n v="1"/>
    <n v="0.4"/>
    <n v="1"/>
    <n v="0.33333333333333331"/>
    <n v="8.3333333333333329E-2"/>
    <d v="1899-12-30T01:54:40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90"/>
    <n v="90"/>
    <n v="75"/>
    <n v="0.8"/>
    <n v="405"/>
    <n v="0.98765432098765427"/>
    <n v="0.19753086419753085"/>
    <n v="3.6000000000000005"/>
    <n v="81"/>
    <n v="0.72113975663629548"/>
    <s v="Lebih Dari Cukup"/>
    <s v="Stay"/>
    <x v="1"/>
  </r>
  <r>
    <n v="240"/>
    <s v="Yogi Nourmansyah"/>
    <s v="IDH80014"/>
    <s v="Associate engineer"/>
    <s v="Bekasi"/>
    <s v="Region 1"/>
    <s v="IMPACT"/>
    <d v="2023-01-09T00:00:00"/>
    <d v="2024-10-31T00:00:00"/>
    <s v="1 Tahun 11 Bulan 10 Hari "/>
    <n v="661"/>
    <n v="510"/>
    <n v="9"/>
    <n v="3962"/>
    <n v="440.22222222222223"/>
    <n v="505"/>
    <n v="1"/>
    <n v="5"/>
    <n v="1.1471479050984352"/>
    <n v="0.22942958101968705"/>
    <d v="1902-04-13T03:21:48"/>
    <d v="1899-12-30T00:00:00"/>
    <d v="1899-12-30T00:00:00"/>
    <n v="0"/>
    <n v="0"/>
    <n v="0"/>
    <n v="0"/>
    <n v="0"/>
    <n v="0"/>
    <n v="0"/>
    <d v="1899-12-30T01:37:17"/>
    <n v="1"/>
    <n v="4"/>
    <n v="0.8"/>
    <n v="0.2"/>
    <n v="1"/>
    <n v="1"/>
    <n v="1"/>
    <n v="1"/>
    <n v="0"/>
    <n v="0"/>
    <n v="0"/>
    <n v="1"/>
    <n v="1"/>
    <n v="5"/>
    <n v="0.625"/>
    <n v="9.375E-2"/>
    <n v="75"/>
    <n v="75"/>
    <n v="75"/>
    <n v="80"/>
    <n v="80"/>
    <n v="0.8"/>
    <n v="385"/>
    <n v="0.98701298701298701"/>
    <n v="0.19740259740259741"/>
    <n v="3.8"/>
    <n v="77"/>
    <n v="0.72058217842228456"/>
    <s v="Lebih Dari Cukup"/>
    <s v="Stay"/>
    <x v="2"/>
  </r>
  <r>
    <n v="241"/>
    <s v="M.Fadli Arief"/>
    <s v="IDH40086"/>
    <s v="Engineer"/>
    <s v="Tangerang"/>
    <s v="Region 1"/>
    <s v="GSS"/>
    <d v="2019-10-02T00:00:00"/>
    <d v="2024-10-31T00:00:00"/>
    <s v="5 Tahun 2 Bulan 17 Hari "/>
    <n v="1856"/>
    <n v="760"/>
    <n v="13"/>
    <n v="5863"/>
    <n v="451"/>
    <n v="402"/>
    <n v="0.8"/>
    <n v="4"/>
    <n v="0.89135254988913526"/>
    <n v="0.17827050997782706"/>
    <d v="1906-04-21T19:59:19"/>
    <d v="1941-07-29T19:40:23"/>
    <d v="1899-12-30T00:00:00"/>
    <n v="0"/>
    <n v="0"/>
    <n v="0"/>
    <n v="0"/>
    <n v="0"/>
    <n v="0"/>
    <n v="0"/>
    <d v="1899-12-30T00:38:40"/>
    <n v="1.25"/>
    <n v="5"/>
    <n v="1"/>
    <n v="0.25"/>
    <n v="1"/>
    <n v="1"/>
    <n v="1"/>
    <n v="1"/>
    <n v="0"/>
    <n v="0"/>
    <n v="0"/>
    <n v="1"/>
    <n v="1"/>
    <n v="5"/>
    <n v="0.625"/>
    <n v="9.375E-2"/>
    <n v="75"/>
    <n v="75"/>
    <n v="90"/>
    <n v="90"/>
    <n v="80"/>
    <n v="0.8"/>
    <n v="410"/>
    <n v="0.98780487804878048"/>
    <n v="0.19756097560975611"/>
    <n v="3.8499999999999996"/>
    <n v="82"/>
    <n v="0.71958148558758306"/>
    <s v="Lebih Dari Cukup"/>
    <s v="Stay"/>
    <x v="1"/>
  </r>
  <r>
    <n v="242"/>
    <s v="Rizki Aprianto"/>
    <s v="IDH90009"/>
    <s v="Associate engineer"/>
    <s v="Purwokerto"/>
    <s v="Region 2"/>
    <s v="GSS"/>
    <d v="2023-09-11T00:00:00"/>
    <d v="2024-10-31T00:00:00"/>
    <s v="1 Tahun 3 Bulan 8 Hari "/>
    <n v="416"/>
    <n v="305"/>
    <n v="6"/>
    <n v="2018"/>
    <n v="336.33333333333331"/>
    <n v="369"/>
    <n v="1"/>
    <n v="5"/>
    <n v="1.0971258671952429"/>
    <n v="0.21942517343904858"/>
    <d v="1919-12-18T16:36:54"/>
    <d v="1915-07-25T05:23:46"/>
    <d v="1899-12-30T00:00:00"/>
    <n v="0"/>
    <n v="0"/>
    <n v="0"/>
    <n v="0"/>
    <n v="0"/>
    <n v="0"/>
    <n v="0"/>
    <d v="1899-12-30T02:28:33"/>
    <n v="0.75"/>
    <n v="3"/>
    <n v="0.6"/>
    <n v="0.15"/>
    <n v="1"/>
    <n v="1"/>
    <n v="1"/>
    <n v="1"/>
    <n v="1"/>
    <n v="1"/>
    <n v="1"/>
    <n v="1"/>
    <n v="1"/>
    <n v="8"/>
    <n v="1"/>
    <n v="0.15"/>
    <n v="75"/>
    <n v="75"/>
    <n v="85"/>
    <n v="85"/>
    <n v="85"/>
    <n v="0.8"/>
    <n v="405"/>
    <n v="0.98765432098765427"/>
    <n v="0.19753086419753085"/>
    <n v="3.55"/>
    <n v="81"/>
    <n v="0.71695603763657945"/>
    <s v="Lebih Dari Cukup"/>
    <s v="Stay"/>
    <x v="2"/>
  </r>
  <r>
    <n v="243"/>
    <s v="Jeki Saputra"/>
    <s v="IDH60069"/>
    <s v="Engineer"/>
    <s v="Lubuk Linggau"/>
    <s v="Region 3"/>
    <s v="CITIUS"/>
    <d v="2022-05-11T00:00:00"/>
    <d v="2024-10-31T00:00:00"/>
    <s v="2 Tahun 7 Bulan 8 Hari "/>
    <n v="904"/>
    <n v="54"/>
    <n v="2"/>
    <n v="546"/>
    <n v="273"/>
    <n v="287"/>
    <n v="1"/>
    <n v="5"/>
    <n v="1.0512820512820513"/>
    <n v="0.21025641025641029"/>
    <d v="1933-05-09T08:33:56"/>
    <d v="1931-01-27T04:25:28"/>
    <d v="1935-07-13T06:40:29"/>
    <n v="0"/>
    <n v="0"/>
    <n v="1"/>
    <n v="0.4"/>
    <n v="1"/>
    <n v="0.33333333333333331"/>
    <n v="8.3333333333333329E-2"/>
    <d v="1899-12-30T02:52:25"/>
    <n v="0.75"/>
    <n v="3"/>
    <n v="0.6"/>
    <n v="0.15"/>
    <n v="1"/>
    <n v="1"/>
    <n v="1"/>
    <n v="0"/>
    <n v="0"/>
    <n v="0"/>
    <n v="0"/>
    <n v="1"/>
    <n v="0.8"/>
    <n v="4"/>
    <n v="0.5"/>
    <n v="7.4999999999999997E-2"/>
    <n v="75"/>
    <n v="75"/>
    <n v="80"/>
    <n v="85"/>
    <n v="85"/>
    <n v="0.8"/>
    <n v="400"/>
    <n v="0.98750000000000004"/>
    <n v="0.19750000000000001"/>
    <n v="3.75"/>
    <n v="80"/>
    <n v="0.71608974358974353"/>
    <s v="Lebih Dari Cukup"/>
    <s v="Stay"/>
    <x v="1"/>
  </r>
  <r>
    <n v="244"/>
    <s v="Robert Parulian"/>
    <s v="IDH40026"/>
    <s v="Associate engineer"/>
    <s v="Batam"/>
    <s v="Region 3"/>
    <s v="IMPACT"/>
    <d v="2018-09-07T00:00:00"/>
    <d v="2024-10-31T00:00:00"/>
    <s v="6 Tahun 3 Bulan 12 Hari "/>
    <n v="2246"/>
    <n v="283"/>
    <n v="4"/>
    <n v="1878"/>
    <n v="469.5"/>
    <n v="416"/>
    <n v="0.8"/>
    <n v="4"/>
    <n v="0.88604898828541001"/>
    <n v="0.177209797657082"/>
    <d v="1922-05-24T21:20:22"/>
    <d v="1927-02-01T08:45:23"/>
    <d v="1924-10-25T11:37:00"/>
    <n v="0"/>
    <n v="0"/>
    <n v="1"/>
    <n v="0.4"/>
    <n v="1"/>
    <n v="0.33333333333333331"/>
    <n v="8.3333333333333329E-2"/>
    <d v="1899-12-30T01:09:55"/>
    <n v="1"/>
    <n v="4"/>
    <n v="0.8"/>
    <n v="0.2"/>
    <n v="1"/>
    <n v="1"/>
    <n v="0"/>
    <n v="0"/>
    <n v="0"/>
    <n v="1"/>
    <n v="0"/>
    <n v="0"/>
    <n v="0.6"/>
    <n v="3"/>
    <n v="0.375"/>
    <n v="5.6249999999999994E-2"/>
    <n v="75"/>
    <n v="75"/>
    <n v="70"/>
    <n v="70"/>
    <n v="70"/>
    <n v="0.8"/>
    <n v="360"/>
    <n v="0.98611111111111116"/>
    <n v="0.19722222222222224"/>
    <n v="3.6000000000000005"/>
    <n v="72"/>
    <n v="0.71401535321263765"/>
    <s v="Lebih Dari Cukup"/>
    <s v="Stay"/>
    <x v="2"/>
  </r>
  <r>
    <n v="245"/>
    <s v="Iqbal Hasan Suteja"/>
    <s v="IDH40099"/>
    <s v="Senior engineer"/>
    <s v="Bogor"/>
    <s v="Region 1"/>
    <s v="SIPRAMA"/>
    <d v="2020-03-02T00:00:00"/>
    <d v="2024-10-31T00:00:00"/>
    <s v="4 Tahun 9 Bulan 17 Hari "/>
    <n v="1704"/>
    <n v="338"/>
    <n v="6"/>
    <n v="2750"/>
    <n v="458.33333333333331"/>
    <n v="405"/>
    <n v="0.8"/>
    <n v="4"/>
    <n v="0.88363636363636366"/>
    <n v="0.17672727272727273"/>
    <d v="1919-01-04T13:50:36"/>
    <d v="1899-12-30T00:13:40"/>
    <d v="1899-12-30T00:00:00"/>
    <n v="0"/>
    <n v="1"/>
    <n v="0"/>
    <n v="0.4"/>
    <n v="1"/>
    <n v="0.33333333333333331"/>
    <n v="8.3333333333333329E-2"/>
    <d v="1899-12-30T01:08:53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90"/>
    <n v="80"/>
    <n v="90"/>
    <n v="0.8"/>
    <n v="410"/>
    <n v="0.98780487804878048"/>
    <n v="0.19756097560975611"/>
    <n v="3.6000000000000005"/>
    <n v="82"/>
    <n v="0.71387158167036224"/>
    <s v="Lebih Dari Cukup"/>
    <s v="Stay"/>
    <x v="0"/>
  </r>
  <r>
    <n v="246"/>
    <s v="Desnal Dwi Prakoso"/>
    <s v="IDH40124"/>
    <s v="Senior engineer"/>
    <s v="Lampung"/>
    <s v="Region 1"/>
    <s v="GSS"/>
    <d v="2021-04-05T00:00:00"/>
    <d v="2024-10-31T00:00:00"/>
    <s v="3 Tahun 8 Bulan 14 Hari "/>
    <n v="1305"/>
    <n v="329"/>
    <n v="6"/>
    <n v="1945"/>
    <n v="324.16666666666669"/>
    <n v="250"/>
    <n v="0.6"/>
    <n v="3"/>
    <n v="0.77120822622107965"/>
    <n v="0.15424164524421594"/>
    <d v="1924-11-17T19:14:37"/>
    <d v="1924-11-08T12:17:09"/>
    <d v="1899-12-30T00:00:06"/>
    <n v="0"/>
    <n v="0"/>
    <n v="1"/>
    <n v="0.4"/>
    <n v="1"/>
    <n v="0.33333333333333331"/>
    <n v="8.3333333333333329E-2"/>
    <d v="1899-12-30T01:06:52"/>
    <n v="1"/>
    <n v="4"/>
    <n v="0.8"/>
    <n v="0.2"/>
    <n v="1"/>
    <n v="1"/>
    <n v="0"/>
    <n v="0"/>
    <n v="1"/>
    <n v="1"/>
    <n v="0"/>
    <n v="0"/>
    <n v="0.8"/>
    <n v="4"/>
    <n v="0.5"/>
    <n v="7.4999999999999997E-2"/>
    <n v="75"/>
    <n v="75"/>
    <n v="90"/>
    <n v="90"/>
    <n v="90"/>
    <n v="0.8"/>
    <n v="420"/>
    <n v="0.98809523809523814"/>
    <n v="0.19761904761904764"/>
    <n v="3.5999999999999996"/>
    <n v="84"/>
    <n v="0.71019402619659688"/>
    <s v="Lebih Dari Cukup"/>
    <s v="Stay"/>
    <x v="0"/>
  </r>
  <r>
    <n v="247"/>
    <s v="M. Iqbal Nafhi"/>
    <s v="IDH80005"/>
    <s v="Engineer"/>
    <s v="Purwokerto"/>
    <s v="Region 2"/>
    <s v="IMPACT"/>
    <d v="2023-11-13T00:00:00"/>
    <d v="2024-10-31T00:00:00"/>
    <s v="1 Tahun 1 Bulan 6 Hari "/>
    <n v="353"/>
    <n v="305"/>
    <n v="6"/>
    <n v="2018"/>
    <n v="336.33333333333331"/>
    <n v="290"/>
    <n v="0.8"/>
    <n v="4"/>
    <n v="0.8622398414271556"/>
    <n v="0.17244796828543113"/>
    <d v="1899-12-30T00:52:00"/>
    <d v="1905-03-12T06:25:31"/>
    <d v="1899-12-30T00:00:00"/>
    <n v="1"/>
    <n v="0"/>
    <n v="0"/>
    <n v="0.4"/>
    <n v="1"/>
    <n v="0.33333333333333331"/>
    <n v="8.3333333333333329E-2"/>
    <d v="1899-12-30T01:52:12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3.6000000000000005"/>
    <n v="78"/>
    <n v="0.70946719905466193"/>
    <s v="New CE"/>
    <s v="Stay"/>
    <x v="1"/>
  </r>
  <r>
    <n v="248"/>
    <s v="Ribudi Hartono"/>
    <s v="IDH80079"/>
    <s v="Engineer"/>
    <s v="Timika"/>
    <s v="Region 1"/>
    <s v="IMPACT"/>
    <d v="2022-08-22T00:00:00"/>
    <d v="2024-10-31T00:00:00"/>
    <s v="2 Tahun 3 Bulan 27 Hari "/>
    <n v="801"/>
    <n v="55"/>
    <n v="1"/>
    <n v="385"/>
    <n v="385"/>
    <n v="364"/>
    <n v="0.8"/>
    <n v="4"/>
    <n v="0.94545454545454544"/>
    <n v="0.18909090909090909"/>
    <d v="1958-05-06T02:55:19"/>
    <d v="1899-12-30T00:00:00"/>
    <d v="1966-09-21T04:26:11"/>
    <n v="0"/>
    <n v="0"/>
    <n v="1"/>
    <n v="0.4"/>
    <n v="1"/>
    <n v="0.33333333333333331"/>
    <n v="8.3333333333333329E-2"/>
    <d v="1899-12-30T01:31:26"/>
    <n v="1"/>
    <n v="4"/>
    <n v="0.8"/>
    <n v="0.2"/>
    <n v="1"/>
    <n v="1"/>
    <n v="0"/>
    <n v="0"/>
    <n v="0"/>
    <n v="0"/>
    <n v="0"/>
    <n v="0"/>
    <n v="0.4"/>
    <n v="2"/>
    <n v="0.25"/>
    <n v="3.7499999999999999E-2"/>
    <n v="75"/>
    <n v="75"/>
    <n v="90"/>
    <n v="90"/>
    <n v="75"/>
    <n v="0.8"/>
    <n v="405"/>
    <n v="0.98765432098765427"/>
    <n v="0.19753086419753085"/>
    <n v="3.4000000000000004"/>
    <n v="81"/>
    <n v="0.70745510662177324"/>
    <s v="Lebih Dari Cukup"/>
    <s v="Stay"/>
    <x v="1"/>
  </r>
  <r>
    <n v="249"/>
    <s v="Muhammad Fahmi Affandi"/>
    <s v="IDH10011"/>
    <s v="Associate engineer"/>
    <s v="Tangerang"/>
    <s v="Region 1"/>
    <s v="KINARYA"/>
    <d v="2024-01-15T00:00:00"/>
    <d v="2024-10-31T00:00:00"/>
    <s v="0 Tahun 11 Bulan 4 Hari "/>
    <n v="290"/>
    <n v="760"/>
    <n v="13"/>
    <n v="5863"/>
    <n v="451"/>
    <n v="246"/>
    <n v="0.4"/>
    <n v="2"/>
    <n v="0.54545454545454541"/>
    <n v="0.10909090909090909"/>
    <d v="1904-09-14T16:02:23"/>
    <d v="1899-12-30T00:00:00"/>
    <d v="1899-12-30T00:00:00"/>
    <n v="0"/>
    <n v="0"/>
    <n v="0"/>
    <n v="0"/>
    <n v="0"/>
    <n v="0"/>
    <n v="0"/>
    <d v="1899-12-30T00:41:33"/>
    <n v="1.25"/>
    <n v="5"/>
    <n v="1"/>
    <n v="0.25"/>
    <n v="1"/>
    <n v="1"/>
    <n v="1"/>
    <n v="1"/>
    <n v="1"/>
    <n v="1"/>
    <n v="1"/>
    <n v="1"/>
    <n v="1"/>
    <n v="8"/>
    <n v="1"/>
    <n v="0.15"/>
    <n v="75"/>
    <n v="75"/>
    <n v="75"/>
    <n v="85"/>
    <n v="80"/>
    <n v="0.8"/>
    <n v="390"/>
    <n v="0.98717948717948723"/>
    <n v="0.19743589743589746"/>
    <n v="3.45"/>
    <n v="78"/>
    <n v="0.70652680652680644"/>
    <s v="New CE"/>
    <s v="Stay"/>
    <x v="2"/>
  </r>
  <r>
    <n v="250"/>
    <s v="Prasetyo Hadi Saputra"/>
    <s v="IDH80096"/>
    <s v="Associate engineer"/>
    <s v="Palu"/>
    <s v="Region 3"/>
    <s v="IMPACT"/>
    <d v="2023-09-04T00:00:00"/>
    <d v="2024-10-31T00:00:00"/>
    <s v="1 Tahun 3 Bulan 15 Hari "/>
    <n v="423"/>
    <n v="134"/>
    <n v="3"/>
    <n v="1306"/>
    <n v="435.33333333333331"/>
    <n v="328"/>
    <n v="0.6"/>
    <n v="3"/>
    <n v="0.75344563552833077"/>
    <n v="0.15068912710566618"/>
    <d v="1913-05-01T17:44:26"/>
    <d v="2024-04-09T09:38:00"/>
    <d v="1954-02-20T06:09:37"/>
    <n v="0"/>
    <n v="0"/>
    <n v="1"/>
    <n v="0.4"/>
    <n v="1"/>
    <n v="0.33333333333333331"/>
    <n v="8.3333333333333329E-2"/>
    <d v="1899-12-30T01:34:20"/>
    <n v="1"/>
    <n v="4"/>
    <n v="0.8"/>
    <n v="0.2"/>
    <n v="1"/>
    <n v="1"/>
    <n v="1"/>
    <n v="0"/>
    <n v="0"/>
    <n v="0"/>
    <n v="0"/>
    <n v="1"/>
    <n v="0.8"/>
    <n v="4"/>
    <n v="0.5"/>
    <n v="7.4999999999999997E-2"/>
    <n v="75"/>
    <n v="75"/>
    <n v="80"/>
    <n v="80"/>
    <n v="80"/>
    <n v="0.8"/>
    <n v="390"/>
    <n v="0.98717948717948723"/>
    <n v="0.19743589743589746"/>
    <n v="3.5999999999999996"/>
    <n v="78"/>
    <n v="0.70645835787489686"/>
    <s v="Lebih Dari Cukup"/>
    <s v="Stay"/>
    <x v="2"/>
  </r>
  <r>
    <n v="251"/>
    <s v="Mulyaddin"/>
    <s v="IDH50005"/>
    <s v="Engineer"/>
    <s v="Sorong"/>
    <s v="Region 1"/>
    <s v="SIPRAMA"/>
    <d v="2020-10-19T00:00:00"/>
    <d v="2024-10-31T00:00:00"/>
    <s v="4 Tahun 2 Bulan 0 Hari "/>
    <n v="1473"/>
    <n v="46"/>
    <n v="1"/>
    <n v="380"/>
    <n v="380"/>
    <n v="320"/>
    <n v="0.8"/>
    <n v="4"/>
    <n v="0.84210526315789469"/>
    <n v="0.16842105263157894"/>
    <d v="1927-08-21T15:41:00"/>
    <d v="1899-12-30T00:00:00"/>
    <d v="1899-12-30T01:13:48"/>
    <n v="0"/>
    <n v="0"/>
    <n v="1"/>
    <n v="0.4"/>
    <n v="1"/>
    <n v="0.33333333333333331"/>
    <n v="8.3333333333333329E-2"/>
    <d v="1899-12-30T01:06:08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90"/>
    <n v="90"/>
    <n v="80"/>
    <n v="0.8"/>
    <n v="410"/>
    <n v="0.98780487804878048"/>
    <n v="0.19756097560975611"/>
    <n v="3.6000000000000005"/>
    <n v="82"/>
    <n v="0.70556536157466843"/>
    <s v="Lebih Dari Cukup"/>
    <s v="Stay"/>
    <x v="1"/>
  </r>
  <r>
    <n v="252"/>
    <s v="Fany Arya Hidayat"/>
    <s v="IDH80001"/>
    <s v="Associate engineer"/>
    <s v="Solo"/>
    <s v="Region 2"/>
    <s v="IMPACT"/>
    <d v="2023-01-09T00:00:00"/>
    <d v="2024-10-31T00:00:00"/>
    <s v="1 Tahun 11 Bulan 10 Hari "/>
    <n v="661"/>
    <n v="305"/>
    <n v="6"/>
    <n v="2074"/>
    <n v="345.66666666666669"/>
    <n v="322"/>
    <n v="0.8"/>
    <n v="4"/>
    <n v="0.93153326904532296"/>
    <n v="0.18630665380906461"/>
    <d v="1909-11-20T08:43:54"/>
    <d v="1899-12-30T00:00:06"/>
    <d v="1899-12-30T00:00:00"/>
    <n v="0"/>
    <n v="1"/>
    <n v="0"/>
    <n v="0.4"/>
    <n v="1"/>
    <n v="0.33333333333333331"/>
    <n v="8.3333333333333329E-2"/>
    <d v="1899-12-30T01:13:46"/>
    <n v="1"/>
    <n v="4"/>
    <n v="0.8"/>
    <n v="0.2"/>
    <n v="1"/>
    <n v="1"/>
    <n v="0"/>
    <n v="0"/>
    <n v="0"/>
    <n v="0"/>
    <n v="0"/>
    <n v="0"/>
    <n v="0.4"/>
    <n v="2"/>
    <n v="0.25"/>
    <n v="3.7499999999999999E-2"/>
    <n v="75"/>
    <n v="75"/>
    <n v="90"/>
    <n v="85"/>
    <n v="85"/>
    <n v="0.8"/>
    <n v="410"/>
    <n v="0.98780487804878048"/>
    <n v="0.19756097560975611"/>
    <n v="3.4000000000000004"/>
    <n v="82"/>
    <n v="0.7047009627521541"/>
    <s v="Lebih Dari Cukup"/>
    <s v="Stay"/>
    <x v="2"/>
  </r>
  <r>
    <n v="253"/>
    <s v="Duwi Heri Setiawan"/>
    <s v="IDH60048"/>
    <s v="Engineer"/>
    <s v="Kediri"/>
    <s v="Region 2"/>
    <s v="CITIUS"/>
    <d v="2022-01-24T00:00:00"/>
    <d v="2024-10-31T00:00:00"/>
    <s v="2 Tahun 10 Bulan 25 Hari "/>
    <n v="1011"/>
    <n v="358"/>
    <n v="7"/>
    <n v="2648"/>
    <n v="378.28571428571428"/>
    <n v="351"/>
    <n v="0.8"/>
    <n v="4"/>
    <n v="0.92787009063444115"/>
    <n v="0.18557401812688823"/>
    <d v="1905-04-17T13:01:45"/>
    <d v="1899-12-30T00:00:00"/>
    <d v="1899-12-30T00:00:08"/>
    <n v="0"/>
    <n v="0"/>
    <n v="1"/>
    <n v="0.4"/>
    <n v="1"/>
    <n v="0.33333333333333331"/>
    <n v="8.3333333333333329E-2"/>
    <d v="1899-12-30T01:19:56"/>
    <n v="1"/>
    <n v="4"/>
    <n v="0.8"/>
    <n v="0.2"/>
    <n v="1"/>
    <n v="1"/>
    <n v="0"/>
    <n v="0"/>
    <n v="0"/>
    <n v="0"/>
    <n v="0"/>
    <n v="0"/>
    <n v="0.4"/>
    <n v="2"/>
    <n v="0.25"/>
    <n v="3.7499999999999999E-2"/>
    <n v="75"/>
    <n v="75"/>
    <n v="80"/>
    <n v="80"/>
    <n v="80"/>
    <n v="0.8"/>
    <n v="390"/>
    <n v="0.98717948717948723"/>
    <n v="0.19743589743589746"/>
    <n v="3.4000000000000004"/>
    <n v="78"/>
    <n v="0.70384324889611904"/>
    <s v="Lebih Dari Cukup"/>
    <s v="Stay"/>
    <x v="1"/>
  </r>
  <r>
    <n v="254"/>
    <s v="Dwinanjar Aji Santoso"/>
    <s v="IDH20022"/>
    <s v="Senior engineer"/>
    <s v="Purwokerto"/>
    <s v="Region 2"/>
    <s v="GSS"/>
    <d v="2016-09-05T00:00:00"/>
    <d v="2024-10-31T00:00:00"/>
    <s v="8 Tahun 3 Bulan 14 Hari "/>
    <n v="2978"/>
    <n v="305"/>
    <n v="6"/>
    <n v="2018"/>
    <n v="336.33333333333331"/>
    <n v="333"/>
    <n v="0.8"/>
    <n v="4"/>
    <n v="0.99008919722497524"/>
    <n v="0.19801783944499507"/>
    <d v="1949-10-07T09:39:39"/>
    <d v="1928-07-13T05:46:46"/>
    <d v="1899-12-30T00:00:00"/>
    <n v="0"/>
    <n v="0"/>
    <n v="0"/>
    <n v="0"/>
    <n v="0"/>
    <n v="0"/>
    <n v="0"/>
    <d v="1899-12-30T00:54:27"/>
    <n v="1.25"/>
    <n v="5"/>
    <n v="1"/>
    <n v="0.25"/>
    <n v="1"/>
    <n v="1"/>
    <n v="1"/>
    <n v="0"/>
    <n v="0"/>
    <n v="0"/>
    <n v="0"/>
    <n v="0"/>
    <n v="0.6"/>
    <n v="3"/>
    <n v="0.375"/>
    <n v="5.6249999999999994E-2"/>
    <n v="75"/>
    <n v="75"/>
    <n v="80"/>
    <n v="85"/>
    <n v="80"/>
    <n v="0.8"/>
    <n v="395"/>
    <n v="0.98734177215189878"/>
    <n v="0.19746835443037977"/>
    <n v="3.45"/>
    <n v="79"/>
    <n v="0.70173619387537489"/>
    <s v="Lebih Dari Cukup"/>
    <s v="Stay"/>
    <x v="0"/>
  </r>
  <r>
    <n v="255"/>
    <s v="Vidi Ferdiana"/>
    <s v="IDH90005"/>
    <s v="Associate engineer"/>
    <s v="Sukabumi"/>
    <s v="Region 2"/>
    <s v="GSS"/>
    <d v="2023-09-04T00:00:00"/>
    <d v="2024-10-31T00:00:00"/>
    <s v="1 Tahun 3 Bulan 15 Hari "/>
    <n v="423"/>
    <n v="241"/>
    <n v="4"/>
    <n v="1968"/>
    <n v="492"/>
    <n v="404"/>
    <n v="0.8"/>
    <n v="4"/>
    <n v="0.82113821138211385"/>
    <n v="0.16422764227642278"/>
    <d v="1899-12-30T00:38:44"/>
    <d v="1904-01-04T08:56:34"/>
    <d v="1899-12-30T00:00:00"/>
    <n v="1"/>
    <n v="0"/>
    <n v="0"/>
    <n v="0.4"/>
    <n v="1"/>
    <n v="0.33333333333333331"/>
    <n v="8.3333333333333329E-2"/>
    <d v="1899-12-30T01:26:20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3.6000000000000005"/>
    <n v="78"/>
    <n v="0.70124687304565358"/>
    <s v="Lebih Dari Cukup"/>
    <s v="Stay"/>
    <x v="2"/>
  </r>
  <r>
    <n v="256"/>
    <s v="Revi Irsanda"/>
    <s v="IDH80092"/>
    <s v="Associate engineer"/>
    <s v="Jambi"/>
    <s v="Region 3"/>
    <s v="IMPACT"/>
    <d v="2023-09-04T00:00:00"/>
    <d v="2024-10-31T00:00:00"/>
    <s v="1 Tahun 3 Bulan 15 Hari "/>
    <n v="423"/>
    <n v="159"/>
    <n v="3"/>
    <n v="1272"/>
    <n v="424"/>
    <n v="307"/>
    <n v="0.6"/>
    <n v="3"/>
    <n v="0.72405660377358494"/>
    <n v="0.144811320754717"/>
    <d v="1937-06-13T23:07:20"/>
    <d v="1899-12-30T00:00:00"/>
    <d v="1899-12-30T00:00:53"/>
    <n v="0"/>
    <n v="0"/>
    <n v="1"/>
    <n v="0.4"/>
    <n v="1"/>
    <n v="0.33333333333333331"/>
    <n v="8.3333333333333329E-2"/>
    <d v="1899-12-30T01:31:13"/>
    <n v="1"/>
    <n v="4"/>
    <n v="0.8"/>
    <n v="0.2"/>
    <n v="1"/>
    <n v="1"/>
    <n v="0"/>
    <n v="0"/>
    <n v="1"/>
    <n v="0"/>
    <n v="0"/>
    <n v="1"/>
    <n v="0.8"/>
    <n v="4"/>
    <n v="0.5"/>
    <n v="7.4999999999999997E-2"/>
    <n v="75"/>
    <n v="75"/>
    <n v="80"/>
    <n v="85"/>
    <n v="80"/>
    <n v="0.8"/>
    <n v="395"/>
    <n v="0.98734177215189878"/>
    <n v="0.19746835443037977"/>
    <n v="3.5999999999999996"/>
    <n v="79"/>
    <n v="0.70061300851843011"/>
    <s v="Lebih Dari Cukup"/>
    <s v="Stay"/>
    <x v="2"/>
  </r>
  <r>
    <n v="257"/>
    <s v="Feri Wahyudi"/>
    <s v="IDH10014"/>
    <s v="Associate engineer"/>
    <s v="Pontianak"/>
    <s v="Region 3"/>
    <s v="KINARYA"/>
    <d v="2024-06-01T00:00:00"/>
    <d v="2024-10-31T00:00:00"/>
    <s v="0 Tahun 6 Bulan 18 Hari "/>
    <n v="152"/>
    <n v="221"/>
    <n v="4"/>
    <n v="1669"/>
    <n v="417.25"/>
    <n v="235"/>
    <n v="0.4"/>
    <n v="2"/>
    <n v="0.56321150389454766"/>
    <n v="0.11264230077890953"/>
    <d v="1902-08-04T12:14:19"/>
    <d v="1899-12-30T00:21:27"/>
    <d v="1899-12-30T00:00:00"/>
    <n v="0"/>
    <n v="1"/>
    <n v="0"/>
    <n v="0.4"/>
    <n v="1"/>
    <n v="0.33333333333333331"/>
    <n v="8.3333333333333329E-2"/>
    <d v="1899-12-30T00:31:26"/>
    <n v="1.25"/>
    <n v="5"/>
    <n v="1"/>
    <n v="0.25"/>
    <n v="1"/>
    <n v="1"/>
    <n v="1"/>
    <n v="0"/>
    <n v="0"/>
    <n v="0"/>
    <n v="0"/>
    <n v="0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3.45"/>
    <n v="78"/>
    <n v="0.69966153154814026"/>
    <s v="New CE"/>
    <s v="Stay"/>
    <x v="2"/>
  </r>
  <r>
    <n v="258"/>
    <s v="Theo Xaverius Marbun"/>
    <s v="IDH80013"/>
    <s v="Associate engineer"/>
    <s v="Jakarta 1"/>
    <s v="Region 1"/>
    <s v="IMPACT"/>
    <d v="2023-01-09T00:00:00"/>
    <d v="2024-10-31T00:00:00"/>
    <s v="1 Tahun 11 Bulan 10 Hari "/>
    <n v="661"/>
    <n v="897"/>
    <n v="13"/>
    <n v="6212"/>
    <n v="477.84615384615387"/>
    <n v="496"/>
    <n v="1"/>
    <n v="5"/>
    <n v="1.0379909851899549"/>
    <n v="0.20759819703799098"/>
    <d v="1902-02-28T07:28:44"/>
    <d v="2024-09-06T23:58:29"/>
    <d v="1899-12-30T00:00:00"/>
    <n v="0"/>
    <n v="0"/>
    <n v="0"/>
    <n v="0"/>
    <n v="0"/>
    <n v="0"/>
    <n v="0"/>
    <d v="1899-12-30T01:46:46"/>
    <n v="1"/>
    <n v="4"/>
    <n v="0.8"/>
    <n v="0.2"/>
    <n v="1"/>
    <n v="1"/>
    <n v="1"/>
    <n v="1"/>
    <n v="0"/>
    <n v="0"/>
    <n v="0"/>
    <n v="1"/>
    <n v="1"/>
    <n v="5"/>
    <n v="0.625"/>
    <n v="9.375E-2"/>
    <n v="75"/>
    <n v="75"/>
    <n v="75"/>
    <n v="85"/>
    <n v="80"/>
    <n v="0.8"/>
    <n v="390"/>
    <n v="0.98717948717948723"/>
    <n v="0.19743589743589746"/>
    <n v="3.8"/>
    <n v="78"/>
    <n v="0.69878409447388834"/>
    <s v="Cukup"/>
    <s v="Stay"/>
    <x v="2"/>
  </r>
  <r>
    <n v="259"/>
    <s v="Prayogi Maulana"/>
    <s v="IDH70035"/>
    <s v="Associate engineer"/>
    <s v="Cikampek"/>
    <s v="Region 2"/>
    <s v="SIPRAMA"/>
    <d v="2022-10-17T00:00:00"/>
    <d v="2024-10-31T00:00:00"/>
    <s v="2 Tahun 2 Bulan 2 Hari "/>
    <n v="745"/>
    <n v="304"/>
    <n v="5"/>
    <n v="2111"/>
    <n v="422.2"/>
    <n v="337"/>
    <n v="0.6"/>
    <n v="3"/>
    <n v="0.79819990525817153"/>
    <n v="0.15963998105163432"/>
    <d v="1907-06-17T07:39:50"/>
    <d v="1899-12-30T00:00:19"/>
    <d v="1899-12-30T00:00:00"/>
    <n v="0"/>
    <n v="1"/>
    <n v="0"/>
    <n v="0.4"/>
    <n v="1"/>
    <n v="0.33333333333333331"/>
    <n v="8.3333333333333329E-2"/>
    <d v="1899-12-30T01:44:07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3.4000000000000004"/>
    <n v="78"/>
    <n v="0.69665921182086521"/>
    <s v="Cukup"/>
    <s v="Stay"/>
    <x v="2"/>
  </r>
  <r>
    <n v="260"/>
    <s v="Irsan Trigunadi"/>
    <s v="IDH30032"/>
    <s v="Senior engineer"/>
    <s v="Bekasi"/>
    <s v="Region 1"/>
    <s v="SIPRAMA"/>
    <d v="2018-09-06T00:00:00"/>
    <d v="2024-10-31T00:00:00"/>
    <s v="6 Tahun 3 Bulan 13 Hari "/>
    <n v="2247"/>
    <n v="510"/>
    <n v="9"/>
    <n v="3962"/>
    <n v="440.22222222222223"/>
    <n v="424"/>
    <n v="0.8"/>
    <n v="4"/>
    <n v="0.96314992428066637"/>
    <n v="0.19262998485613328"/>
    <d v="1912-11-16T18:05:33"/>
    <d v="1899-12-30T00:00:00"/>
    <d v="1899-12-30T00:00:00"/>
    <n v="0"/>
    <n v="0"/>
    <n v="0"/>
    <n v="0"/>
    <n v="0"/>
    <n v="0"/>
    <n v="0"/>
    <d v="1899-12-30T00:59:40"/>
    <n v="1.25"/>
    <n v="5"/>
    <n v="1"/>
    <n v="0.25"/>
    <n v="1"/>
    <n v="1"/>
    <n v="1"/>
    <n v="0"/>
    <n v="0"/>
    <n v="0"/>
    <n v="0"/>
    <n v="0"/>
    <n v="0.6"/>
    <n v="3"/>
    <n v="0.375"/>
    <n v="5.6249999999999994E-2"/>
    <n v="75"/>
    <n v="75"/>
    <n v="90"/>
    <n v="90"/>
    <n v="90"/>
    <n v="0.8"/>
    <n v="420"/>
    <n v="0.98809523809523814"/>
    <n v="0.19761904761904764"/>
    <n v="3.45"/>
    <n v="84"/>
    <n v="0.69649903247518097"/>
    <s v="Cukup"/>
    <s v="Stay"/>
    <x v="0"/>
  </r>
  <r>
    <n v="261"/>
    <s v="Jemi Sastra"/>
    <s v="IDH40030"/>
    <s v="Senior engineer"/>
    <s v="Palembang"/>
    <s v="Region 3"/>
    <s v="IMPACT"/>
    <d v="2018-09-07T00:00:00"/>
    <d v="2024-10-31T00:00:00"/>
    <s v="6 Tahun 3 Bulan 12 Hari "/>
    <n v="2246"/>
    <n v="426"/>
    <n v="6"/>
    <n v="3000"/>
    <n v="500"/>
    <n v="304"/>
    <n v="0.6"/>
    <n v="3"/>
    <n v="0.60799999999999998"/>
    <n v="0.1216"/>
    <d v="1935-07-24T18:14:40"/>
    <d v="1899-12-30T03:21:08"/>
    <d v="1955-05-30T22:29:13"/>
    <n v="0"/>
    <n v="0"/>
    <n v="1"/>
    <n v="0.4"/>
    <n v="1"/>
    <n v="0.33333333333333331"/>
    <n v="8.3333333333333329E-2"/>
    <d v="1899-12-30T01:41:44"/>
    <n v="1"/>
    <n v="4"/>
    <n v="0.8"/>
    <n v="0.2"/>
    <n v="1"/>
    <n v="1"/>
    <n v="1"/>
    <n v="1"/>
    <n v="0"/>
    <n v="0"/>
    <n v="0"/>
    <n v="1"/>
    <n v="1"/>
    <n v="5"/>
    <n v="0.625"/>
    <n v="9.375E-2"/>
    <n v="75"/>
    <n v="75"/>
    <n v="90"/>
    <n v="90"/>
    <n v="80"/>
    <n v="0.8"/>
    <n v="410"/>
    <n v="0.98780487804878048"/>
    <n v="0.19756097560975611"/>
    <n v="3.8"/>
    <n v="82"/>
    <n v="0.69624430894308942"/>
    <s v="Cukup"/>
    <s v="Stay"/>
    <x v="0"/>
  </r>
  <r>
    <n v="262"/>
    <s v="Mochamar Tegar Ath Tharikh"/>
    <s v="IDH80066"/>
    <s v="Associate engineer"/>
    <s v="Bandung"/>
    <s v="Region 2"/>
    <s v="IMPACT"/>
    <d v="2023-09-04T00:00:00"/>
    <d v="2024-10-31T00:00:00"/>
    <s v="1 Tahun 3 Bulan 15 Hari "/>
    <n v="423"/>
    <n v="872"/>
    <n v="15"/>
    <n v="5975"/>
    <n v="398.33333333333331"/>
    <n v="317"/>
    <n v="0.6"/>
    <n v="3"/>
    <n v="0.79581589958159005"/>
    <n v="0.15916317991631801"/>
    <d v="1903-01-11T02:57:21"/>
    <d v="1899-12-30T00:42:31"/>
    <d v="1899-12-30T00:00:00"/>
    <n v="0"/>
    <n v="1"/>
    <n v="0"/>
    <n v="0.4"/>
    <n v="1"/>
    <n v="0.33333333333333331"/>
    <n v="8.3333333333333329E-2"/>
    <d v="1899-12-30T01:09:19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3.4000000000000004"/>
    <n v="78"/>
    <n v="0.69618241068554876"/>
    <s v="Cukup"/>
    <s v="Stay"/>
    <x v="2"/>
  </r>
  <r>
    <n v="263"/>
    <s v="Ramadhan Hermansyah"/>
    <s v="IDH70029"/>
    <s v="Engineer"/>
    <s v="Jember"/>
    <s v="Region 2"/>
    <s v="SIPRAMA"/>
    <d v="2022-10-03T00:00:00"/>
    <d v="2024-10-31T00:00:00"/>
    <s v="2 Tahun 2 Bulan 16 Hari "/>
    <n v="759"/>
    <n v="173"/>
    <n v="3"/>
    <n v="1310"/>
    <n v="436.66666666666669"/>
    <n v="347"/>
    <n v="0.6"/>
    <n v="3"/>
    <n v="0.79465648854961823"/>
    <n v="0.15893129770992365"/>
    <d v="1903-01-14T03:08:05"/>
    <d v="1902-10-28T15:15:33"/>
    <d v="1941-07-28T12:25:09"/>
    <n v="0"/>
    <n v="0"/>
    <n v="1"/>
    <n v="0.4"/>
    <n v="1"/>
    <n v="0.33333333333333331"/>
    <n v="8.3333333333333329E-2"/>
    <d v="1899-12-30T01:08:28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3.4000000000000004"/>
    <n v="78"/>
    <n v="0.69595052847915451"/>
    <s v="Cukup"/>
    <s v="Stay"/>
    <x v="1"/>
  </r>
  <r>
    <n v="264"/>
    <s v="Rizqi Fahurrahman"/>
    <s v="IDH70049"/>
    <s v="Associate engineer"/>
    <s v="Tegal"/>
    <s v="Region 2"/>
    <s v="SIPRAMA"/>
    <d v="2022-11-17T00:00:00"/>
    <d v="2024-10-31T00:00:00"/>
    <s v="2 Tahun 1 Bulan 2 Hari "/>
    <n v="714"/>
    <n v="211"/>
    <n v="4"/>
    <n v="1615"/>
    <n v="403.75"/>
    <n v="318"/>
    <n v="0.6"/>
    <n v="3"/>
    <n v="0.78761609907120744"/>
    <n v="0.1575232198142415"/>
    <d v="1903-05-13T05:20:09"/>
    <d v="1899-12-30T00:00:49"/>
    <d v="1899-12-30T00:00:00"/>
    <n v="0"/>
    <n v="1"/>
    <n v="0"/>
    <n v="0.4"/>
    <n v="1"/>
    <n v="0.33333333333333331"/>
    <n v="8.3333333333333329E-2"/>
    <d v="1899-12-30T01:32:15"/>
    <n v="1"/>
    <n v="4"/>
    <n v="0.8"/>
    <n v="0.2"/>
    <n v="1"/>
    <n v="1"/>
    <n v="0"/>
    <n v="0"/>
    <n v="0"/>
    <n v="1"/>
    <n v="0"/>
    <n v="0"/>
    <n v="0.6"/>
    <n v="3"/>
    <n v="0.375"/>
    <n v="5.6249999999999994E-2"/>
    <n v="75"/>
    <n v="75"/>
    <n v="80"/>
    <n v="75"/>
    <n v="80"/>
    <n v="0.8"/>
    <n v="385"/>
    <n v="0.98701298701298701"/>
    <n v="0.19740259740259741"/>
    <n v="3.4000000000000004"/>
    <n v="77"/>
    <n v="0.69450915055017215"/>
    <s v="Cukup"/>
    <s v="Stay"/>
    <x v="2"/>
  </r>
  <r>
    <n v="265"/>
    <s v="Albert Nielsen Naibaho"/>
    <s v="IDH50002"/>
    <s v="Engineer"/>
    <s v="Pematang Siantar"/>
    <s v="Region 3"/>
    <s v="SIPRAMA"/>
    <d v="2020-10-19T00:00:00"/>
    <d v="2024-10-31T00:00:00"/>
    <s v="4 Tahun 2 Bulan 0 Hari "/>
    <n v="1473"/>
    <n v="235"/>
    <n v="4"/>
    <n v="1697"/>
    <n v="424.25"/>
    <n v="374"/>
    <n v="0.8"/>
    <n v="4"/>
    <n v="0.88155568650559812"/>
    <n v="0.17631113730111964"/>
    <d v="1913-10-28T02:57:28"/>
    <d v="1913-02-05T23:34:40"/>
    <d v="1899-12-30T00:01:19"/>
    <n v="0"/>
    <n v="0"/>
    <n v="1"/>
    <n v="0.4"/>
    <n v="1"/>
    <n v="0.33333333333333331"/>
    <n v="8.3333333333333329E-2"/>
    <d v="1899-12-30T01:23:38"/>
    <n v="1"/>
    <n v="4"/>
    <n v="0.8"/>
    <n v="0.2"/>
    <n v="1"/>
    <n v="1"/>
    <n v="0"/>
    <n v="0"/>
    <n v="0"/>
    <n v="0"/>
    <n v="0"/>
    <n v="0"/>
    <n v="0.4"/>
    <n v="2"/>
    <n v="0.25"/>
    <n v="3.7499999999999999E-2"/>
    <n v="75"/>
    <n v="75"/>
    <n v="75"/>
    <n v="70"/>
    <n v="65"/>
    <n v="0.8"/>
    <n v="360"/>
    <n v="0.98611111111111116"/>
    <n v="0.19722222222222224"/>
    <n v="3.4000000000000004"/>
    <n v="72"/>
    <n v="0.69436669285667518"/>
    <s v="Cukup"/>
    <s v="Stay"/>
    <x v="1"/>
  </r>
  <r>
    <n v="266"/>
    <s v="Teddy Cahyadi Nugroho"/>
    <s v="IDH60024"/>
    <s v="Associate engineer"/>
    <s v="Bandung"/>
    <s v="Region 2"/>
    <s v="SIPRAMA"/>
    <d v="2021-09-27T00:00:00"/>
    <d v="2024-10-31T00:00:00"/>
    <s v="3 Tahun 2 Bulan 22 Hari "/>
    <n v="1130"/>
    <n v="872"/>
    <n v="15"/>
    <n v="5975"/>
    <n v="398.33333333333331"/>
    <n v="313"/>
    <n v="0.6"/>
    <n v="3"/>
    <n v="0.7857740585774059"/>
    <n v="0.15715481171548118"/>
    <d v="1905-09-24T12:56:32"/>
    <d v="1899-12-30T00:38:24"/>
    <d v="1899-12-30T00:00:00"/>
    <n v="0"/>
    <n v="1"/>
    <n v="0"/>
    <n v="0.4"/>
    <n v="1"/>
    <n v="0.33333333333333331"/>
    <n v="8.3333333333333329E-2"/>
    <d v="1899-12-30T01:36:49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75"/>
    <n v="75"/>
    <n v="70"/>
    <n v="1"/>
    <n v="370"/>
    <n v="0.98648648648648651"/>
    <n v="0.19729729729729731"/>
    <n v="3.6"/>
    <n v="74"/>
    <n v="0.69403544234611181"/>
    <s v="Terminated"/>
    <s v="Terminated"/>
    <x v="3"/>
  </r>
  <r>
    <n v="267"/>
    <s v="Muhamad Reza Maulana"/>
    <s v="IDH20044"/>
    <s v="Senior engineer"/>
    <s v="Tegal"/>
    <s v="Region 2"/>
    <s v="GSS"/>
    <d v="2019-02-18T00:00:00"/>
    <d v="2024-10-31T00:00:00"/>
    <s v="5 Tahun 10 Bulan 1 Hari "/>
    <n v="2082"/>
    <n v="211"/>
    <n v="4"/>
    <n v="1615"/>
    <n v="403.75"/>
    <n v="369"/>
    <n v="0.8"/>
    <n v="4"/>
    <n v="0.9139318885448916"/>
    <n v="0.18278637770897832"/>
    <d v="1920-01-18T04:14:02"/>
    <d v="1931-01-18T21:18:13"/>
    <d v="1899-12-30T00:00:00"/>
    <n v="0"/>
    <n v="0"/>
    <n v="0"/>
    <n v="0"/>
    <n v="0"/>
    <n v="0"/>
    <n v="0"/>
    <d v="1899-12-30T01:19:19"/>
    <n v="1"/>
    <n v="4"/>
    <n v="0.8"/>
    <n v="0.2"/>
    <n v="1"/>
    <n v="1"/>
    <n v="1"/>
    <n v="1"/>
    <n v="0"/>
    <n v="1"/>
    <n v="0"/>
    <n v="1"/>
    <n v="1"/>
    <n v="6"/>
    <n v="0.75"/>
    <n v="0.11249999999999999"/>
    <n v="75"/>
    <n v="75"/>
    <n v="80"/>
    <n v="80"/>
    <n v="80"/>
    <n v="0.8"/>
    <n v="390"/>
    <n v="0.98717948717948723"/>
    <n v="0.19743589743589746"/>
    <n v="3.5999999999999996"/>
    <n v="78"/>
    <n v="0.69272227514487583"/>
    <s v="Cukup"/>
    <s v="Stay"/>
    <x v="0"/>
  </r>
  <r>
    <n v="268"/>
    <s v="Rian Nurhidayat"/>
    <s v="IDH80087"/>
    <s v="Associate engineer"/>
    <s v="Cirebon"/>
    <s v="Region 2"/>
    <s v="IMPACT"/>
    <d v="2023-09-04T00:00:00"/>
    <d v="2024-10-31T00:00:00"/>
    <s v="1 Tahun 3 Bulan 15 Hari "/>
    <n v="423"/>
    <n v="332"/>
    <n v="6"/>
    <n v="2281"/>
    <n v="380.16666666666669"/>
    <n v="423"/>
    <n v="1"/>
    <n v="5"/>
    <n v="1.1126698816308636"/>
    <n v="0.22253397632617272"/>
    <d v="1901-09-21T09:23:46"/>
    <d v="1899-12-30T00:35:43"/>
    <d v="1899-12-30T00:00:00"/>
    <n v="0"/>
    <n v="1"/>
    <n v="0"/>
    <n v="0.4"/>
    <n v="1"/>
    <n v="0.33333333333333331"/>
    <n v="8.3333333333333329E-2"/>
    <d v="1899-12-30T02:58:02"/>
    <n v="0.75"/>
    <n v="3"/>
    <n v="0.6"/>
    <n v="0.15"/>
    <n v="1"/>
    <n v="1"/>
    <n v="0"/>
    <n v="0"/>
    <n v="0"/>
    <n v="0"/>
    <n v="0"/>
    <n v="0"/>
    <n v="0.4"/>
    <n v="2"/>
    <n v="0.25"/>
    <n v="3.7499999999999999E-2"/>
    <n v="75"/>
    <n v="75"/>
    <n v="80"/>
    <n v="80"/>
    <n v="80"/>
    <n v="0.8"/>
    <n v="390"/>
    <n v="0.98717948717948723"/>
    <n v="0.19743589743589746"/>
    <n v="3.3499999999999996"/>
    <n v="78"/>
    <n v="0.69080320709540355"/>
    <s v="Cukup"/>
    <s v="Stay"/>
    <x v="2"/>
  </r>
  <r>
    <n v="269"/>
    <s v="Renaldo Dio Undari"/>
    <s v="IDH50029"/>
    <s v="Senior engineer"/>
    <s v="Malang"/>
    <s v="Region 2"/>
    <s v="SIPRAMA"/>
    <d v="2021-02-01T00:00:00"/>
    <d v="2024-10-31T00:00:00"/>
    <s v="3 Tahun 10 Bulan 18 Hari "/>
    <n v="1368"/>
    <n v="329"/>
    <n v="6"/>
    <n v="2587"/>
    <n v="431.16666666666669"/>
    <n v="428"/>
    <n v="0.8"/>
    <n v="4"/>
    <n v="0.99265558562040968"/>
    <n v="0.19853111712408195"/>
    <d v="1966-04-12T10:00:40"/>
    <d v="1999-07-03T16:02:17"/>
    <d v="1899-12-30T00:00:00"/>
    <n v="0"/>
    <n v="0"/>
    <n v="0"/>
    <n v="0"/>
    <n v="0"/>
    <n v="0"/>
    <n v="0"/>
    <d v="1899-12-30T01:23:09"/>
    <n v="1"/>
    <n v="4"/>
    <n v="0.8"/>
    <n v="0.2"/>
    <n v="1"/>
    <n v="1"/>
    <n v="1"/>
    <n v="1"/>
    <n v="0"/>
    <n v="1"/>
    <n v="0"/>
    <n v="0"/>
    <n v="1"/>
    <n v="5"/>
    <n v="0.625"/>
    <n v="9.375E-2"/>
    <n v="75"/>
    <n v="75"/>
    <n v="80"/>
    <n v="85"/>
    <n v="80"/>
    <n v="0.8"/>
    <n v="395"/>
    <n v="0.98734177215189878"/>
    <n v="0.19746835443037977"/>
    <n v="3.5999999999999996"/>
    <n v="79"/>
    <n v="0.68974947155446176"/>
    <s v="Cukup"/>
    <s v="Stay"/>
    <x v="0"/>
  </r>
  <r>
    <n v="270"/>
    <s v="Rafi Fredy Septianto"/>
    <s v="IDH80059"/>
    <s v="Associate engineer"/>
    <s v="Jakarta 2"/>
    <s v="Region 1"/>
    <s v="IMPACT"/>
    <d v="2023-05-29T00:00:00"/>
    <d v="2024-10-31T00:00:00"/>
    <s v="1 Tahun 6 Bulan 20 Hari "/>
    <n v="521"/>
    <n v="893"/>
    <n v="17"/>
    <n v="6172"/>
    <n v="363.05882352941177"/>
    <n v="393"/>
    <n v="1"/>
    <n v="5"/>
    <n v="1.0824692158133506"/>
    <n v="0.21649384316267015"/>
    <d v="1943-05-05T23:16:35"/>
    <d v="1899-12-30T00:00:00"/>
    <d v="1899-12-30T00:00:00"/>
    <n v="0"/>
    <n v="0"/>
    <n v="0"/>
    <n v="0"/>
    <n v="0"/>
    <n v="0"/>
    <n v="0"/>
    <d v="1899-12-30T01:31:49"/>
    <n v="1"/>
    <n v="4"/>
    <n v="0.8"/>
    <n v="0.2"/>
    <n v="1"/>
    <n v="1"/>
    <n v="1"/>
    <n v="0"/>
    <n v="0"/>
    <n v="1"/>
    <n v="0"/>
    <n v="0"/>
    <n v="0.8"/>
    <n v="4"/>
    <n v="0.5"/>
    <n v="7.4999999999999997E-2"/>
    <n v="75"/>
    <n v="75"/>
    <n v="90"/>
    <n v="85"/>
    <n v="80"/>
    <n v="0.8"/>
    <n v="405"/>
    <n v="0.98765432098765427"/>
    <n v="0.19753086419753085"/>
    <n v="3.5999999999999996"/>
    <n v="81"/>
    <n v="0.68902470736020094"/>
    <s v="Cukup"/>
    <s v="Stay"/>
    <x v="2"/>
  </r>
  <r>
    <n v="271"/>
    <s v="Hamzah Dwi Aryanto"/>
    <s v="IDH60054"/>
    <s v="Engineer"/>
    <s v="Malang"/>
    <s v="Region 2"/>
    <s v="CITIUS"/>
    <d v="2022-03-01T00:00:00"/>
    <d v="2024-10-31T00:00:00"/>
    <s v="2 Tahun 9 Bulan 18 Hari "/>
    <n v="975"/>
    <n v="329"/>
    <n v="6"/>
    <n v="2587"/>
    <n v="431.16666666666669"/>
    <n v="505"/>
    <n v="1"/>
    <n v="5"/>
    <n v="1.1712408194820254"/>
    <n v="0.2342481638964051"/>
    <d v="1922-01-12T20:54:05"/>
    <d v="1962-04-11T22:28:25"/>
    <d v="1899-12-30T00:00:00"/>
    <n v="0"/>
    <n v="0"/>
    <n v="0"/>
    <n v="0"/>
    <n v="0"/>
    <n v="0"/>
    <n v="0"/>
    <d v="1899-12-30T01:49:59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3.4000000000000004"/>
    <n v="78"/>
    <n v="0.68793406133230262"/>
    <s v="Cukup"/>
    <s v="Stay"/>
    <x v="1"/>
  </r>
  <r>
    <n v="272"/>
    <s v="Syahroni"/>
    <s v="IDH80082"/>
    <s v="Associate engineer"/>
    <s v="Jakarta 2"/>
    <s v="Region 1"/>
    <s v="IMPACT"/>
    <d v="2023-11-13T00:00:00"/>
    <d v="2024-10-31T00:00:00"/>
    <s v="1 Tahun 1 Bulan 6 Hari "/>
    <n v="353"/>
    <n v="893"/>
    <n v="14"/>
    <n v="6172"/>
    <n v="440.85714285714283"/>
    <n v="433"/>
    <n v="0.8"/>
    <n v="4"/>
    <n v="0.9821775761503565"/>
    <n v="0.1964355152300713"/>
    <d v="1903-07-22T14:35:48"/>
    <d v="1899-12-30T00:00:00"/>
    <d v="1899-12-30T00:00:00"/>
    <n v="0"/>
    <n v="0"/>
    <n v="0"/>
    <n v="0"/>
    <n v="0"/>
    <n v="0"/>
    <n v="0"/>
    <d v="1899-12-30T01:05:03"/>
    <n v="1"/>
    <n v="4"/>
    <n v="0.8"/>
    <n v="0.2"/>
    <n v="1"/>
    <n v="1"/>
    <n v="1"/>
    <n v="0"/>
    <n v="0"/>
    <n v="1"/>
    <n v="0"/>
    <n v="1"/>
    <n v="1"/>
    <n v="5"/>
    <n v="0.625"/>
    <n v="9.375E-2"/>
    <n v="75"/>
    <n v="75"/>
    <n v="90"/>
    <n v="85"/>
    <n v="80"/>
    <n v="0.8"/>
    <n v="405"/>
    <n v="0.98765432098765427"/>
    <n v="0.19753086419753085"/>
    <n v="3.5999999999999996"/>
    <n v="81"/>
    <n v="0.68771637942760222"/>
    <s v="New CE"/>
    <s v="Stay"/>
    <x v="2"/>
  </r>
  <r>
    <n v="273"/>
    <s v="Jihad Fuadi"/>
    <s v="IDH60002"/>
    <s v="Engineer"/>
    <s v="Tangerang"/>
    <s v="Region 1"/>
    <s v="CITIUS"/>
    <d v="2021-08-23T00:00:00"/>
    <d v="2024-10-31T00:00:00"/>
    <s v="3 Tahun 3 Bulan 26 Hari "/>
    <n v="1165"/>
    <n v="760"/>
    <n v="13"/>
    <n v="5863"/>
    <n v="451"/>
    <n v="482"/>
    <n v="1"/>
    <n v="5"/>
    <n v="1.0687361419068737"/>
    <n v="0.21374722838137475"/>
    <d v="1909-05-18T22:28:39"/>
    <d v="1899-12-30T00:00:00"/>
    <d v="1899-12-30T00:00:00"/>
    <n v="0"/>
    <n v="0"/>
    <n v="0"/>
    <n v="0"/>
    <n v="0"/>
    <n v="0"/>
    <n v="0"/>
    <d v="1899-12-30T01:06:25"/>
    <n v="1"/>
    <n v="4"/>
    <n v="0.8"/>
    <n v="0.2"/>
    <n v="1"/>
    <n v="1"/>
    <n v="1"/>
    <n v="1"/>
    <n v="0"/>
    <n v="0"/>
    <n v="0"/>
    <n v="0"/>
    <n v="0.8"/>
    <n v="4"/>
    <n v="0.5"/>
    <n v="7.4999999999999997E-2"/>
    <n v="75"/>
    <n v="75"/>
    <n v="90"/>
    <n v="90"/>
    <n v="75"/>
    <n v="0.8"/>
    <n v="405"/>
    <n v="0.98765432098765427"/>
    <n v="0.19753086419753085"/>
    <n v="3.5999999999999996"/>
    <n v="81"/>
    <n v="0.6862780925789056"/>
    <s v="Cukup"/>
    <s v="Stay"/>
    <x v="1"/>
  </r>
  <r>
    <n v="274"/>
    <s v="Mugty Ardiyanto"/>
    <s v="IDH70111"/>
    <s v="Associate engineer"/>
    <s v="Tasikmalaya"/>
    <s v="Region 2"/>
    <s v="SIPRAMA"/>
    <d v="2024-01-15T00:00:00"/>
    <d v="2024-10-31T00:00:00"/>
    <s v="0 Tahun 11 Bulan 4 Hari "/>
    <n v="290"/>
    <n v="313"/>
    <n v="6"/>
    <n v="2164"/>
    <n v="360.66666666666669"/>
    <n v="256"/>
    <n v="0.6"/>
    <n v="3"/>
    <n v="0.70979667282809611"/>
    <n v="0.14195933456561924"/>
    <d v="1899-12-30T00:18:23"/>
    <d v="1899-12-30T00:00:00"/>
    <d v="1899-12-30T00:00:00"/>
    <n v="1"/>
    <n v="0"/>
    <n v="0"/>
    <n v="0.4"/>
    <n v="1"/>
    <n v="0.33333333333333331"/>
    <n v="8.3333333333333329E-2"/>
    <d v="1899-12-30T02:03:25"/>
    <n v="0.75"/>
    <n v="3"/>
    <n v="0.6"/>
    <n v="0.15"/>
    <n v="1"/>
    <n v="1"/>
    <n v="1"/>
    <n v="0"/>
    <n v="1"/>
    <n v="1"/>
    <n v="0"/>
    <n v="1"/>
    <n v="1"/>
    <n v="6"/>
    <n v="0.75"/>
    <n v="0.11249999999999999"/>
    <n v="75"/>
    <n v="75"/>
    <n v="80"/>
    <n v="80"/>
    <n v="80"/>
    <n v="0.8"/>
    <n v="390"/>
    <n v="0.98717948717948723"/>
    <n v="0.19743589743589746"/>
    <n v="3.55"/>
    <n v="78"/>
    <n v="0.68522856533484999"/>
    <s v="New CE"/>
    <s v="Stay"/>
    <x v="2"/>
  </r>
  <r>
    <n v="275"/>
    <s v="Mulia"/>
    <s v="IDH80098"/>
    <s v="Associate engineer"/>
    <s v="Aceh"/>
    <s v="Region 3"/>
    <s v="IMPACT"/>
    <d v="2023-09-04T00:00:00"/>
    <d v="2024-10-31T00:00:00"/>
    <s v="1 Tahun 3 Bulan 15 Hari "/>
    <n v="423"/>
    <n v="40"/>
    <n v="1"/>
    <n v="370"/>
    <n v="370"/>
    <n v="307"/>
    <n v="0.8"/>
    <n v="4"/>
    <n v="0.82972972972972969"/>
    <n v="0.16594594594594594"/>
    <d v="1905-05-27T07:15:54"/>
    <d v="1899-12-30T00:00:00"/>
    <d v="1903-10-03T17:03:38"/>
    <n v="0"/>
    <n v="0"/>
    <n v="1"/>
    <n v="0.4"/>
    <n v="1"/>
    <n v="0.33333333333333331"/>
    <n v="8.3333333333333329E-2"/>
    <d v="1899-12-30T01:11:02"/>
    <n v="1"/>
    <n v="4"/>
    <n v="0.8"/>
    <n v="0.2"/>
    <n v="1"/>
    <n v="1"/>
    <n v="0"/>
    <n v="0"/>
    <n v="0"/>
    <n v="0"/>
    <n v="0"/>
    <n v="0"/>
    <n v="0.4"/>
    <n v="2"/>
    <n v="0.25"/>
    <n v="3.7499999999999999E-2"/>
    <n v="75"/>
    <n v="75"/>
    <n v="90"/>
    <n v="85"/>
    <n v="85"/>
    <n v="0.8"/>
    <n v="410"/>
    <n v="0.98780487804878048"/>
    <n v="0.19756097560975611"/>
    <n v="3.4000000000000004"/>
    <n v="82"/>
    <n v="0.68434025488903538"/>
    <s v="Cukup"/>
    <s v="Stay"/>
    <x v="2"/>
  </r>
  <r>
    <n v="276"/>
    <s v="Azwar Harming"/>
    <s v="IDH50001"/>
    <s v="Engineer"/>
    <s v="Makassar"/>
    <s v="Region 3"/>
    <s v="SIPRAMA"/>
    <d v="2019-02-18T00:00:00"/>
    <d v="2024-10-31T00:00:00"/>
    <s v="5 Tahun 10 Bulan 1 Hari "/>
    <n v="2082"/>
    <n v="448"/>
    <n v="7"/>
    <n v="2614"/>
    <n v="373.42857142857144"/>
    <n v="310"/>
    <n v="0.8"/>
    <n v="4"/>
    <n v="0.83014537107880637"/>
    <n v="0.1660290742157613"/>
    <d v="1903-10-09T01:00:22"/>
    <d v="1899-12-30T00:00:00"/>
    <d v="1899-12-30T08:58:22"/>
    <n v="0"/>
    <n v="0"/>
    <n v="1"/>
    <n v="0.4"/>
    <n v="1"/>
    <n v="0.33333333333333331"/>
    <n v="8.3333333333333329E-2"/>
    <d v="1899-12-30T01:26:00"/>
    <n v="1"/>
    <n v="4"/>
    <n v="0.8"/>
    <n v="0.2"/>
    <n v="1"/>
    <n v="1"/>
    <n v="0"/>
    <n v="0"/>
    <n v="0"/>
    <n v="0"/>
    <n v="0"/>
    <n v="0"/>
    <n v="0.4"/>
    <n v="2"/>
    <n v="0.25"/>
    <n v="3.7499999999999999E-2"/>
    <n v="75"/>
    <n v="75"/>
    <n v="75"/>
    <n v="75"/>
    <n v="75"/>
    <n v="0.8"/>
    <n v="375"/>
    <n v="0.98666666666666669"/>
    <n v="0.19733333333333336"/>
    <n v="3.4000000000000004"/>
    <n v="75"/>
    <n v="0.68419574088242796"/>
    <s v="Cukup"/>
    <s v="Stay"/>
    <x v="1"/>
  </r>
  <r>
    <n v="277"/>
    <s v="Mohammad Vicky Firmansyah"/>
    <s v="IDH60074"/>
    <s v="Engineer"/>
    <s v="Malang"/>
    <s v="Region 2"/>
    <s v="CITIUS"/>
    <d v="2022-07-04T00:00:00"/>
    <d v="2024-10-31T00:00:00"/>
    <s v="2 Tahun 5 Bulan 15 Hari "/>
    <n v="850"/>
    <n v="329"/>
    <n v="6"/>
    <n v="2587"/>
    <n v="431.16666666666669"/>
    <n v="422"/>
    <n v="0.8"/>
    <n v="4"/>
    <n v="0.97873985311171241"/>
    <n v="0.1957479706223425"/>
    <d v="1904-04-18T23:48:33"/>
    <d v="1899-12-30T00:25:36"/>
    <d v="1899-12-30T00:00:00"/>
    <n v="0"/>
    <n v="1"/>
    <n v="0"/>
    <n v="0.4"/>
    <n v="1"/>
    <n v="0.33333333333333331"/>
    <n v="8.3333333333333329E-2"/>
    <d v="1899-12-30T02:01:01"/>
    <n v="0.75"/>
    <n v="3"/>
    <n v="0.6"/>
    <n v="0.15"/>
    <n v="1"/>
    <n v="1"/>
    <n v="1"/>
    <n v="0"/>
    <n v="0"/>
    <n v="0"/>
    <n v="0"/>
    <n v="0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3.3500000000000005"/>
    <n v="78"/>
    <n v="0.68276720139157332"/>
    <s v="Cukup"/>
    <s v="Stay"/>
    <x v="1"/>
  </r>
  <r>
    <n v="278"/>
    <s v="Muhammad Ridwan Saleh"/>
    <s v="IDH80043"/>
    <s v="Associate engineer"/>
    <s v="Jakarta 3"/>
    <s v="Region 1"/>
    <s v="IMPACT"/>
    <d v="2023-02-09T00:00:00"/>
    <d v="2024-10-31T00:00:00"/>
    <s v="1 Tahun 10 Bulan 10 Hari "/>
    <n v="630"/>
    <n v="1040"/>
    <n v="17"/>
    <n v="7455"/>
    <n v="438.52941176470586"/>
    <n v="497"/>
    <n v="1"/>
    <n v="5"/>
    <n v="1.1333333333333333"/>
    <n v="0.22666666666666668"/>
    <d v="1902-08-06T11:28:36"/>
    <d v="1899-12-30T00:00:00"/>
    <d v="1899-12-30T00:00:00"/>
    <n v="0"/>
    <n v="0"/>
    <n v="0"/>
    <n v="0"/>
    <n v="0"/>
    <n v="0"/>
    <n v="0"/>
    <d v="1899-12-30T01:10:59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90"/>
    <n v="85"/>
    <n v="80"/>
    <n v="0.8"/>
    <n v="405"/>
    <n v="0.98765432098765427"/>
    <n v="0.19753086419753085"/>
    <n v="3.4000000000000004"/>
    <n v="81"/>
    <n v="0.68044753086419751"/>
    <s v="Cukup"/>
    <s v="Stay"/>
    <x v="2"/>
  </r>
  <r>
    <n v="279"/>
    <s v="Samsul Ma'arif"/>
    <s v="IDH70110"/>
    <s v="Associate engineer"/>
    <s v="Tangerang"/>
    <s v="Region 1"/>
    <s v="SIPRAMA"/>
    <d v="2024-01-15T00:00:00"/>
    <d v="2024-10-31T00:00:00"/>
    <s v="0 Tahun 11 Bulan 4 Hari "/>
    <n v="290"/>
    <n v="760"/>
    <n v="13"/>
    <n v="5863"/>
    <n v="451"/>
    <n v="379"/>
    <n v="0.8"/>
    <n v="4"/>
    <n v="0.84035476718403546"/>
    <n v="0.16807095343680711"/>
    <d v="1903-12-06T05:23:48"/>
    <d v="1899-12-30T00:00:00"/>
    <d v="1899-12-30T00:00:00"/>
    <n v="0"/>
    <n v="0"/>
    <n v="0"/>
    <n v="0"/>
    <n v="0"/>
    <n v="0"/>
    <n v="0"/>
    <d v="1899-12-30T01:28:52"/>
    <n v="1"/>
    <n v="4"/>
    <n v="0.8"/>
    <n v="0.2"/>
    <n v="1"/>
    <n v="1"/>
    <n v="1"/>
    <n v="0"/>
    <n v="1"/>
    <n v="0"/>
    <n v="1"/>
    <n v="1"/>
    <n v="1"/>
    <n v="6"/>
    <n v="0.75"/>
    <n v="0.11249999999999999"/>
    <n v="75"/>
    <n v="75"/>
    <n v="90"/>
    <n v="85"/>
    <n v="80"/>
    <n v="0.8"/>
    <n v="405"/>
    <n v="0.98765432098765427"/>
    <n v="0.19753086419753085"/>
    <n v="3.5999999999999996"/>
    <n v="81"/>
    <n v="0.67810181763433797"/>
    <s v="New CE"/>
    <s v="Stay"/>
    <x v="2"/>
  </r>
  <r>
    <n v="280"/>
    <s v="Matin Razaaq"/>
    <s v="IDH80055"/>
    <s v="Associate engineer"/>
    <s v="Jakarta 1"/>
    <s v="Region 1"/>
    <s v="IMPACT"/>
    <d v="2023-05-29T00:00:00"/>
    <d v="2024-10-31T00:00:00"/>
    <s v="1 Tahun 6 Bulan 20 Hari "/>
    <n v="521"/>
    <n v="897"/>
    <n v="13"/>
    <n v="6212"/>
    <n v="477.84615384615387"/>
    <n v="534"/>
    <n v="1"/>
    <n v="5"/>
    <n v="1.1175144880875725"/>
    <n v="0.22350289761751452"/>
    <d v="1902-06-10T07:34:49"/>
    <d v="1899-12-30T00:00:00"/>
    <d v="1899-12-30T00:00:00"/>
    <n v="0"/>
    <n v="0"/>
    <n v="0"/>
    <n v="0"/>
    <n v="0"/>
    <n v="0"/>
    <n v="0"/>
    <d v="1899-12-30T01:52:42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90"/>
    <n v="85"/>
    <n v="80"/>
    <n v="0.8"/>
    <n v="405"/>
    <n v="0.98765432098765427"/>
    <n v="0.19753086419753085"/>
    <n v="3.4000000000000004"/>
    <n v="81"/>
    <n v="0.67728376181504535"/>
    <s v="Cukup"/>
    <s v="Stay"/>
    <x v="2"/>
  </r>
  <r>
    <n v="281"/>
    <s v="Juan Elfredo Sianturi"/>
    <s v="IDH80100"/>
    <s v="Associate engineer"/>
    <s v="Serang"/>
    <s v="Region 1"/>
    <s v="IMPACT"/>
    <d v="2023-09-04T00:00:00"/>
    <d v="2024-10-31T00:00:00"/>
    <s v="1 Tahun 3 Bulan 15 Hari "/>
    <n v="423"/>
    <n v="218"/>
    <n v="4"/>
    <n v="1692"/>
    <n v="423"/>
    <n v="399"/>
    <n v="0.8"/>
    <n v="4"/>
    <n v="0.94326241134751776"/>
    <n v="0.18865248226950357"/>
    <d v="1907-08-12T08:19:17"/>
    <d v="1915-07-23T06:45:49"/>
    <d v="1899-12-30T00:01:10"/>
    <n v="0"/>
    <n v="0"/>
    <n v="1"/>
    <n v="0.4"/>
    <n v="1"/>
    <n v="0.33333333333333331"/>
    <n v="8.3333333333333329E-2"/>
    <d v="1899-12-30T02:00:51"/>
    <n v="0.75"/>
    <n v="3"/>
    <n v="0.6"/>
    <n v="0.15"/>
    <n v="1"/>
    <n v="1"/>
    <n v="1"/>
    <n v="0"/>
    <n v="0"/>
    <n v="0"/>
    <n v="0"/>
    <n v="0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3.3500000000000005"/>
    <n v="78"/>
    <n v="0.67567171303873441"/>
    <s v="Cukup"/>
    <s v="Stay"/>
    <x v="2"/>
  </r>
  <r>
    <n v="282"/>
    <s v="Andrew Hendradi"/>
    <s v="IDH90001"/>
    <s v="Associate engineer"/>
    <s v="Jakarta 1"/>
    <s v="Region 1"/>
    <s v="GSS"/>
    <d v="2023-09-04T00:00:00"/>
    <d v="2024-10-31T00:00:00"/>
    <s v="1 Tahun 3 Bulan 15 Hari "/>
    <n v="423"/>
    <n v="897"/>
    <n v="13"/>
    <n v="6212"/>
    <n v="477.84615384615387"/>
    <n v="527"/>
    <n v="1"/>
    <n v="5"/>
    <n v="1.102865421764327"/>
    <n v="0.22057308435286541"/>
    <d v="1901-06-12T03:38:43"/>
    <d v="1899-12-30T00:00:00"/>
    <d v="1899-12-30T00:00:00"/>
    <n v="0"/>
    <n v="0"/>
    <n v="0"/>
    <n v="0"/>
    <n v="0"/>
    <n v="0"/>
    <n v="0"/>
    <d v="1899-12-30T01:34:31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90"/>
    <n v="85"/>
    <n v="80"/>
    <n v="0.8"/>
    <n v="405"/>
    <n v="0.98765432098765427"/>
    <n v="0.19753086419753085"/>
    <n v="3.4000000000000004"/>
    <n v="81"/>
    <n v="0.67435394855039632"/>
    <s v="Cukup"/>
    <s v="Stay"/>
    <x v="2"/>
  </r>
  <r>
    <n v="283"/>
    <s v="Nahar Fathurrohman"/>
    <s v="IDH30036"/>
    <s v="Senior engineer"/>
    <s v="Bekasi"/>
    <s v="Region 1"/>
    <s v="SIPRAMA"/>
    <d v="2018-10-15T00:00:00"/>
    <d v="2024-10-31T00:00:00"/>
    <s v="6 Tahun 2 Bulan 4 Hari "/>
    <n v="2208"/>
    <n v="510"/>
    <n v="9"/>
    <n v="3962"/>
    <n v="440.22222222222223"/>
    <n v="485"/>
    <n v="1"/>
    <n v="5"/>
    <n v="1.1017163048965168"/>
    <n v="0.22034326097930337"/>
    <d v="1906-02-24T04:13:37"/>
    <d v="1899-12-30T00:00:00"/>
    <d v="1899-12-30T00:00:00"/>
    <n v="0"/>
    <n v="0"/>
    <n v="0"/>
    <n v="0"/>
    <n v="0"/>
    <n v="0"/>
    <n v="0"/>
    <d v="1899-12-30T01:09:04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90"/>
    <n v="90"/>
    <n v="90"/>
    <n v="0.8"/>
    <n v="420"/>
    <n v="0.98809523809523814"/>
    <n v="0.19761904761904764"/>
    <n v="3.4000000000000004"/>
    <n v="84"/>
    <n v="0.67421230859835113"/>
    <s v="Cukup"/>
    <s v="Stay"/>
    <x v="0"/>
  </r>
  <r>
    <n v="284"/>
    <s v="Yogi Prasetyo"/>
    <s v="IDH20017"/>
    <s v="Senior engineer"/>
    <s v="Jakarta 1"/>
    <s v="Region 1"/>
    <s v="SIPRAMA"/>
    <d v="2016-03-04T00:00:00"/>
    <d v="2024-10-31T00:00:00"/>
    <s v="8 Tahun 9 Bulan 15 Hari "/>
    <n v="3163"/>
    <n v="897"/>
    <n v="13"/>
    <n v="6212"/>
    <n v="477.84615384615387"/>
    <n v="479"/>
    <n v="1"/>
    <n v="5"/>
    <n v="1.0024146812620733"/>
    <n v="0.20048293625241467"/>
    <d v="1956-07-10T11:59:24"/>
    <d v="1899-12-30T00:00:00"/>
    <d v="1899-12-30T00:00:00"/>
    <n v="0"/>
    <n v="0"/>
    <n v="0"/>
    <n v="0"/>
    <n v="0"/>
    <n v="0"/>
    <n v="0"/>
    <d v="1899-12-30T01:57:51"/>
    <n v="1"/>
    <n v="4"/>
    <n v="0.8"/>
    <n v="0.2"/>
    <n v="1"/>
    <n v="1"/>
    <n v="1"/>
    <n v="0"/>
    <n v="0"/>
    <n v="1"/>
    <n v="0"/>
    <n v="0"/>
    <n v="0.8"/>
    <n v="4"/>
    <n v="0.5"/>
    <n v="7.4999999999999997E-2"/>
    <n v="75"/>
    <n v="75"/>
    <n v="90"/>
    <n v="80"/>
    <n v="90"/>
    <n v="0.8"/>
    <n v="410"/>
    <n v="0.98780487804878048"/>
    <n v="0.19756097560975611"/>
    <n v="3.5999999999999996"/>
    <n v="82"/>
    <n v="0.67304391186217083"/>
    <s v="Cukup"/>
    <s v="Stay"/>
    <x v="0"/>
  </r>
  <r>
    <n v="285"/>
    <s v="Moh. Rosyid"/>
    <s v="IDH60012"/>
    <s v="Engineer"/>
    <s v="Kendari"/>
    <s v="Region 3"/>
    <s v="CITIUS"/>
    <d v="2021-08-23T00:00:00"/>
    <d v="2024-10-31T00:00:00"/>
    <s v="3 Tahun 3 Bulan 26 Hari "/>
    <n v="1165"/>
    <n v="109"/>
    <n v="2"/>
    <n v="853"/>
    <n v="426.5"/>
    <n v="396"/>
    <n v="0.8"/>
    <n v="4"/>
    <n v="0.92848769050410318"/>
    <n v="0.18569753810082065"/>
    <d v="1913-10-26T22:04:55"/>
    <d v="1931-02-13T07:22:09"/>
    <d v="1924-11-14T12:25:45"/>
    <n v="0"/>
    <n v="0"/>
    <n v="1"/>
    <n v="0.4"/>
    <n v="1"/>
    <n v="0.33333333333333331"/>
    <n v="8.3333333333333329E-2"/>
    <d v="1899-12-30T02:54:41"/>
    <n v="0.75"/>
    <n v="3"/>
    <n v="0.6"/>
    <n v="0.15"/>
    <n v="1"/>
    <n v="1"/>
    <n v="1"/>
    <n v="0"/>
    <n v="0"/>
    <n v="0"/>
    <n v="0"/>
    <n v="0"/>
    <n v="0.6"/>
    <n v="3"/>
    <n v="0.375"/>
    <n v="5.6249999999999994E-2"/>
    <n v="75"/>
    <n v="75"/>
    <n v="80"/>
    <n v="85"/>
    <n v="80"/>
    <n v="0.8"/>
    <n v="395"/>
    <n v="0.98734177215189878"/>
    <n v="0.19746835443037977"/>
    <n v="3.3500000000000005"/>
    <n v="79"/>
    <n v="0.67274922586453378"/>
    <s v="Cukup"/>
    <s v="Stay"/>
    <x v="1"/>
  </r>
  <r>
    <n v="286"/>
    <s v="Muhammad Gusti Agung"/>
    <s v="IDH80070"/>
    <s v="Associate engineer"/>
    <s v="Payakumbuh"/>
    <s v="Region 3"/>
    <s v="IMPACT"/>
    <d v="2023-07-24T00:00:00"/>
    <d v="2024-10-31T00:00:00"/>
    <s v="1 Tahun 4 Bulan 25 Hari "/>
    <n v="465"/>
    <n v="90"/>
    <n v="2"/>
    <n v="587"/>
    <n v="293.5"/>
    <n v="223"/>
    <n v="0.6"/>
    <n v="3"/>
    <n v="0.75979557069846682"/>
    <n v="0.15195911413969337"/>
    <d v="1903-07-24T23:42:44"/>
    <d v="1899-12-30T01:43:09"/>
    <d v="1899-12-30T00:51:06"/>
    <n v="0"/>
    <n v="1"/>
    <n v="1"/>
    <n v="0.8"/>
    <n v="2"/>
    <n v="0.66666666666666663"/>
    <n v="0.16666666666666666"/>
    <d v="1899-12-30T03:23:17"/>
    <n v="0.5"/>
    <n v="2"/>
    <n v="0.4"/>
    <n v="0.1"/>
    <n v="1"/>
    <n v="1"/>
    <n v="1"/>
    <n v="0"/>
    <n v="0"/>
    <n v="0"/>
    <n v="0"/>
    <n v="0"/>
    <n v="0.6"/>
    <n v="3"/>
    <n v="0.375"/>
    <n v="5.6249999999999994E-2"/>
    <n v="75"/>
    <n v="75"/>
    <n v="85"/>
    <n v="85"/>
    <n v="85"/>
    <n v="0.8"/>
    <n v="405"/>
    <n v="0.98765432098765427"/>
    <n v="0.19753086419753085"/>
    <n v="3.3"/>
    <n v="81"/>
    <n v="0.67240664500389091"/>
    <s v="Cukup"/>
    <s v="Stay"/>
    <x v="2"/>
  </r>
  <r>
    <n v="287"/>
    <s v="Aditya Lazari Giri s"/>
    <s v="IDH40133"/>
    <s v="Engineer"/>
    <s v="Tangerang"/>
    <s v="Region 1"/>
    <s v="GSS"/>
    <d v="2021-08-02T00:00:00"/>
    <d v="2024-10-31T00:00:00"/>
    <s v="3 Tahun 4 Bulan 17 Hari "/>
    <n v="1186"/>
    <n v="760"/>
    <n v="13"/>
    <n v="5863"/>
    <n v="451"/>
    <n v="375"/>
    <n v="0.8"/>
    <n v="4"/>
    <n v="0.83148558758314861"/>
    <n v="0.16629711751662973"/>
    <d v="1912-10-30T12:29:31"/>
    <d v="1899-12-30T00:00:00"/>
    <d v="1899-12-30T00:00:00"/>
    <n v="0"/>
    <n v="0"/>
    <n v="0"/>
    <n v="0"/>
    <n v="0"/>
    <n v="0"/>
    <n v="0"/>
    <d v="1899-12-30T00:41:05"/>
    <n v="1.25"/>
    <n v="5"/>
    <n v="1"/>
    <n v="0.25"/>
    <n v="1"/>
    <n v="1"/>
    <n v="1"/>
    <n v="0"/>
    <n v="0"/>
    <n v="0"/>
    <n v="0"/>
    <n v="0"/>
    <n v="0.6"/>
    <n v="3"/>
    <n v="0.375"/>
    <n v="5.6249999999999994E-2"/>
    <n v="75"/>
    <n v="75"/>
    <n v="90"/>
    <n v="90"/>
    <n v="80"/>
    <n v="0.8"/>
    <n v="410"/>
    <n v="0.98780487804878048"/>
    <n v="0.19756097560975611"/>
    <n v="3.45"/>
    <n v="82"/>
    <n v="0.67010809312638586"/>
    <s v="Cukup"/>
    <s v="Stay"/>
    <x v="1"/>
  </r>
  <r>
    <n v="288"/>
    <s v="Muhammad Latif Arifin"/>
    <s v="IDH70109"/>
    <s v="Associate engineer"/>
    <s v="Bekasi"/>
    <s v="Region 1"/>
    <s v="SIPRAMA"/>
    <d v="2024-01-15T00:00:00"/>
    <d v="2024-10-31T00:00:00"/>
    <s v="0 Tahun 11 Bulan 4 Hari "/>
    <n v="290"/>
    <n v="510"/>
    <n v="9"/>
    <n v="3962"/>
    <n v="440.22222222222223"/>
    <n v="290"/>
    <n v="0.6"/>
    <n v="3"/>
    <n v="0.65875820292781417"/>
    <n v="0.13175164058556285"/>
    <d v="1899-12-30T00:24:45"/>
    <d v="1899-12-30T00:00:00"/>
    <d v="1899-12-30T00:00:00"/>
    <n v="1"/>
    <n v="0"/>
    <n v="0"/>
    <n v="0.4"/>
    <n v="1"/>
    <n v="0.33333333333333331"/>
    <n v="8.3333333333333329E-2"/>
    <d v="1899-12-30T01:35:54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90"/>
    <n v="85"/>
    <n v="80"/>
    <n v="0.8"/>
    <n v="405"/>
    <n v="0.98765432098765427"/>
    <n v="0.19753086419753085"/>
    <n v="3.4000000000000004"/>
    <n v="81"/>
    <n v="0.66886583811642708"/>
    <s v="New CE"/>
    <s v="Stay"/>
    <x v="2"/>
  </r>
  <r>
    <n v="289"/>
    <s v="Jose Geraldo Hutayan"/>
    <s v="IDH70060"/>
    <s v="Associate engineer"/>
    <s v="Jakarta 1"/>
    <s v="Region 1"/>
    <s v="SIPRAMA"/>
    <d v="2022-11-17T00:00:00"/>
    <d v="2024-10-31T00:00:00"/>
    <s v="2 Tahun 1 Bulan 2 Hari "/>
    <n v="714"/>
    <n v="897"/>
    <n v="13"/>
    <n v="6212"/>
    <n v="477.84615384615387"/>
    <n v="505"/>
    <n v="1"/>
    <n v="5"/>
    <n v="1.0568254990341275"/>
    <n v="0.2113650998068255"/>
    <d v="1905-03-18T18:32:46"/>
    <d v="1931-01-11T00:40:55"/>
    <d v="1899-12-30T00:00:00"/>
    <n v="0"/>
    <n v="0"/>
    <n v="0"/>
    <n v="0"/>
    <n v="0"/>
    <n v="0"/>
    <n v="0"/>
    <d v="1899-12-30T01:36:23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90"/>
    <n v="85"/>
    <n v="80"/>
    <n v="0.8"/>
    <n v="405"/>
    <n v="0.98765432098765427"/>
    <n v="0.19753086419753085"/>
    <n v="3.4000000000000004"/>
    <n v="81"/>
    <n v="0.66514596400435633"/>
    <s v="Cukup"/>
    <s v="Stay"/>
    <x v="2"/>
  </r>
  <r>
    <n v="290"/>
    <s v="Dedi Arif Rahman"/>
    <s v="IDH80052"/>
    <s v="Associate engineer"/>
    <s v="Malang"/>
    <s v="Region 2"/>
    <s v="IMPACT"/>
    <d v="2023-05-29T00:00:00"/>
    <d v="2024-10-31T00:00:00"/>
    <s v="1 Tahun 6 Bulan 20 Hari "/>
    <n v="521"/>
    <n v="329"/>
    <n v="6"/>
    <n v="2587"/>
    <n v="431.16666666666669"/>
    <n v="487"/>
    <n v="1"/>
    <n v="5"/>
    <n v="1.1294936219559335"/>
    <n v="0.22589872439118672"/>
    <d v="1929-07-31T04:54:27"/>
    <d v="1924-11-26T14:04:32"/>
    <d v="1899-12-30T00:00:00"/>
    <n v="0"/>
    <n v="0"/>
    <n v="0"/>
    <n v="0"/>
    <n v="0"/>
    <n v="0"/>
    <n v="0"/>
    <d v="1899-12-30T01:47:22"/>
    <n v="1"/>
    <n v="4"/>
    <n v="0.8"/>
    <n v="0.2"/>
    <n v="1"/>
    <n v="1"/>
    <n v="0"/>
    <n v="0"/>
    <n v="0"/>
    <n v="0"/>
    <n v="0"/>
    <n v="0"/>
    <n v="0.4"/>
    <n v="2"/>
    <n v="0.25"/>
    <n v="3.7499999999999999E-2"/>
    <n v="75"/>
    <n v="75"/>
    <n v="80"/>
    <n v="80"/>
    <n v="80"/>
    <n v="0.8"/>
    <n v="390"/>
    <n v="0.98717948717948723"/>
    <n v="0.19743589743589746"/>
    <n v="3.2"/>
    <n v="78"/>
    <n v="0.66083462182708419"/>
    <s v="Cukup"/>
    <s v="Stay"/>
    <x v="2"/>
  </r>
  <r>
    <n v="291"/>
    <s v="Mudris"/>
    <s v="IDH60062"/>
    <s v="Associate engineer"/>
    <s v="Jakarta 2"/>
    <s v="Region 1"/>
    <s v="CITIUS"/>
    <d v="2022-03-21T00:00:00"/>
    <d v="2024-10-31T00:00:00"/>
    <s v="2 Tahun 8 Bulan 28 Hari "/>
    <n v="955"/>
    <n v="893"/>
    <n v="14"/>
    <n v="6172"/>
    <n v="440.85714285714283"/>
    <n v="415"/>
    <n v="0.8"/>
    <n v="4"/>
    <n v="0.94134802333117307"/>
    <n v="0.18826960466623463"/>
    <d v="1901-08-12T17:29:47"/>
    <d v="1899-12-30T00:00:00"/>
    <d v="1899-12-30T00:00:00"/>
    <n v="0"/>
    <n v="0"/>
    <n v="0"/>
    <n v="0"/>
    <n v="0"/>
    <n v="0"/>
    <n v="0"/>
    <d v="1899-12-30T01:36:01"/>
    <n v="1"/>
    <n v="4"/>
    <n v="0.8"/>
    <n v="0.2"/>
    <n v="1"/>
    <n v="1"/>
    <n v="1"/>
    <n v="1"/>
    <n v="0"/>
    <n v="0"/>
    <n v="0"/>
    <n v="0"/>
    <n v="0.8"/>
    <n v="4"/>
    <n v="0.5"/>
    <n v="7.4999999999999997E-2"/>
    <n v="75"/>
    <n v="75"/>
    <n v="90"/>
    <n v="85"/>
    <n v="80"/>
    <n v="0.8"/>
    <n v="405"/>
    <n v="0.98765432098765427"/>
    <n v="0.19753086419753085"/>
    <n v="3.4000000000000004"/>
    <n v="81"/>
    <n v="0.66080046886376542"/>
    <s v="Cukup"/>
    <s v="Stay"/>
    <x v="2"/>
  </r>
  <r>
    <n v="292"/>
    <s v="Damas Prassetio"/>
    <s v="IDH60043"/>
    <s v="Engineer"/>
    <s v="Jakarta 3"/>
    <s v="Region 1"/>
    <s v="CITIUS"/>
    <d v="2021-11-29T00:00:00"/>
    <d v="2024-10-31T00:00:00"/>
    <s v="3 Tahun 0 Bulan 20 Hari "/>
    <n v="1067"/>
    <n v="1040"/>
    <n v="17"/>
    <n v="7455"/>
    <n v="438.52941176470586"/>
    <n v="369"/>
    <n v="0.8"/>
    <n v="4"/>
    <n v="0.84144869215291751"/>
    <n v="0.16828973843058351"/>
    <d v="1901-04-09T04:43:00"/>
    <d v="1899-12-30T00:00:00"/>
    <d v="1899-12-30T00:00:00"/>
    <n v="0"/>
    <n v="0"/>
    <n v="0"/>
    <n v="0"/>
    <n v="0"/>
    <n v="0"/>
    <n v="0"/>
    <d v="1899-12-30T01:48:56"/>
    <n v="1"/>
    <n v="4"/>
    <n v="0.8"/>
    <n v="0.2"/>
    <n v="1"/>
    <n v="1"/>
    <n v="1"/>
    <n v="0"/>
    <n v="0"/>
    <n v="0"/>
    <n v="1"/>
    <n v="1"/>
    <n v="1"/>
    <n v="5"/>
    <n v="0.625"/>
    <n v="9.375E-2"/>
    <n v="75"/>
    <n v="75"/>
    <n v="75"/>
    <n v="90"/>
    <n v="75"/>
    <n v="0.8"/>
    <n v="390"/>
    <n v="0.98717948717948723"/>
    <n v="0.19743589743589746"/>
    <n v="3.5999999999999996"/>
    <n v="78"/>
    <n v="0.65947563586648106"/>
    <s v="Cukup"/>
    <s v="Stay"/>
    <x v="1"/>
  </r>
  <r>
    <n v="293"/>
    <s v="Rama Widya Pratama"/>
    <s v="IDH80041"/>
    <s v="Associate engineer"/>
    <s v="Jakarta 2"/>
    <s v="Region 1"/>
    <s v="IMPACT"/>
    <d v="2023-02-09T00:00:00"/>
    <d v="2024-10-31T00:00:00"/>
    <s v="1 Tahun 10 Bulan 10 Hari "/>
    <n v="630"/>
    <n v="893"/>
    <n v="14"/>
    <n v="6172"/>
    <n v="440.85714285714283"/>
    <n v="411"/>
    <n v="0.8"/>
    <n v="4"/>
    <n v="0.93227478937135455"/>
    <n v="0.18645495787427091"/>
    <d v="1909-01-10T15:18:32"/>
    <d v="1899-12-30T00:00:00"/>
    <d v="1899-12-30T00:00:00"/>
    <n v="0"/>
    <n v="0"/>
    <n v="0"/>
    <n v="0"/>
    <n v="0"/>
    <n v="0"/>
    <n v="0"/>
    <d v="1899-12-30T01:00:11"/>
    <n v="1"/>
    <n v="4"/>
    <n v="0.8"/>
    <n v="0.2"/>
    <n v="1"/>
    <n v="1"/>
    <n v="1"/>
    <n v="0"/>
    <n v="0"/>
    <n v="1"/>
    <n v="0"/>
    <n v="0"/>
    <n v="0.8"/>
    <n v="4"/>
    <n v="0.5"/>
    <n v="7.4999999999999997E-2"/>
    <n v="75"/>
    <n v="75"/>
    <n v="90"/>
    <n v="75"/>
    <n v="80"/>
    <n v="0.8"/>
    <n v="395"/>
    <n v="0.98734177215189878"/>
    <n v="0.19746835443037977"/>
    <n v="3.4000000000000004"/>
    <n v="79"/>
    <n v="0.65892331230465073"/>
    <s v="Cukup"/>
    <s v="Stay"/>
    <x v="2"/>
  </r>
  <r>
    <n v="294"/>
    <s v="Ardiansyah"/>
    <s v="IDH30038"/>
    <s v="Senior engineer"/>
    <s v="Medan"/>
    <s v="Region 3"/>
    <s v="GSS"/>
    <d v="2018-01-08T00:00:00"/>
    <d v="2024-10-31T00:00:00"/>
    <s v="6 Tahun 11 Bulan 11 Hari "/>
    <n v="2488"/>
    <n v="684"/>
    <n v="10"/>
    <n v="4972"/>
    <n v="497.2"/>
    <n v="291"/>
    <n v="0.4"/>
    <n v="2"/>
    <n v="0.585277554304103"/>
    <n v="0.11705551086082061"/>
    <d v="1927-03-08T04:41:48"/>
    <d v="1937-04-10T11:43:46"/>
    <d v="1899-12-30T00:00:00"/>
    <n v="0"/>
    <n v="0"/>
    <n v="0"/>
    <n v="0"/>
    <n v="0"/>
    <n v="0"/>
    <n v="0"/>
    <d v="1899-12-30T00:55:00"/>
    <n v="1.25"/>
    <n v="5"/>
    <n v="1"/>
    <n v="0.25"/>
    <n v="1"/>
    <n v="1"/>
    <n v="1"/>
    <n v="0"/>
    <n v="0"/>
    <n v="1"/>
    <n v="0"/>
    <n v="1"/>
    <n v="1"/>
    <n v="5"/>
    <n v="0.625"/>
    <n v="9.375E-2"/>
    <n v="75"/>
    <n v="75"/>
    <n v="80"/>
    <n v="80"/>
    <n v="80"/>
    <n v="0.8"/>
    <n v="390"/>
    <n v="0.98717948717948723"/>
    <n v="0.19743589743589746"/>
    <n v="3.45"/>
    <n v="78"/>
    <n v="0.65824140829671807"/>
    <s v="Cukup"/>
    <s v="Stay"/>
    <x v="0"/>
  </r>
  <r>
    <n v="295"/>
    <s v="Kartono Muhammad"/>
    <s v="IDH40043"/>
    <s v="Engineer"/>
    <s v="Jakarta 3"/>
    <s v="Region 1"/>
    <s v="SIPRAMA"/>
    <d v="2018-10-15T00:00:00"/>
    <d v="2024-10-31T00:00:00"/>
    <s v="6 Tahun 2 Bulan 4 Hari "/>
    <n v="2208"/>
    <n v="1040"/>
    <n v="17"/>
    <n v="7455"/>
    <n v="438.52941176470586"/>
    <n v="399"/>
    <n v="0.8"/>
    <n v="4"/>
    <n v="0.90985915492957747"/>
    <n v="0.18197183098591552"/>
    <d v="1902-02-09T06:22:50"/>
    <d v="1899-12-30T00:00:00"/>
    <d v="1899-12-30T00:00:00"/>
    <n v="0"/>
    <n v="0"/>
    <n v="0"/>
    <n v="0"/>
    <n v="0"/>
    <n v="0"/>
    <n v="0"/>
    <d v="1899-12-30T01:02:04"/>
    <n v="1"/>
    <n v="4"/>
    <n v="0.8"/>
    <n v="0.2"/>
    <n v="1"/>
    <n v="1"/>
    <n v="1"/>
    <n v="1"/>
    <n v="0"/>
    <n v="0"/>
    <n v="0"/>
    <n v="0"/>
    <n v="0.8"/>
    <n v="4"/>
    <n v="0.5"/>
    <n v="7.4999999999999997E-2"/>
    <n v="75"/>
    <n v="75"/>
    <n v="90"/>
    <n v="90"/>
    <n v="65"/>
    <n v="0.8"/>
    <n v="395"/>
    <n v="0.98734177215189878"/>
    <n v="0.19746835443037977"/>
    <n v="3.4000000000000004"/>
    <n v="79"/>
    <n v="0.65444018541629534"/>
    <s v="Cukup"/>
    <s v="Stay"/>
    <x v="1"/>
  </r>
  <r>
    <n v="296"/>
    <s v="Muhammad Ramadhan"/>
    <s v="IDH60090"/>
    <s v="Associate engineer"/>
    <s v="Jakarta 3"/>
    <s v="Region 1"/>
    <s v="CITIUS"/>
    <d v="2022-08-22T00:00:00"/>
    <d v="2024-10-31T00:00:00"/>
    <s v="2 Tahun 3 Bulan 27 Hari "/>
    <n v="801"/>
    <n v="1040"/>
    <n v="17"/>
    <n v="7455"/>
    <n v="438.52941176470586"/>
    <n v="437"/>
    <n v="0.8"/>
    <n v="4"/>
    <n v="0.99651240778001349"/>
    <n v="0.19930248155600272"/>
    <d v="1909-01-23T17:46:33"/>
    <d v="1899-12-30T00:00:00"/>
    <d v="1899-12-30T00:00:00"/>
    <n v="0"/>
    <n v="0"/>
    <n v="0"/>
    <n v="0"/>
    <n v="0"/>
    <n v="0"/>
    <n v="0"/>
    <d v="1899-12-30T01:52:56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90"/>
    <n v="85"/>
    <n v="80"/>
    <n v="0.8"/>
    <n v="405"/>
    <n v="0.98765432098765427"/>
    <n v="0.19753086419753085"/>
    <n v="3.2"/>
    <n v="81"/>
    <n v="0.65308334575353355"/>
    <s v="Cukup"/>
    <s v="Stay"/>
    <x v="2"/>
  </r>
  <r>
    <n v="297"/>
    <s v="Novaely Rachman"/>
    <s v="IDH60041"/>
    <s v="Senior engineer"/>
    <s v="Mataram"/>
    <s v="Region 3"/>
    <s v="CITIUS"/>
    <d v="2021-11-08T00:00:00"/>
    <d v="2024-10-31T00:00:00"/>
    <s v="3 Tahun 1 Bulan 11 Hari "/>
    <n v="1088"/>
    <n v="142"/>
    <n v="3"/>
    <n v="1369"/>
    <n v="456.33333333333331"/>
    <n v="454"/>
    <n v="0.8"/>
    <n v="4"/>
    <n v="0.99488677867056252"/>
    <n v="0.19897735573411252"/>
    <d v="1908-06-15T13:28:36"/>
    <d v="1921-12-20T22:30:35"/>
    <d v="1899-12-30T00:00:00"/>
    <n v="0"/>
    <n v="0"/>
    <n v="0"/>
    <n v="0"/>
    <n v="0"/>
    <n v="0"/>
    <n v="0"/>
    <d v="1899-12-30T01:52:38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3.2"/>
    <n v="78"/>
    <n v="0.65266325317001006"/>
    <s v="Cukup"/>
    <s v="Stay"/>
    <x v="0"/>
  </r>
  <r>
    <n v="298"/>
    <s v="Aulia Rahman Hakim"/>
    <s v="IDH40110"/>
    <s v="Engineer"/>
    <s v="Bandung"/>
    <s v="Region 2"/>
    <s v="SIPRAMA"/>
    <d v="2020-11-09T00:00:00"/>
    <d v="2024-10-31T00:00:00"/>
    <s v="4 Tahun 1 Bulan 10 Hari "/>
    <n v="1452"/>
    <n v="872"/>
    <n v="15"/>
    <n v="5975"/>
    <n v="398.33333333333331"/>
    <n v="396"/>
    <n v="0.8"/>
    <n v="4"/>
    <n v="0.99414225941422596"/>
    <n v="0.1988284518828452"/>
    <d v="1923-10-14T08:38:18"/>
    <d v="1899-12-30T00:00:00"/>
    <d v="1899-12-30T00:00:00"/>
    <n v="0"/>
    <n v="0"/>
    <n v="0"/>
    <n v="0"/>
    <n v="0"/>
    <n v="0"/>
    <n v="0"/>
    <d v="1899-12-30T01:09:36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3.2"/>
    <n v="78"/>
    <n v="0.65251434931874264"/>
    <s v="Cukup"/>
    <s v="Stay"/>
    <x v="1"/>
  </r>
  <r>
    <n v="299"/>
    <s v="Banar Bagas Darujati"/>
    <s v="IDH80064"/>
    <s v="Associate engineer"/>
    <s v="Bekasi"/>
    <s v="Region 1"/>
    <s v="IMPACT"/>
    <d v="2023-07-24T00:00:00"/>
    <d v="2024-10-31T00:00:00"/>
    <s v="1 Tahun 4 Bulan 25 Hari "/>
    <n v="465"/>
    <n v="510"/>
    <n v="9"/>
    <n v="3962"/>
    <n v="440.22222222222223"/>
    <n v="429"/>
    <n v="0.8"/>
    <n v="4"/>
    <n v="0.97450782433114591"/>
    <n v="0.1949015648662292"/>
    <d v="1911-07-01T01:54:04"/>
    <d v="1899-12-30T00:00:00"/>
    <d v="1899-12-30T00:00:00"/>
    <n v="0"/>
    <n v="0"/>
    <n v="0"/>
    <n v="0"/>
    <n v="0"/>
    <n v="0"/>
    <n v="0"/>
    <d v="1899-12-30T01:16:18"/>
    <n v="1"/>
    <n v="4"/>
    <n v="0.8"/>
    <n v="0.2"/>
    <n v="1"/>
    <n v="1"/>
    <n v="0"/>
    <n v="0"/>
    <n v="0"/>
    <n v="1"/>
    <n v="0"/>
    <n v="0"/>
    <n v="0.6"/>
    <n v="3"/>
    <n v="0.375"/>
    <n v="5.6249999999999994E-2"/>
    <n v="75"/>
    <n v="75"/>
    <n v="90"/>
    <n v="85"/>
    <n v="80"/>
    <n v="0.8"/>
    <n v="405"/>
    <n v="0.98765432098765427"/>
    <n v="0.19753086419753085"/>
    <n v="3.2"/>
    <n v="81"/>
    <n v="0.64868242906376006"/>
    <s v="Cukup"/>
    <s v="Stay"/>
    <x v="2"/>
  </r>
  <r>
    <n v="300"/>
    <s v="Bani Rizki Ramadan"/>
    <s v="IDH70058"/>
    <s v="Associate engineer"/>
    <s v="Jakarta 2"/>
    <s v="Region 1"/>
    <s v="SIPRAMA"/>
    <d v="2022-11-17T00:00:00"/>
    <d v="2024-10-31T00:00:00"/>
    <s v="2 Tahun 1 Bulan 2 Hari "/>
    <n v="714"/>
    <n v="893"/>
    <n v="14"/>
    <n v="6172"/>
    <n v="440.85714285714283"/>
    <n v="385"/>
    <n v="0.8"/>
    <n v="4"/>
    <n v="0.87329876863253408"/>
    <n v="0.17465975372650683"/>
    <d v="1912-11-13T23:03:11"/>
    <d v="1899-12-30T00:00:00"/>
    <d v="1899-12-30T00:00:00"/>
    <n v="0"/>
    <n v="0"/>
    <n v="0"/>
    <n v="0"/>
    <n v="0"/>
    <n v="0"/>
    <n v="0"/>
    <d v="1899-12-30T01:16:22"/>
    <n v="1"/>
    <n v="4"/>
    <n v="0.8"/>
    <n v="0.2"/>
    <n v="1"/>
    <n v="1"/>
    <n v="1"/>
    <n v="0"/>
    <n v="0"/>
    <n v="0"/>
    <n v="0"/>
    <n v="1"/>
    <n v="0.8"/>
    <n v="4"/>
    <n v="0.5"/>
    <n v="7.4999999999999997E-2"/>
    <n v="75"/>
    <n v="75"/>
    <n v="90"/>
    <n v="85"/>
    <n v="80"/>
    <n v="0.8"/>
    <n v="405"/>
    <n v="0.98765432098765427"/>
    <n v="0.19753086419753085"/>
    <n v="3.4000000000000004"/>
    <n v="81"/>
    <n v="0.64719061792403765"/>
    <s v="Cukup"/>
    <s v="Stay"/>
    <x v="2"/>
  </r>
  <r>
    <n v="301"/>
    <s v="Muamar Rojali"/>
    <s v="IDH60042"/>
    <s v="Engineer"/>
    <s v="Cikampek"/>
    <s v="Region 2"/>
    <s v="CITIUS"/>
    <d v="2021-11-29T00:00:00"/>
    <d v="2024-10-31T00:00:00"/>
    <s v="3 Tahun 0 Bulan 20 Hari "/>
    <n v="1067"/>
    <n v="304"/>
    <n v="5"/>
    <n v="2111"/>
    <n v="422.2"/>
    <n v="366"/>
    <n v="0.8"/>
    <n v="4"/>
    <n v="0.86688773093320703"/>
    <n v="0.17337754618664142"/>
    <d v="1906-11-28T18:40:34"/>
    <d v="1962-04-03T20:13:12"/>
    <d v="1899-12-30T00:00:00"/>
    <n v="0"/>
    <n v="0"/>
    <n v="0"/>
    <n v="0"/>
    <n v="0"/>
    <n v="0"/>
    <n v="0"/>
    <d v="1899-12-30T01:17:21"/>
    <n v="1"/>
    <n v="4"/>
    <n v="0.8"/>
    <n v="0.2"/>
    <n v="1"/>
    <n v="1"/>
    <n v="0"/>
    <n v="0"/>
    <n v="0"/>
    <n v="1"/>
    <n v="0"/>
    <n v="1"/>
    <n v="0.8"/>
    <n v="4"/>
    <n v="0.5"/>
    <n v="7.4999999999999997E-2"/>
    <n v="75"/>
    <n v="75"/>
    <n v="80"/>
    <n v="80"/>
    <n v="80"/>
    <n v="0.8"/>
    <n v="390"/>
    <n v="0.98717948717948723"/>
    <n v="0.19743589743589746"/>
    <n v="3.4000000000000004"/>
    <n v="78"/>
    <n v="0.6458134436225389"/>
    <s v="Cukup"/>
    <s v="Stay"/>
    <x v="1"/>
  </r>
  <r>
    <n v="302"/>
    <s v="Rahmat Taufiq"/>
    <s v="IDH80076"/>
    <s v="Associate engineer"/>
    <s v="Tarakan"/>
    <s v="Region 3"/>
    <s v="IMPACT"/>
    <d v="2023-07-24T00:00:00"/>
    <d v="2024-10-31T00:00:00"/>
    <s v="1 Tahun 4 Bulan 25 Hari "/>
    <n v="465"/>
    <n v="81"/>
    <n v="2"/>
    <n v="677"/>
    <n v="338.5"/>
    <n v="300"/>
    <n v="0.8"/>
    <n v="4"/>
    <n v="0.88626292466765144"/>
    <n v="0.1772525849335303"/>
    <d v="1906-01-24T22:32:08"/>
    <d v="1899-12-30T00:00:00"/>
    <d v="1899-12-30T00:02:54"/>
    <n v="0"/>
    <n v="0"/>
    <n v="1"/>
    <n v="0.4"/>
    <n v="1"/>
    <n v="0.33333333333333331"/>
    <n v="8.3333333333333329E-2"/>
    <d v="1899-12-30T02:17:35"/>
    <n v="0.75"/>
    <n v="3"/>
    <n v="0.6"/>
    <n v="0.15"/>
    <n v="1"/>
    <n v="1"/>
    <n v="0"/>
    <n v="0"/>
    <n v="0"/>
    <n v="0"/>
    <n v="0"/>
    <n v="0"/>
    <n v="0.4"/>
    <n v="2"/>
    <n v="0.25"/>
    <n v="3.7499999999999999E-2"/>
    <n v="75"/>
    <n v="75"/>
    <n v="80"/>
    <n v="80"/>
    <n v="80"/>
    <n v="0.8"/>
    <n v="390"/>
    <n v="0.98717948717948723"/>
    <n v="0.19743589743589746"/>
    <n v="3.1500000000000004"/>
    <n v="78"/>
    <n v="0.64552181570276113"/>
    <s v="Cukup"/>
    <s v="Stay"/>
    <x v="2"/>
  </r>
  <r>
    <n v="303"/>
    <s v="Eky Prasetyo Widodo"/>
    <s v="IDH30034"/>
    <s v="Engineer"/>
    <s v="Bekasi"/>
    <s v="Region 1"/>
    <s v="SIPRAMA"/>
    <d v="2018-09-06T00:00:00"/>
    <d v="2024-10-31T00:00:00"/>
    <s v="6 Tahun 3 Bulan 13 Hari "/>
    <n v="2247"/>
    <n v="510"/>
    <n v="9"/>
    <n v="3962"/>
    <n v="440.22222222222223"/>
    <n v="420"/>
    <n v="0.8"/>
    <n v="4"/>
    <n v="0.95406360424028269"/>
    <n v="0.19081272084805656"/>
    <d v="1918-06-28T14:10:39"/>
    <d v="1899-12-30T00:00:00"/>
    <d v="1899-12-30T00:00:00"/>
    <n v="0"/>
    <n v="0"/>
    <n v="0"/>
    <n v="0"/>
    <n v="0"/>
    <n v="0"/>
    <n v="0"/>
    <d v="1899-12-30T01:23:43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90"/>
    <n v="90"/>
    <n v="75"/>
    <n v="0.8"/>
    <n v="405"/>
    <n v="0.98765432098765427"/>
    <n v="0.19753086419753085"/>
    <n v="3.2"/>
    <n v="81"/>
    <n v="0.64459358504558739"/>
    <s v="Cukup"/>
    <s v="Stay"/>
    <x v="1"/>
  </r>
  <r>
    <n v="304"/>
    <s v="Muhammad Afif Azindani"/>
    <s v="IDH80063"/>
    <s v="Senior engineer"/>
    <s v="Jakarta 3"/>
    <s v="Region 1"/>
    <s v="IMPACT"/>
    <d v="2019-10-02T00:00:00"/>
    <d v="2024-10-31T00:00:00"/>
    <s v="5 Tahun 2 Bulan 17 Hari "/>
    <n v="1856"/>
    <n v="1040"/>
    <n v="17"/>
    <n v="7455"/>
    <n v="438.52941176470586"/>
    <n v="417"/>
    <n v="0.8"/>
    <n v="4"/>
    <n v="0.95090543259557347"/>
    <n v="0.19018108651911469"/>
    <d v="1905-03-25T07:41:37"/>
    <d v="1899-12-30T00:00:00"/>
    <d v="1899-12-30T00:00:00"/>
    <n v="0"/>
    <n v="0"/>
    <n v="0"/>
    <n v="0"/>
    <n v="0"/>
    <n v="0"/>
    <n v="0"/>
    <d v="1899-12-30T01:10:44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90"/>
    <n v="90"/>
    <n v="80"/>
    <n v="0.8"/>
    <n v="410"/>
    <n v="0.98780487804878048"/>
    <n v="0.19756097560975611"/>
    <n v="3.2"/>
    <n v="82"/>
    <n v="0.64399206212887083"/>
    <s v="Cukup"/>
    <s v="Stay"/>
    <x v="0"/>
  </r>
  <r>
    <n v="305"/>
    <s v="Luthfi Elit Nurhakim"/>
    <s v="IDH60071"/>
    <s v="Engineer"/>
    <s v="Jakarta 2"/>
    <s v="Region 1"/>
    <s v="CITIUS"/>
    <d v="2022-05-09T00:00:00"/>
    <d v="2024-10-31T00:00:00"/>
    <s v="2 Tahun 7 Bulan 10 Hari "/>
    <n v="906"/>
    <n v="893"/>
    <n v="14"/>
    <n v="6172"/>
    <n v="440.85714285714283"/>
    <n v="376"/>
    <n v="0.8"/>
    <n v="4"/>
    <n v="0.85288399222294242"/>
    <n v="0.17057679844458851"/>
    <d v="1911-09-22T23:01:42"/>
    <d v="1899-12-30T00:00:00"/>
    <d v="1899-12-30T00:00:00"/>
    <n v="0"/>
    <n v="0"/>
    <n v="0"/>
    <n v="0"/>
    <n v="0"/>
    <n v="0"/>
    <n v="0"/>
    <d v="1899-12-30T01:08:06"/>
    <n v="1"/>
    <n v="4"/>
    <n v="0.8"/>
    <n v="0.2"/>
    <n v="1"/>
    <n v="1"/>
    <n v="1"/>
    <n v="1"/>
    <n v="0"/>
    <n v="0"/>
    <n v="0"/>
    <n v="0"/>
    <n v="0.8"/>
    <n v="4"/>
    <n v="0.5"/>
    <n v="7.4999999999999997E-2"/>
    <n v="75"/>
    <n v="75"/>
    <n v="90"/>
    <n v="90"/>
    <n v="85"/>
    <n v="0.8"/>
    <n v="415"/>
    <n v="0.98795180722891562"/>
    <n v="0.19759036144578312"/>
    <n v="3.4000000000000004"/>
    <n v="83"/>
    <n v="0.64316715989037165"/>
    <s v="Cukup"/>
    <s v="Stay"/>
    <x v="1"/>
  </r>
  <r>
    <n v="306"/>
    <s v="Mokhamad Alrizaldi Reksa"/>
    <s v="IDH70116"/>
    <s v="Associate engineer"/>
    <s v="Malang"/>
    <s v="Region 2"/>
    <s v="SIPRAMA"/>
    <d v="2024-01-15T00:00:00"/>
    <d v="2024-10-31T00:00:00"/>
    <s v="0 Tahun 11 Bulan 4 Hari "/>
    <n v="290"/>
    <n v="329"/>
    <n v="6"/>
    <n v="2587"/>
    <n v="431.16666666666669"/>
    <n v="325"/>
    <n v="0.6"/>
    <n v="3"/>
    <n v="0.75376884422110546"/>
    <n v="0.15075376884422109"/>
    <d v="1903-04-29T09:02:16"/>
    <d v="1899-12-30T00:00:00"/>
    <d v="1899-12-30T00:00:00"/>
    <n v="0"/>
    <n v="0"/>
    <n v="0"/>
    <n v="0"/>
    <n v="0"/>
    <n v="0"/>
    <n v="0"/>
    <d v="1899-12-30T01:44:53"/>
    <n v="1"/>
    <n v="4"/>
    <n v="0.8"/>
    <n v="0.2"/>
    <n v="1"/>
    <n v="1"/>
    <n v="1"/>
    <n v="0"/>
    <n v="1"/>
    <n v="1"/>
    <n v="0"/>
    <n v="0"/>
    <n v="1"/>
    <n v="5"/>
    <n v="0.625"/>
    <n v="9.375E-2"/>
    <n v="75"/>
    <n v="75"/>
    <n v="80"/>
    <n v="80"/>
    <n v="80"/>
    <n v="0.8"/>
    <n v="390"/>
    <n v="0.98717948717948723"/>
    <n v="0.19743589743589746"/>
    <n v="3.4000000000000004"/>
    <n v="78"/>
    <n v="0.64193966628011856"/>
    <s v="New CE"/>
    <s v="Stay"/>
    <x v="2"/>
  </r>
  <r>
    <n v="307"/>
    <s v="Yusuf Banjarnahor"/>
    <s v="IDH50024"/>
    <s v="Engineer"/>
    <s v="Batam"/>
    <s v="Region 3"/>
    <s v="SIPRAMA"/>
    <d v="2021-02-01T00:00:00"/>
    <d v="2024-10-31T00:00:00"/>
    <s v="3 Tahun 10 Bulan 18 Hari "/>
    <n v="1368"/>
    <n v="283"/>
    <n v="4"/>
    <n v="1878"/>
    <n v="469.5"/>
    <n v="362"/>
    <n v="0.6"/>
    <n v="3"/>
    <n v="0.77103301384451539"/>
    <n v="0.15420660276890308"/>
    <d v="1908-11-24T10:21:42"/>
    <d v="1914-08-14T07:07:42"/>
    <d v="1899-12-30T02:02:31"/>
    <n v="0"/>
    <n v="0"/>
    <n v="1"/>
    <n v="0.4"/>
    <n v="1"/>
    <n v="0.33333333333333331"/>
    <n v="8.3333333333333329E-2"/>
    <d v="1899-12-30T02:19:53"/>
    <n v="0.75"/>
    <n v="3"/>
    <n v="0.6"/>
    <n v="0.15"/>
    <n v="1"/>
    <n v="1"/>
    <n v="0"/>
    <n v="0"/>
    <n v="0"/>
    <n v="1"/>
    <n v="0"/>
    <n v="0"/>
    <n v="0.6"/>
    <n v="3"/>
    <n v="0.375"/>
    <n v="5.6249999999999994E-2"/>
    <n v="75"/>
    <n v="75"/>
    <n v="80"/>
    <n v="75"/>
    <n v="80"/>
    <n v="0.8"/>
    <n v="385"/>
    <n v="0.98701298701298701"/>
    <n v="0.19740259740259741"/>
    <n v="3.1500000000000004"/>
    <n v="77"/>
    <n v="0.64119253350483385"/>
    <s v="Cukup"/>
    <s v="Stay"/>
    <x v="1"/>
  </r>
  <r>
    <n v="308"/>
    <s v="Bayu Alfauji Sadiqin"/>
    <s v="IDH70059"/>
    <s v="Associate engineer"/>
    <s v="Jakarta 1"/>
    <s v="Region 1"/>
    <s v="SIPRAMA"/>
    <d v="2022-11-17T00:00:00"/>
    <d v="2024-10-31T00:00:00"/>
    <s v="2 Tahun 1 Bulan 2 Hari "/>
    <n v="714"/>
    <n v="897"/>
    <n v="13"/>
    <n v="6212"/>
    <n v="477.84615384615387"/>
    <n v="446"/>
    <n v="0.8"/>
    <n v="4"/>
    <n v="0.93335479716677394"/>
    <n v="0.18667095943335479"/>
    <d v="1902-01-25T23:41:11"/>
    <d v="1899-12-30T00:00:00"/>
    <d v="1899-12-30T00:00:00"/>
    <n v="0"/>
    <n v="0"/>
    <n v="0"/>
    <n v="0"/>
    <n v="0"/>
    <n v="0"/>
    <n v="0"/>
    <d v="1899-12-30T01:57:47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75"/>
    <n v="85"/>
    <n v="80"/>
    <n v="0.8"/>
    <n v="390"/>
    <n v="0.98717948717948723"/>
    <n v="0.19743589743589746"/>
    <n v="3.2"/>
    <n v="78"/>
    <n v="0.64035685686925237"/>
    <s v="Cukup"/>
    <s v="Stay"/>
    <x v="2"/>
  </r>
  <r>
    <n v="309"/>
    <s v="Afrizal Eka Paksi"/>
    <s v="IDH80012"/>
    <s v="Associate engineer"/>
    <s v="Jakarta 1"/>
    <s v="Region 1"/>
    <s v="IMPACT"/>
    <d v="2023-01-09T00:00:00"/>
    <d v="2024-10-31T00:00:00"/>
    <s v="1 Tahun 11 Bulan 10 Hari "/>
    <n v="661"/>
    <n v="897"/>
    <n v="13"/>
    <n v="6212"/>
    <n v="477.84615384615387"/>
    <n v="311"/>
    <n v="0.6"/>
    <n v="3"/>
    <n v="0.6508370895041854"/>
    <n v="0.13016741790083708"/>
    <d v="1903-02-08T09:22:19"/>
    <d v="1899-12-30T00:00:00"/>
    <d v="1899-12-30T00:00:00"/>
    <n v="0"/>
    <n v="0"/>
    <n v="0"/>
    <n v="0"/>
    <n v="0"/>
    <n v="0"/>
    <n v="0"/>
    <d v="1899-12-30T01:19:14"/>
    <n v="1"/>
    <n v="4"/>
    <n v="0.8"/>
    <n v="0.2"/>
    <n v="1"/>
    <n v="1"/>
    <n v="1"/>
    <n v="1"/>
    <n v="1"/>
    <n v="1"/>
    <n v="0"/>
    <n v="0"/>
    <n v="1"/>
    <n v="6"/>
    <n v="0.75"/>
    <n v="0.11249999999999999"/>
    <n v="75"/>
    <n v="75"/>
    <n v="75"/>
    <n v="85"/>
    <n v="80"/>
    <n v="0.8"/>
    <n v="390"/>
    <n v="0.98717948717948723"/>
    <n v="0.19743589743589746"/>
    <n v="3.4000000000000004"/>
    <n v="78"/>
    <n v="0.64010331533673459"/>
    <s v="Cukup"/>
    <s v="Stay"/>
    <x v="2"/>
  </r>
  <r>
    <n v="310"/>
    <s v="Abdul Razak Alhafis"/>
    <s v="IDH70108"/>
    <s v="Associate engineer"/>
    <s v="Jakarta 1"/>
    <s v="Region 1"/>
    <s v="SIPRAMA"/>
    <d v="2024-01-15T00:00:00"/>
    <d v="2024-10-31T00:00:00"/>
    <s v="0 Tahun 11 Bulan 4 Hari "/>
    <n v="290"/>
    <n v="897"/>
    <n v="13"/>
    <n v="6212"/>
    <n v="477.84615384615387"/>
    <n v="365"/>
    <n v="0.6"/>
    <n v="3"/>
    <n v="0.76384417256922088"/>
    <n v="0.15276883451384418"/>
    <d v="1899-12-30T00:11:12"/>
    <d v="1899-12-30T00:00:00"/>
    <d v="1899-12-30T00:00:00"/>
    <n v="1"/>
    <n v="0"/>
    <n v="0"/>
    <n v="0.4"/>
    <n v="1"/>
    <n v="0.33333333333333331"/>
    <n v="8.3333333333333329E-2"/>
    <d v="1899-12-30T02:04:53"/>
    <n v="0.75"/>
    <n v="3"/>
    <n v="0.6"/>
    <n v="0.15"/>
    <n v="1"/>
    <n v="1"/>
    <n v="1"/>
    <n v="0"/>
    <n v="0"/>
    <n v="0"/>
    <n v="0"/>
    <n v="0"/>
    <n v="0.6"/>
    <n v="3"/>
    <n v="0.375"/>
    <n v="5.6249999999999994E-2"/>
    <n v="75"/>
    <n v="75"/>
    <n v="90"/>
    <n v="85"/>
    <n v="80"/>
    <n v="0.8"/>
    <n v="405"/>
    <n v="0.98765432098765427"/>
    <n v="0.19753086419753085"/>
    <n v="3.1500000000000004"/>
    <n v="81"/>
    <n v="0.63988303204470842"/>
    <s v="New CE"/>
    <s v="Stay"/>
    <x v="2"/>
  </r>
  <r>
    <n v="311"/>
    <s v="Agung Lestari"/>
    <s v="IDH80038"/>
    <s v="Associate engineer"/>
    <s v="Tangerang"/>
    <s v="Region 1"/>
    <s v="IMPACT"/>
    <d v="2023-02-09T00:00:00"/>
    <d v="2024-10-31T00:00:00"/>
    <s v="1 Tahun 10 Bulan 10 Hari "/>
    <n v="630"/>
    <n v="760"/>
    <n v="13"/>
    <n v="5863"/>
    <n v="451"/>
    <n v="416"/>
    <n v="0.8"/>
    <n v="4"/>
    <n v="0.92239467849223944"/>
    <n v="0.18447893569844789"/>
    <d v="1903-04-09T23:02:07"/>
    <d v="1899-12-30T00:00:00"/>
    <d v="1899-12-30T00:00:00"/>
    <n v="0"/>
    <n v="0"/>
    <n v="0"/>
    <n v="0"/>
    <n v="0"/>
    <n v="0"/>
    <n v="0"/>
    <d v="1899-12-30T01:17:04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90"/>
    <n v="85"/>
    <n v="80"/>
    <n v="0.8"/>
    <n v="405"/>
    <n v="0.98765432098765427"/>
    <n v="0.19753086419753085"/>
    <n v="3.2"/>
    <n v="81"/>
    <n v="0.63825979989597881"/>
    <s v="Cukup"/>
    <s v="Stay"/>
    <x v="2"/>
  </r>
  <r>
    <n v="312"/>
    <s v="Ilham Cahyana Putra"/>
    <s v="IDH70055"/>
    <s v="Engineer"/>
    <s v="Yogyakarta"/>
    <s v="Region 2"/>
    <s v="SIPRAMA"/>
    <d v="2022-11-17T00:00:00"/>
    <d v="2024-10-31T00:00:00"/>
    <s v="2 Tahun 1 Bulan 2 Hari "/>
    <n v="714"/>
    <n v="507"/>
    <n v="10"/>
    <n v="3304"/>
    <n v="330.4"/>
    <n v="302"/>
    <n v="0.8"/>
    <n v="4"/>
    <n v="0.91404358353510906"/>
    <n v="0.18280871670702181"/>
    <d v="1933-07-17T22:31:12"/>
    <d v="1927-09-05T13:06:30"/>
    <d v="1899-12-30T00:00:00"/>
    <n v="0"/>
    <n v="0"/>
    <n v="0"/>
    <n v="0"/>
    <n v="0"/>
    <n v="0"/>
    <n v="0"/>
    <d v="1899-12-30T01:04:35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3.2"/>
    <n v="78"/>
    <n v="0.6364946141429193"/>
    <s v="Cukup"/>
    <s v="Stay"/>
    <x v="1"/>
  </r>
  <r>
    <n v="313"/>
    <s v="Andita Amirul Akbar"/>
    <s v="IDH80006"/>
    <s v="Engineer"/>
    <s v="Purwokerto"/>
    <s v="Region 2"/>
    <s v="IMPACT"/>
    <d v="2023-01-09T00:00:00"/>
    <d v="2024-10-31T00:00:00"/>
    <s v="1 Tahun 11 Bulan 10 Hari "/>
    <n v="661"/>
    <n v="305"/>
    <n v="6"/>
    <n v="2018"/>
    <n v="336.33333333333331"/>
    <n v="377"/>
    <n v="1"/>
    <n v="5"/>
    <n v="1.1209117938553024"/>
    <n v="0.22418235877106049"/>
    <d v="1938-07-06T16:52:03"/>
    <d v="1941-06-13T23:41:50"/>
    <d v="1899-12-30T00:00:00"/>
    <n v="0"/>
    <n v="0"/>
    <n v="0"/>
    <n v="0"/>
    <n v="0"/>
    <n v="0"/>
    <n v="0"/>
    <d v="1899-12-30T02:34:03"/>
    <n v="0.75"/>
    <n v="3"/>
    <n v="0.6"/>
    <n v="0.15"/>
    <n v="1"/>
    <n v="1"/>
    <n v="1"/>
    <n v="0"/>
    <n v="0"/>
    <n v="0"/>
    <n v="0"/>
    <n v="0"/>
    <n v="0.6"/>
    <n v="3"/>
    <n v="0.375"/>
    <n v="5.6249999999999994E-2"/>
    <n v="75"/>
    <n v="75"/>
    <n v="85"/>
    <n v="80"/>
    <n v="80"/>
    <n v="0.8"/>
    <n v="395"/>
    <n v="0.98734177215189878"/>
    <n v="0.19746835443037977"/>
    <n v="3.1500000000000004"/>
    <n v="79"/>
    <n v="0.62790071320144025"/>
    <s v="Cukup"/>
    <s v="Stay"/>
    <x v="1"/>
  </r>
  <r>
    <n v="314"/>
    <s v="Andika Sandi Putra"/>
    <s v="IDH70046"/>
    <s v="Engineer"/>
    <s v="Pematang Siantar"/>
    <s v="Region 3"/>
    <s v="SIPRAMA"/>
    <d v="2022-11-17T00:00:00"/>
    <d v="2024-10-31T00:00:00"/>
    <s v="2 Tahun 1 Bulan 2 Hari "/>
    <n v="714"/>
    <n v="235"/>
    <n v="4"/>
    <n v="1697"/>
    <n v="424.25"/>
    <n v="332"/>
    <n v="0.6"/>
    <n v="3"/>
    <n v="0.78255745433117263"/>
    <n v="0.15651149086623453"/>
    <d v="1918-06-10T18:07:03"/>
    <d v="1907-10-12T12:12:00"/>
    <d v="1899-12-30T02:06:31"/>
    <n v="0"/>
    <n v="0"/>
    <n v="1"/>
    <n v="0.4"/>
    <n v="1"/>
    <n v="0.33333333333333331"/>
    <n v="8.3333333333333329E-2"/>
    <d v="1899-12-30T02:02:45"/>
    <n v="0.75"/>
    <n v="3"/>
    <n v="0.6"/>
    <n v="0.15"/>
    <n v="1"/>
    <n v="1"/>
    <n v="0"/>
    <n v="0"/>
    <n v="0"/>
    <n v="0"/>
    <n v="0"/>
    <n v="0"/>
    <n v="0.4"/>
    <n v="2"/>
    <n v="0.25"/>
    <n v="3.7499999999999999E-2"/>
    <n v="75"/>
    <n v="75"/>
    <n v="75"/>
    <n v="80"/>
    <n v="80"/>
    <n v="0.8"/>
    <n v="385"/>
    <n v="0.98701298701298701"/>
    <n v="0.19740259740259741"/>
    <n v="2.95"/>
    <n v="77"/>
    <n v="0.62474742160216534"/>
    <s v="Cukup"/>
    <s v="Stay"/>
    <x v="1"/>
  </r>
  <r>
    <n v="315"/>
    <s v="Patawari"/>
    <s v="IDH50004"/>
    <s v="Associate engineer"/>
    <s v="Ambon"/>
    <s v="Region 1"/>
    <s v="SIPRAMA"/>
    <d v="2020-10-19T00:00:00"/>
    <d v="2024-10-31T00:00:00"/>
    <s v="4 Tahun 2 Bulan 0 Hari "/>
    <n v="1473"/>
    <n v="75"/>
    <n v="2"/>
    <n v="680"/>
    <n v="340"/>
    <n v="316"/>
    <n v="0.8"/>
    <n v="4"/>
    <n v="0.92941176470588238"/>
    <n v="0.1858823529411765"/>
    <d v="1915-11-15T00:24:33"/>
    <d v="1899-12-30T00:00:00"/>
    <d v="1904-08-14T13:16:10"/>
    <n v="0"/>
    <n v="0"/>
    <n v="1"/>
    <n v="0.4"/>
    <n v="1"/>
    <n v="0.33333333333333331"/>
    <n v="8.3333333333333329E-2"/>
    <d v="1899-12-30T03:10:37"/>
    <n v="0.5"/>
    <n v="2"/>
    <n v="0.4"/>
    <n v="0.1"/>
    <n v="1"/>
    <n v="1"/>
    <n v="1"/>
    <n v="0"/>
    <n v="0"/>
    <n v="0"/>
    <n v="0"/>
    <n v="0"/>
    <n v="0.6"/>
    <n v="3"/>
    <n v="0.375"/>
    <n v="5.6249999999999994E-2"/>
    <n v="75"/>
    <n v="75"/>
    <n v="75"/>
    <n v="90"/>
    <n v="70"/>
    <n v="0.8"/>
    <n v="385"/>
    <n v="0.98701298701298701"/>
    <n v="0.19740259740259741"/>
    <n v="3.1000000000000005"/>
    <n v="77"/>
    <n v="0.62286828367710734"/>
    <s v="Down Grade"/>
    <s v="Down Grade"/>
    <x v="2"/>
  </r>
  <r>
    <n v="316"/>
    <s v="Muhammad Rifqi"/>
    <s v="IDH80037"/>
    <s v="Associate engineer"/>
    <s v="Bekasi"/>
    <s v="Region 1"/>
    <s v="IMPACT"/>
    <d v="2023-02-09T00:00:00"/>
    <d v="2024-10-31T00:00:00"/>
    <s v="1 Tahun 10 Bulan 10 Hari "/>
    <n v="630"/>
    <n v="510"/>
    <n v="9"/>
    <n v="3962"/>
    <n v="440.22222222222223"/>
    <n v="330"/>
    <n v="0.6"/>
    <n v="3"/>
    <n v="0.74962140333165062"/>
    <n v="0.14992428066633012"/>
    <d v="1901-04-27T14:28:41"/>
    <d v="1899-12-30T00:00:00"/>
    <d v="1899-12-30T00:00:00"/>
    <n v="0"/>
    <n v="0"/>
    <n v="0"/>
    <n v="0"/>
    <n v="0"/>
    <n v="0"/>
    <n v="0"/>
    <d v="1899-12-30T01:40:11"/>
    <n v="1"/>
    <n v="4"/>
    <n v="0.8"/>
    <n v="0.2"/>
    <n v="1"/>
    <n v="1"/>
    <n v="1"/>
    <n v="0"/>
    <n v="0"/>
    <n v="0"/>
    <n v="0"/>
    <n v="1"/>
    <n v="0.8"/>
    <n v="4"/>
    <n v="0.5"/>
    <n v="7.4999999999999997E-2"/>
    <n v="75"/>
    <n v="75"/>
    <n v="90"/>
    <n v="85"/>
    <n v="80"/>
    <n v="0.8"/>
    <n v="405"/>
    <n v="0.98765432098765427"/>
    <n v="0.19753086419753085"/>
    <n v="3.2"/>
    <n v="81"/>
    <n v="0.622455144863861"/>
    <s v="Cukup"/>
    <s v="Stay"/>
    <x v="2"/>
  </r>
  <r>
    <n v="317"/>
    <s v="M Rifki Rizaldi"/>
    <s v="IDH80039"/>
    <s v="Engineer"/>
    <s v="Jakarta 2"/>
    <s v="Region 1"/>
    <s v="IMPACT"/>
    <d v="2023-02-09T00:00:00"/>
    <d v="2024-10-31T00:00:00"/>
    <s v="1 Tahun 10 Bulan 10 Hari "/>
    <n v="630"/>
    <n v="893"/>
    <n v="14"/>
    <n v="6172"/>
    <n v="440.85714285714283"/>
    <n v="409"/>
    <n v="0.8"/>
    <n v="4"/>
    <n v="0.92773817239144529"/>
    <n v="0.18554763447828906"/>
    <d v="1908-04-18T12:31:53"/>
    <d v="1899-12-30T00:00:00"/>
    <d v="1899-12-30T00:00:00"/>
    <n v="0"/>
    <n v="0"/>
    <n v="0"/>
    <n v="0"/>
    <n v="0"/>
    <n v="0"/>
    <n v="0"/>
    <d v="1899-12-30T01:04:06"/>
    <n v="1"/>
    <n v="4"/>
    <n v="0.8"/>
    <n v="0.2"/>
    <n v="1"/>
    <n v="1"/>
    <n v="0"/>
    <n v="0"/>
    <n v="0"/>
    <n v="0"/>
    <n v="0"/>
    <n v="0"/>
    <n v="0.4"/>
    <n v="2"/>
    <n v="0.25"/>
    <n v="3.7499999999999999E-2"/>
    <n v="75"/>
    <n v="75"/>
    <n v="90"/>
    <n v="90"/>
    <n v="75"/>
    <n v="0.8"/>
    <n v="405"/>
    <n v="0.98765432098765427"/>
    <n v="0.19753086419753085"/>
    <n v="3"/>
    <n v="81"/>
    <n v="0.62057849867581993"/>
    <s v="Cukup"/>
    <s v="Stay"/>
    <x v="1"/>
  </r>
  <r>
    <n v="318"/>
    <s v="Rizka Dwi Setyawan"/>
    <s v="IDH60028"/>
    <s v="Engineer"/>
    <s v="Solo"/>
    <s v="Region 2"/>
    <s v="CITIUS"/>
    <d v="2021-11-02T00:00:00"/>
    <d v="2024-10-31T00:00:00"/>
    <s v="3 Tahun 1 Bulan 17 Hari "/>
    <n v="1094"/>
    <n v="305"/>
    <n v="6"/>
    <n v="2074"/>
    <n v="345.66666666666669"/>
    <n v="283"/>
    <n v="0.8"/>
    <n v="4"/>
    <n v="0.81870781099324974"/>
    <n v="0.16374156219864996"/>
    <d v="1909-07-27T23:31:51"/>
    <d v="1921-12-07T14:11:08"/>
    <d v="1899-12-30T00:00:00"/>
    <n v="0"/>
    <n v="0"/>
    <n v="0"/>
    <n v="0"/>
    <n v="0"/>
    <n v="0"/>
    <n v="0"/>
    <d v="1899-12-30T01:05:54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3.2"/>
    <n v="78"/>
    <n v="0.61742745963454748"/>
    <s v="Cukup"/>
    <s v="Stay"/>
    <x v="1"/>
  </r>
  <r>
    <n v="319"/>
    <s v="Rizky Adi Kurniatama"/>
    <s v="IDH70054"/>
    <s v="Engineer"/>
    <s v="Yogyakarta"/>
    <s v="Region 2"/>
    <s v="SIPRAMA"/>
    <d v="2022-11-17T00:00:00"/>
    <d v="2024-10-31T00:00:00"/>
    <s v="2 Tahun 1 Bulan 2 Hari "/>
    <n v="714"/>
    <n v="507"/>
    <n v="10"/>
    <n v="3304"/>
    <n v="330.4"/>
    <n v="231"/>
    <n v="0.6"/>
    <n v="3"/>
    <n v="0.69915254237288138"/>
    <n v="0.13983050847457629"/>
    <d v="1912-06-05T12:46:41"/>
    <d v="1909-08-04T17:10:28"/>
    <d v="1899-12-30T00:00:00"/>
    <n v="0"/>
    <n v="0"/>
    <n v="0"/>
    <n v="0"/>
    <n v="0"/>
    <n v="0"/>
    <n v="0"/>
    <d v="1899-12-30T01:11:36"/>
    <n v="1"/>
    <n v="4"/>
    <n v="0.8"/>
    <n v="0.2"/>
    <n v="1"/>
    <n v="1"/>
    <n v="1"/>
    <n v="0"/>
    <n v="0"/>
    <n v="1"/>
    <n v="0"/>
    <n v="0"/>
    <n v="0.8"/>
    <n v="4"/>
    <n v="0.5"/>
    <n v="7.4999999999999997E-2"/>
    <n v="75"/>
    <n v="75"/>
    <n v="80"/>
    <n v="80"/>
    <n v="75"/>
    <n v="0.8"/>
    <n v="385"/>
    <n v="0.98701298701298701"/>
    <n v="0.19740259740259741"/>
    <n v="3.2"/>
    <n v="77"/>
    <n v="0.61223310587717372"/>
    <s v="Cukup"/>
    <s v="Stay"/>
    <x v="1"/>
  </r>
  <r>
    <n v="320"/>
    <s v="Muhammad Vishal Rafly"/>
    <s v="IDH40089"/>
    <s v="Associate engineer"/>
    <s v="Jakarta 3"/>
    <s v="Region 1"/>
    <s v="SIPRAMA"/>
    <d v="2020-01-06T00:00:00"/>
    <d v="2024-10-31T00:00:00"/>
    <s v="4 Tahun 11 Bulan 13 Hari "/>
    <n v="1760"/>
    <n v="1040"/>
    <n v="17"/>
    <n v="7455"/>
    <n v="438.52941176470586"/>
    <n v="344"/>
    <n v="0.6"/>
    <n v="3"/>
    <n v="0.78443997317236758"/>
    <n v="0.15688799463447353"/>
    <d v="1910-05-11T22:40:39"/>
    <d v="1899-12-30T00:00:00"/>
    <d v="1899-12-30T00:00:00"/>
    <n v="0"/>
    <n v="0"/>
    <n v="0"/>
    <n v="0"/>
    <n v="0"/>
    <n v="0"/>
    <n v="0"/>
    <d v="1899-12-30T01:23:51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90"/>
    <n v="75"/>
    <n v="80"/>
    <n v="0.8"/>
    <n v="395"/>
    <n v="0.98734177215189878"/>
    <n v="0.19746835443037977"/>
    <n v="3"/>
    <n v="79"/>
    <n v="0.61060634906485334"/>
    <s v="Cukup"/>
    <s v="Stay"/>
    <x v="2"/>
  </r>
  <r>
    <n v="321"/>
    <s v="As Bachri Saimima"/>
    <s v="IDH60025"/>
    <s v="Engineer"/>
    <s v="Makassar"/>
    <s v="Region 3"/>
    <s v="SIPRAMA"/>
    <d v="2021-10-04T00:00:00"/>
    <d v="2024-10-31T00:00:00"/>
    <s v="3 Tahun 2 Bulan 15 Hari "/>
    <n v="1123"/>
    <n v="448"/>
    <n v="7"/>
    <n v="2614"/>
    <n v="373.42857142857144"/>
    <n v="318"/>
    <n v="0.8"/>
    <n v="4"/>
    <n v="0.85156847742922726"/>
    <n v="0.17031369548584546"/>
    <d v="1905-08-22T21:32:03"/>
    <d v="1899-12-30T00:00:00"/>
    <d v="1899-12-30T00:00:00"/>
    <n v="0"/>
    <n v="0"/>
    <n v="0"/>
    <n v="0"/>
    <n v="0"/>
    <n v="0"/>
    <n v="0"/>
    <d v="1899-12-30T01:14:15"/>
    <n v="1"/>
    <n v="4"/>
    <n v="0.8"/>
    <n v="0.2"/>
    <n v="1"/>
    <n v="1"/>
    <n v="0"/>
    <n v="0"/>
    <n v="0"/>
    <n v="0"/>
    <n v="0"/>
    <n v="0"/>
    <n v="0.4"/>
    <n v="2"/>
    <n v="0.25"/>
    <n v="3.7499999999999999E-2"/>
    <n v="75"/>
    <n v="75"/>
    <n v="75"/>
    <n v="75"/>
    <n v="75"/>
    <n v="0.8"/>
    <n v="375"/>
    <n v="0.98666666666666669"/>
    <n v="0.19733333333333336"/>
    <n v="3"/>
    <n v="75"/>
    <n v="0.60514702881917881"/>
    <s v="Cukup"/>
    <s v="Stay"/>
    <x v="1"/>
  </r>
  <r>
    <n v="322"/>
    <s v="Rizki Ihza Ahda"/>
    <s v="IDH10012"/>
    <s v="Associate engineer"/>
    <s v="Jakarta 3"/>
    <s v="Region 1"/>
    <s v="KINARYA"/>
    <d v="2024-03-01T00:00:00"/>
    <d v="2024-10-31T00:00:00"/>
    <s v="0 Tahun 9 Bulan 18 Hari "/>
    <n v="244"/>
    <n v="1040"/>
    <n v="17"/>
    <n v="7455"/>
    <n v="438.52941176470586"/>
    <n v="63"/>
    <n v="0.2"/>
    <n v="1"/>
    <n v="0.14366197183098592"/>
    <n v="2.8732394366197185E-2"/>
    <d v="1899-12-30T01:26:16"/>
    <d v="1899-12-30T00:00:00"/>
    <d v="1899-12-30T00:00:00"/>
    <n v="1"/>
    <n v="0"/>
    <n v="0"/>
    <n v="0.4"/>
    <n v="1"/>
    <n v="0.33333333333333331"/>
    <n v="8.3333333333333329E-2"/>
    <d v="1899-12-30T01:29:52"/>
    <n v="1"/>
    <n v="4"/>
    <n v="0.8"/>
    <n v="0.2"/>
    <n v="1"/>
    <n v="1"/>
    <n v="1"/>
    <n v="0"/>
    <n v="1"/>
    <n v="1"/>
    <n v="0"/>
    <n v="0"/>
    <n v="1"/>
    <n v="5"/>
    <n v="0.625"/>
    <n v="9.375E-2"/>
    <n v="75"/>
    <n v="75"/>
    <n v="75"/>
    <n v="85"/>
    <n v="80"/>
    <n v="0.8"/>
    <n v="390"/>
    <n v="0.98717948717948723"/>
    <n v="0.19743589743589746"/>
    <n v="3.4000000000000004"/>
    <n v="78"/>
    <n v="0.60325162513542807"/>
    <s v="New CE"/>
    <s v="Stay"/>
    <x v="2"/>
  </r>
  <r>
    <n v="323"/>
    <s v="Yorikho Wisesa Abimanyu"/>
    <s v="IDH70044"/>
    <s v="Associate engineer"/>
    <s v="Malang"/>
    <s v="Region 2"/>
    <s v="SIPRAMA"/>
    <d v="2022-11-17T00:00:00"/>
    <d v="2024-10-31T00:00:00"/>
    <s v="2 Tahun 1 Bulan 2 Hari "/>
    <n v="714"/>
    <n v="329"/>
    <n v="6"/>
    <n v="2587"/>
    <n v="431.16666666666669"/>
    <n v="305"/>
    <n v="0.6"/>
    <n v="3"/>
    <n v="0.70738306919211436"/>
    <n v="0.14147661383842289"/>
    <d v="1910-09-30T20:59:39"/>
    <d v="1920-09-15T19:46:57"/>
    <d v="1899-12-30T00:00:00"/>
    <n v="0"/>
    <n v="0"/>
    <n v="0"/>
    <n v="0"/>
    <n v="0"/>
    <n v="0"/>
    <n v="0"/>
    <d v="1899-12-30T01:50:37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3"/>
    <n v="78"/>
    <n v="0.5951625112743204"/>
    <s v="Kurang"/>
    <s v="Stay"/>
    <x v="2"/>
  </r>
  <r>
    <n v="324"/>
    <s v="Frido Arjuna Putra"/>
    <s v="IDH60073"/>
    <s v="Engineer"/>
    <s v="Jember"/>
    <s v="Region 2"/>
    <s v="CITIUS"/>
    <d v="2022-07-04T00:00:00"/>
    <d v="2024-10-31T00:00:00"/>
    <s v="2 Tahun 5 Bulan 15 Hari "/>
    <n v="850"/>
    <n v="173"/>
    <n v="3"/>
    <n v="1310"/>
    <n v="436.66666666666669"/>
    <n v="415"/>
    <n v="0.8"/>
    <n v="4"/>
    <n v="0.95038167938931295"/>
    <n v="0.1900763358778626"/>
    <d v="1914-09-18T13:42:58"/>
    <d v="1932-06-22T08:33:51"/>
    <d v="1899-12-30T00:00:00"/>
    <n v="0"/>
    <n v="0"/>
    <n v="0"/>
    <n v="0"/>
    <n v="0"/>
    <n v="0"/>
    <n v="0"/>
    <d v="1899-12-30T02:41:45"/>
    <n v="0.75"/>
    <n v="3"/>
    <n v="0.6"/>
    <n v="0.15"/>
    <n v="1"/>
    <n v="1"/>
    <n v="1"/>
    <n v="0"/>
    <n v="0"/>
    <n v="0"/>
    <n v="0"/>
    <n v="0"/>
    <n v="0.6"/>
    <n v="3"/>
    <n v="0.375"/>
    <n v="5.6249999999999994E-2"/>
    <n v="75"/>
    <n v="75"/>
    <n v="90"/>
    <n v="90"/>
    <n v="90"/>
    <n v="0.8"/>
    <n v="420"/>
    <n v="0.98809523809523814"/>
    <n v="0.19761904761904764"/>
    <n v="2.95"/>
    <n v="84"/>
    <n v="0.59394538349691017"/>
    <s v="Kurang"/>
    <s v="Stay"/>
    <x v="1"/>
  </r>
  <r>
    <n v="325"/>
    <s v="Afif Maulana Sidik"/>
    <s v="IDH80049"/>
    <s v="Associate engineer"/>
    <s v="Depok"/>
    <s v="Region 1"/>
    <s v="IMPACT"/>
    <d v="2023-05-29T00:00:00"/>
    <d v="2024-10-31T00:00:00"/>
    <s v="1 Tahun 6 Bulan 20 Hari "/>
    <n v="521"/>
    <n v="194"/>
    <n v="2"/>
    <n v="1461"/>
    <n v="730.5"/>
    <n v="510"/>
    <n v="0.6"/>
    <n v="3"/>
    <n v="0.69815195071868585"/>
    <n v="0.13963039014373718"/>
    <d v="1907-05-25T13:27:51"/>
    <d v="1899-12-30T00:00:00"/>
    <d v="1899-12-30T00:00:00"/>
    <n v="0"/>
    <n v="0"/>
    <n v="0"/>
    <n v="0"/>
    <n v="0"/>
    <n v="0"/>
    <n v="0"/>
    <d v="1899-12-30T01:38:37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90"/>
    <n v="85"/>
    <n v="80"/>
    <n v="0.8"/>
    <n v="405"/>
    <n v="0.98765432098765427"/>
    <n v="0.19753086419753085"/>
    <n v="3"/>
    <n v="81"/>
    <n v="0.59341125434126807"/>
    <s v="Kurang"/>
    <s v="Stay"/>
    <x v="2"/>
  </r>
  <r>
    <n v="326"/>
    <s v="Aris Munandar"/>
    <s v="IDH30014"/>
    <s v="Engineer"/>
    <s v="Bengkulu"/>
    <s v="Region 3"/>
    <s v="IMPACT"/>
    <d v="2016-09-05T00:00:00"/>
    <d v="2024-10-31T00:00:00"/>
    <s v="8 Tahun 3 Bulan 14 Hari "/>
    <n v="2978"/>
    <n v="126"/>
    <n v="3"/>
    <n v="985"/>
    <n v="328.33333333333331"/>
    <n v="304"/>
    <n v="0.8"/>
    <n v="4"/>
    <n v="0.92588832487309647"/>
    <n v="0.18517766497461929"/>
    <d v="1906-11-20T12:29:37"/>
    <d v="1915-07-27T11:26:00"/>
    <d v="1899-12-30T06:03:29"/>
    <n v="0"/>
    <n v="0"/>
    <n v="1"/>
    <n v="0.4"/>
    <n v="1"/>
    <n v="0.33333333333333331"/>
    <n v="8.3333333333333329E-2"/>
    <d v="1899-12-30T06:55:02"/>
    <n v="0.25"/>
    <n v="1"/>
    <n v="0.2"/>
    <n v="0.05"/>
    <n v="1"/>
    <n v="1"/>
    <n v="1"/>
    <n v="0"/>
    <n v="0"/>
    <n v="1"/>
    <n v="0"/>
    <n v="0"/>
    <n v="0.8"/>
    <n v="4"/>
    <n v="0.5"/>
    <n v="7.4999999999999997E-2"/>
    <n v="75"/>
    <n v="75"/>
    <n v="70"/>
    <n v="75"/>
    <n v="70"/>
    <n v="0.8"/>
    <n v="365"/>
    <n v="0.98630136986301364"/>
    <n v="0.19726027397260273"/>
    <n v="3.05"/>
    <n v="73"/>
    <n v="0.59077127228055537"/>
    <s v="Kurang"/>
    <s v="Stay"/>
    <x v="1"/>
  </r>
  <r>
    <n v="327"/>
    <s v="Randi Julkifli Yudanegara"/>
    <s v="IDH70112"/>
    <s v="Associate engineer"/>
    <s v="Bandung"/>
    <s v="Region 2"/>
    <s v="SIPRAMA"/>
    <d v="2024-01-15T00:00:00"/>
    <d v="2024-10-31T00:00:00"/>
    <s v="0 Tahun 11 Bulan 4 Hari "/>
    <n v="290"/>
    <n v="872"/>
    <n v="15"/>
    <n v="5975"/>
    <n v="398.33333333333331"/>
    <n v="300"/>
    <n v="0.6"/>
    <n v="3"/>
    <n v="0.75313807531380761"/>
    <n v="0.15062761506276154"/>
    <d v="1903-10-29T10:30:52"/>
    <d v="1899-12-30T00:00:00"/>
    <d v="1899-12-30T00:00:00"/>
    <n v="0"/>
    <n v="0"/>
    <n v="0"/>
    <n v="0"/>
    <n v="0"/>
    <n v="0"/>
    <n v="0"/>
    <d v="1899-12-30T01:24:53"/>
    <n v="1"/>
    <n v="4"/>
    <n v="0.8"/>
    <n v="0.2"/>
    <n v="1"/>
    <n v="1"/>
    <n v="0"/>
    <n v="0"/>
    <n v="0"/>
    <n v="0"/>
    <n v="0"/>
    <n v="0"/>
    <n v="0.4"/>
    <n v="2"/>
    <n v="0.25"/>
    <n v="3.7499999999999999E-2"/>
    <n v="75"/>
    <n v="75"/>
    <n v="80"/>
    <n v="80"/>
    <n v="80"/>
    <n v="0.8"/>
    <n v="390"/>
    <n v="0.98717948717948723"/>
    <n v="0.19743589743589746"/>
    <n v="2.8"/>
    <n v="78"/>
    <n v="0.5855635124986589"/>
    <s v="New CE"/>
    <s v="Stay"/>
    <x v="2"/>
  </r>
  <r>
    <n v="328"/>
    <s v="Wawan Harianto"/>
    <s v="IDH90003"/>
    <s v="Associate engineer"/>
    <s v="Denpasar"/>
    <s v="Region 3"/>
    <s v="KINARYA"/>
    <d v="2023-09-04T00:00:00"/>
    <d v="2024-10-31T00:00:00"/>
    <s v="1 Tahun 3 Bulan 15 Hari "/>
    <n v="423"/>
    <n v="612"/>
    <n v="11"/>
    <n v="5254"/>
    <n v="477.63636363636363"/>
    <n v="426"/>
    <n v="0.8"/>
    <n v="4"/>
    <n v="0.89189189189189189"/>
    <n v="0.17837837837837839"/>
    <d v="1901-02-09T08:57:08"/>
    <d v="1899-12-30T00:00:00"/>
    <d v="1899-12-30T00:00:00"/>
    <n v="0"/>
    <n v="0"/>
    <n v="0"/>
    <n v="0"/>
    <n v="0"/>
    <n v="0"/>
    <n v="0"/>
    <d v="1899-12-30T02:38:57"/>
    <n v="0.75"/>
    <n v="3"/>
    <n v="0.6"/>
    <n v="0.15"/>
    <n v="1"/>
    <n v="1"/>
    <n v="1"/>
    <n v="0"/>
    <n v="0"/>
    <n v="0"/>
    <n v="0"/>
    <n v="0"/>
    <n v="0.6"/>
    <n v="3"/>
    <n v="0.375"/>
    <n v="5.6249999999999994E-2"/>
    <n v="75"/>
    <n v="75"/>
    <n v="75"/>
    <n v="70"/>
    <n v="75"/>
    <n v="0.8"/>
    <n v="370"/>
    <n v="0.98648648648648651"/>
    <n v="0.19729729729729731"/>
    <n v="2.95"/>
    <n v="74"/>
    <n v="0.58192567567567566"/>
    <s v="Kurang"/>
    <s v="Stay"/>
    <x v="2"/>
  </r>
  <r>
    <n v="329"/>
    <s v="Ahmad Mirza Fikar"/>
    <s v="IDH70106"/>
    <s v="Associate engineer"/>
    <s v="Semarang"/>
    <s v="Region 2"/>
    <s v="SIPRAMA"/>
    <d v="2024-01-15T00:00:00"/>
    <d v="2024-10-31T00:00:00"/>
    <s v="0 Tahun 11 Bulan 4 Hari "/>
    <n v="290"/>
    <n v="625"/>
    <n v="10"/>
    <n v="4149"/>
    <n v="414.9"/>
    <n v="250"/>
    <n v="0.6"/>
    <n v="3"/>
    <n v="0.60255483248975661"/>
    <n v="0.12051096649795133"/>
    <d v="1917-09-29T10:20:34"/>
    <d v="1902-10-04T05:53:37"/>
    <d v="1899-12-30T00:00:00"/>
    <n v="0"/>
    <n v="0"/>
    <n v="0"/>
    <n v="0"/>
    <n v="0"/>
    <n v="0"/>
    <n v="0"/>
    <d v="1899-12-30T01:06:16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3"/>
    <n v="78"/>
    <n v="0.57419686393384883"/>
    <s v="New CE"/>
    <s v="Stay"/>
    <x v="2"/>
  </r>
  <r>
    <n v="330"/>
    <s v="Rian Maulana Hadi"/>
    <s v="IDH80131"/>
    <s v="Associate engineer"/>
    <s v="Ternate"/>
    <s v="Region 1"/>
    <s v="IMPACT"/>
    <d v="2024-01-15T00:00:00"/>
    <d v="2024-10-31T00:00:00"/>
    <s v="0 Tahun 11 Bulan 4 Hari "/>
    <n v="290"/>
    <n v="60"/>
    <n v="2"/>
    <n v="480"/>
    <n v="240"/>
    <n v="213"/>
    <n v="0.8"/>
    <n v="4"/>
    <n v="0.88749999999999996"/>
    <n v="0.17749999999999999"/>
    <d v="1911-09-01T16:45:32"/>
    <d v="1899-12-30T00:00:00"/>
    <d v="1921-08-29T02:41:07"/>
    <n v="0"/>
    <n v="0"/>
    <n v="1"/>
    <n v="0.4"/>
    <n v="1"/>
    <n v="0.33333333333333331"/>
    <n v="8.3333333333333329E-2"/>
    <d v="1899-12-30T07:39:54"/>
    <n v="0.25"/>
    <n v="1"/>
    <n v="0.2"/>
    <n v="0.05"/>
    <n v="1"/>
    <n v="1"/>
    <n v="1"/>
    <n v="0"/>
    <n v="0"/>
    <n v="0"/>
    <n v="0"/>
    <n v="0"/>
    <n v="0.6"/>
    <n v="3"/>
    <n v="0.375"/>
    <n v="5.6249999999999994E-2"/>
    <n v="75"/>
    <n v="75"/>
    <n v="90"/>
    <n v="85"/>
    <n v="80"/>
    <n v="0.8"/>
    <n v="405"/>
    <n v="0.98765432098765427"/>
    <n v="0.19753086419753085"/>
    <n v="2.8500000000000005"/>
    <n v="81"/>
    <n v="0.56461419753086417"/>
    <s v="New CE"/>
    <s v="Stay"/>
    <x v="2"/>
  </r>
  <r>
    <n v="331"/>
    <s v="M Ridha Thahir"/>
    <s v="IDH40135"/>
    <s v="Associate engineer"/>
    <s v="Bandung"/>
    <s v="Region 2"/>
    <s v="SIPRAMA"/>
    <d v="2021-11-15T00:00:00"/>
    <d v="2024-10-31T00:00:00"/>
    <s v="3 Tahun 1 Bulan 4 Hari "/>
    <n v="1081"/>
    <n v="872"/>
    <n v="15"/>
    <n v="5975"/>
    <n v="398.33333333333331"/>
    <n v="307"/>
    <n v="0.6"/>
    <n v="3"/>
    <n v="0.77071129707112973"/>
    <n v="0.15414225941422596"/>
    <d v="1943-07-05T14:46:40"/>
    <d v="1909-10-19T02:21:40"/>
    <d v="1899-12-30T00:00:00"/>
    <n v="0"/>
    <n v="0"/>
    <n v="0"/>
    <n v="0"/>
    <n v="0"/>
    <n v="0"/>
    <n v="0"/>
    <d v="1899-12-30T02:16:53"/>
    <n v="0.75"/>
    <n v="3"/>
    <n v="0.6"/>
    <n v="0.15"/>
    <n v="1"/>
    <n v="1"/>
    <n v="1"/>
    <n v="0"/>
    <n v="0"/>
    <n v="0"/>
    <n v="0"/>
    <n v="0"/>
    <n v="0.6"/>
    <n v="3"/>
    <n v="0.375"/>
    <n v="5.6249999999999994E-2"/>
    <n v="75"/>
    <n v="75"/>
    <n v="85"/>
    <n v="85"/>
    <n v="85"/>
    <n v="0.8"/>
    <n v="405"/>
    <n v="0.98765432098765427"/>
    <n v="0.19753086419753085"/>
    <n v="2.75"/>
    <n v="81"/>
    <n v="0.55792312361175678"/>
    <s v="Kurang"/>
    <s v="Stay"/>
    <x v="2"/>
  </r>
  <r>
    <n v="332"/>
    <s v="Wahyu Firmansyah"/>
    <s v="IDH10004"/>
    <s v="Associate engineer"/>
    <s v="Cirebon"/>
    <s v="Region 2"/>
    <s v="KINARYA"/>
    <d v="2024-10-01T00:00:00"/>
    <d v="2024-10-31T00:00:00"/>
    <s v="0 Tahun 2 Bulan 18 Hari "/>
    <n v="30"/>
    <n v="332"/>
    <n v="6"/>
    <n v="2281"/>
    <n v="380.16666666666669"/>
    <n v="138"/>
    <n v="0.2"/>
    <n v="1"/>
    <n v="0.36299868478737396"/>
    <n v="7.2599736957474792E-2"/>
    <d v="1899-12-30T01:09:36"/>
    <d v="1899-12-30T01:00:02"/>
    <d v="1899-12-30T00:00:00"/>
    <n v="1"/>
    <n v="1"/>
    <n v="0"/>
    <n v="0.8"/>
    <n v="2"/>
    <n v="0.66666666666666663"/>
    <n v="0.16666666666666666"/>
    <d v="1899-12-30T00:00:00"/>
    <n v="1.25"/>
    <n v="5"/>
    <n v="0"/>
    <n v="0"/>
    <n v="1"/>
    <n v="1"/>
    <n v="1"/>
    <n v="0"/>
    <n v="0"/>
    <n v="1"/>
    <n v="1"/>
    <n v="1"/>
    <n v="1"/>
    <n v="6"/>
    <n v="0.75"/>
    <n v="0.11249999999999999"/>
    <n v="75"/>
    <n v="75"/>
    <n v="80"/>
    <n v="80"/>
    <n v="80"/>
    <n v="0.8"/>
    <n v="390"/>
    <n v="0.98717948717948723"/>
    <n v="0.19743589743589746"/>
    <n v="4.05"/>
    <n v="78"/>
    <n v="0.54920230106003887"/>
    <s v="New CE"/>
    <s v="Stay"/>
    <x v="2"/>
  </r>
  <r>
    <n v="333"/>
    <s v="Faisal Abdul Aziz"/>
    <s v="IDH80021"/>
    <s v="Associate engineer"/>
    <s v="Tasikmalaya"/>
    <s v="Region 2"/>
    <s v="IMPACT"/>
    <d v="2023-02-09T00:00:00"/>
    <d v="2024-10-31T00:00:00"/>
    <s v="1 Tahun 10 Bulan 10 Hari "/>
    <n v="630"/>
    <n v="313"/>
    <n v="6"/>
    <n v="2164"/>
    <n v="360.66666666666669"/>
    <n v="349"/>
    <n v="0.8"/>
    <n v="4"/>
    <n v="0.96765249537892783"/>
    <n v="0.19353049907578557"/>
    <d v="1912-06-20T02:10:59"/>
    <d v="1924-12-05T03:16:55"/>
    <d v="1899-12-30T00:00:00"/>
    <n v="0"/>
    <n v="0"/>
    <n v="0"/>
    <n v="0"/>
    <n v="0"/>
    <n v="0"/>
    <n v="0"/>
    <d v="1899-12-30T03:01:38"/>
    <n v="0.5"/>
    <n v="2"/>
    <n v="0.4"/>
    <n v="0.1"/>
    <n v="1"/>
    <n v="1"/>
    <n v="1"/>
    <n v="0"/>
    <n v="0"/>
    <n v="0"/>
    <n v="0"/>
    <n v="0"/>
    <n v="0.6"/>
    <n v="3"/>
    <n v="0.375"/>
    <n v="5.6249999999999994E-2"/>
    <n v="75"/>
    <n v="75"/>
    <n v="85"/>
    <n v="80"/>
    <n v="90"/>
    <n v="0.8"/>
    <n v="405"/>
    <n v="0.98765432098765427"/>
    <n v="0.19753086419753085"/>
    <n v="2.7"/>
    <n v="81"/>
    <n v="0.54731136327331642"/>
    <s v="Kurang"/>
    <s v="Stay"/>
    <x v="2"/>
  </r>
  <r>
    <n v="334"/>
    <s v="Risnanto"/>
    <s v="IDH10005"/>
    <s v="Associate engineer"/>
    <s v="Cirebon"/>
    <s v="Region 2"/>
    <s v="KINARYA"/>
    <d v="2024-03-01T00:00:00"/>
    <d v="2024-10-31T00:00:00"/>
    <s v="0 Tahun 9 Bulan 18 Hari "/>
    <n v="244"/>
    <n v="332"/>
    <n v="6"/>
    <n v="2281"/>
    <n v="380.16666666666669"/>
    <n v="193"/>
    <n v="0.4"/>
    <n v="2"/>
    <n v="0.50767207365190703"/>
    <n v="0.10153441473038141"/>
    <d v="1899-12-30T00:50:47"/>
    <d v="1899-12-30T01:14:18"/>
    <d v="1899-12-30T00:00:00"/>
    <n v="1"/>
    <n v="1"/>
    <n v="0"/>
    <n v="0.8"/>
    <n v="2"/>
    <n v="0.66666666666666663"/>
    <n v="0.16666666666666666"/>
    <d v="1899-12-30T00:00:00"/>
    <n v="1.25"/>
    <n v="5"/>
    <n v="0"/>
    <n v="0"/>
    <n v="1"/>
    <n v="1"/>
    <n v="1"/>
    <n v="0"/>
    <n v="0"/>
    <n v="0"/>
    <n v="0"/>
    <n v="0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3.8500000000000005"/>
    <n v="78"/>
    <n v="0.52188697883294544"/>
    <s v="New CE"/>
    <s v="Stay"/>
    <x v="2"/>
  </r>
  <r>
    <n v="335"/>
    <s v="Christian Harto"/>
    <s v="IDH10002"/>
    <s v="Associate engineer"/>
    <s v="Jayapura"/>
    <s v="Region 1"/>
    <s v="KINARYA"/>
    <d v="2024-06-01T00:00:00"/>
    <d v="2024-10-31T00:00:00"/>
    <s v="0 Tahun 6 Bulan 18 Hari "/>
    <n v="152"/>
    <n v="102"/>
    <n v="3"/>
    <n v="916"/>
    <n v="305.33333333333331"/>
    <n v="120"/>
    <n v="0.2"/>
    <n v="1"/>
    <n v="0.39301310043668125"/>
    <n v="7.8602620087336261E-2"/>
    <d v="1899-12-30T00:57:24"/>
    <d v="1899-12-30T00:00:00"/>
    <d v="1899-12-30T04:30:23"/>
    <n v="1"/>
    <n v="0"/>
    <n v="1"/>
    <n v="0.8"/>
    <n v="2"/>
    <n v="0.66666666666666663"/>
    <n v="0.16666666666666666"/>
    <d v="1899-12-30T00:00:00"/>
    <n v="1.25"/>
    <n v="5"/>
    <n v="0"/>
    <n v="0"/>
    <n v="1"/>
    <n v="1"/>
    <n v="1"/>
    <n v="0"/>
    <n v="1"/>
    <n v="0"/>
    <n v="0"/>
    <n v="0"/>
    <n v="0.8"/>
    <n v="4"/>
    <n v="0.5"/>
    <n v="7.4999999999999997E-2"/>
    <n v="75"/>
    <n v="75"/>
    <n v="90"/>
    <n v="85"/>
    <n v="80"/>
    <n v="0.8"/>
    <n v="405"/>
    <n v="0.98765432098765427"/>
    <n v="0.19753086419753085"/>
    <n v="3.8499999999999996"/>
    <n v="81"/>
    <n v="0.51780015095153376"/>
    <s v="New CE"/>
    <s v="Stay"/>
    <x v="2"/>
  </r>
  <r>
    <n v="336"/>
    <s v="Abd. Rasman"/>
    <s v="IDH10006"/>
    <s v="Associate engineer"/>
    <s v="Parepare"/>
    <s v="Region 3"/>
    <s v="KINARYA"/>
    <d v="2024-06-01T00:00:00"/>
    <d v="2024-10-31T00:00:00"/>
    <s v="0 Tahun 6 Bulan 18 Hari "/>
    <n v="152"/>
    <n v="171"/>
    <n v="4"/>
    <n v="1473"/>
    <n v="368.25"/>
    <n v="104"/>
    <n v="0.2"/>
    <n v="1"/>
    <n v="0.28241683638832316"/>
    <n v="5.6483367277664634E-2"/>
    <d v="1913-11-10T17:42:38"/>
    <d v="1899-12-30T00:00:04"/>
    <d v="1899-12-30T01:52:53"/>
    <n v="0"/>
    <n v="1"/>
    <n v="1"/>
    <n v="0.8"/>
    <n v="2"/>
    <n v="0.66666666666666663"/>
    <n v="0.16666666666666666"/>
    <d v="1899-12-30T00:00:00"/>
    <n v="1.25"/>
    <n v="5"/>
    <n v="0"/>
    <n v="0"/>
    <n v="1"/>
    <n v="1"/>
    <n v="1"/>
    <n v="0"/>
    <n v="1"/>
    <n v="1"/>
    <n v="0"/>
    <n v="0"/>
    <n v="1"/>
    <n v="5"/>
    <n v="0.625"/>
    <n v="9.375E-2"/>
    <n v="75"/>
    <n v="75"/>
    <n v="80"/>
    <n v="80"/>
    <n v="80"/>
    <n v="0.8"/>
    <n v="390"/>
    <n v="0.98717948717948723"/>
    <n v="0.19743589743589746"/>
    <n v="4.05"/>
    <n v="78"/>
    <n v="0.51433593138022871"/>
    <s v="New CE"/>
    <s v="Stay"/>
    <x v="2"/>
  </r>
  <r>
    <n v="337"/>
    <s v="Dewa Putu Dharsana Dyatmika"/>
    <s v="IDH90051"/>
    <s v="Associate engineer"/>
    <s v="Denpasar"/>
    <s v="Region 3"/>
    <s v="KINARYA"/>
    <d v="2023-11-13T00:00:00"/>
    <d v="2024-10-31T00:00:00"/>
    <s v="1 Tahun 1 Bulan 6 Hari "/>
    <n v="353"/>
    <n v="612"/>
    <n v="11"/>
    <n v="5254"/>
    <n v="477.63636363636363"/>
    <n v="219"/>
    <n v="0.4"/>
    <n v="2"/>
    <n v="0.45850780357822613"/>
    <n v="9.1701560715645225E-2"/>
    <d v="1901-10-19T17:34:07"/>
    <d v="1899-12-30T00:00:00"/>
    <d v="1899-12-30T00:00:00"/>
    <n v="0"/>
    <n v="0"/>
    <n v="0"/>
    <n v="0"/>
    <n v="0"/>
    <n v="0"/>
    <n v="0"/>
    <d v="1899-12-30T02:18:38"/>
    <n v="0.75"/>
    <n v="3"/>
    <n v="0.6"/>
    <n v="0.15"/>
    <n v="1"/>
    <n v="1"/>
    <n v="1"/>
    <n v="0"/>
    <n v="0"/>
    <n v="0"/>
    <n v="0"/>
    <n v="0"/>
    <n v="0.6"/>
    <n v="3"/>
    <n v="0.375"/>
    <n v="5.6249999999999994E-2"/>
    <n v="75"/>
    <n v="75"/>
    <n v="60"/>
    <n v="60"/>
    <n v="60"/>
    <n v="0.8"/>
    <n v="330"/>
    <n v="0.98484848484848486"/>
    <n v="0.19696969696969699"/>
    <n v="2.5499999999999998"/>
    <n v="66"/>
    <n v="0.49492125768534223"/>
    <s v="Resigned"/>
    <s v="Resigned"/>
    <x v="4"/>
  </r>
  <r>
    <n v="338"/>
    <s v="Tri Sakti Sutrisno"/>
    <s v="IDH10007"/>
    <s v="Associate engineer"/>
    <s v="Pamekasan"/>
    <s v="Region 2"/>
    <s v="KINARYA"/>
    <d v="2024-03-01T00:00:00"/>
    <d v="2024-10-31T00:00:00"/>
    <s v="0 Tahun 9 Bulan 18 Hari "/>
    <n v="244"/>
    <n v="52"/>
    <n v="1"/>
    <n v="685"/>
    <n v="685"/>
    <n v="199"/>
    <n v="0.2"/>
    <n v="1"/>
    <n v="0.29051094890510948"/>
    <n v="5.8102189781021898E-2"/>
    <d v="1905-06-04T03:45:50"/>
    <d v="1899-12-30T00:34:43"/>
    <d v="1899-12-30T00:00:00"/>
    <n v="0"/>
    <n v="1"/>
    <n v="0"/>
    <n v="0.4"/>
    <n v="1"/>
    <n v="0.33333333333333331"/>
    <n v="8.3333333333333329E-2"/>
    <d v="1899-12-30T00:00:00"/>
    <n v="1.25"/>
    <n v="5"/>
    <n v="0"/>
    <n v="0"/>
    <n v="1"/>
    <n v="1"/>
    <n v="1"/>
    <n v="0"/>
    <n v="1"/>
    <n v="1"/>
    <n v="0"/>
    <n v="1"/>
    <n v="1"/>
    <n v="6"/>
    <n v="0.75"/>
    <n v="0.11249999999999999"/>
    <n v="75"/>
    <n v="75"/>
    <n v="80"/>
    <n v="80"/>
    <n v="80"/>
    <n v="0.8"/>
    <n v="390"/>
    <n v="0.98717948717948723"/>
    <n v="0.19743589743589746"/>
    <n v="3.6500000000000004"/>
    <n v="78"/>
    <n v="0.45137142055025264"/>
    <s v="New CE"/>
    <s v="Stay"/>
    <x v="2"/>
  </r>
  <r>
    <n v="339"/>
    <s v="Korniawan"/>
    <s v="IDH10019"/>
    <s v="Associate engineer"/>
    <s v="Tembilahan"/>
    <s v="Region 3"/>
    <s v="KINARYA"/>
    <d v="2024-10-01T00:00:00"/>
    <d v="2024-10-31T00:00:00"/>
    <s v="0 Tahun 2 Bulan 18 Hari "/>
    <n v="30"/>
    <n v="46"/>
    <n v="1"/>
    <n v="311"/>
    <n v="311"/>
    <n v="22"/>
    <n v="0.2"/>
    <n v="1"/>
    <n v="7.0739549839228297E-2"/>
    <n v="1.414790996784566E-2"/>
    <d v="1899-12-30T00:40:35"/>
    <d v="1899-12-30T00:00:00"/>
    <d v="1899-12-30T00:00:00"/>
    <n v="1"/>
    <n v="0"/>
    <n v="0"/>
    <n v="0.4"/>
    <n v="1"/>
    <n v="0.33333333333333331"/>
    <n v="8.3333333333333329E-2"/>
    <d v="1899-12-30T00:00:00"/>
    <n v="1.25"/>
    <n v="5"/>
    <n v="0"/>
    <n v="0"/>
    <n v="1"/>
    <n v="1"/>
    <n v="1"/>
    <n v="0"/>
    <n v="1"/>
    <n v="1"/>
    <n v="1"/>
    <n v="0"/>
    <n v="1"/>
    <n v="6"/>
    <n v="0.75"/>
    <n v="0.11249999999999999"/>
    <n v="75"/>
    <n v="75"/>
    <n v="75"/>
    <n v="80"/>
    <n v="85"/>
    <n v="0.8"/>
    <n v="390"/>
    <n v="0.98717948717948723"/>
    <n v="0.19743589743589746"/>
    <n v="3.6500000000000004"/>
    <n v="78"/>
    <n v="0.40741714073707647"/>
    <s v="New CE"/>
    <s v="Stay"/>
    <x v="2"/>
  </r>
  <r>
    <n v="340"/>
    <s v="Achmad Rizki Firdaus"/>
    <s v="IDH10025"/>
    <s v="Associate engineer"/>
    <s v="Surabaya"/>
    <s v="Region 2"/>
    <s v="KINARYA"/>
    <d v="2024-10-01T00:00:00"/>
    <d v="2024-10-31T00:00:00"/>
    <s v="0 Tahun 2 Bulan 18 Hari "/>
    <n v="30"/>
    <n v="1384"/>
    <n v="22"/>
    <n v="6775"/>
    <n v="307.95454545454544"/>
    <n v="17"/>
    <n v="0.2"/>
    <n v="1"/>
    <n v="5.5202952029520296E-2"/>
    <n v="1.104059040590406E-2"/>
    <d v="1899-12-30T00:46:08"/>
    <d v="1899-12-30T00:00:00"/>
    <d v="1899-12-30T00:00:00"/>
    <n v="1"/>
    <n v="0"/>
    <n v="0"/>
    <n v="0.4"/>
    <n v="1"/>
    <n v="0.33333333333333331"/>
    <n v="8.3333333333333329E-2"/>
    <d v="1899-12-30T00:00:00"/>
    <n v="1.25"/>
    <n v="5"/>
    <n v="0"/>
    <n v="0"/>
    <n v="1"/>
    <n v="1"/>
    <n v="1"/>
    <n v="0"/>
    <n v="1"/>
    <n v="1"/>
    <n v="1"/>
    <n v="0"/>
    <n v="1"/>
    <n v="6"/>
    <n v="0.75"/>
    <n v="0.11249999999999999"/>
    <n v="75"/>
    <n v="75"/>
    <n v="80"/>
    <n v="80"/>
    <n v="80"/>
    <n v="0.8"/>
    <n v="390"/>
    <n v="0.98717948717948723"/>
    <n v="0.19743589743589746"/>
    <n v="3.6500000000000004"/>
    <n v="78"/>
    <n v="0.40430982117513481"/>
    <s v="New CE"/>
    <s v="Stay"/>
    <x v="2"/>
  </r>
  <r>
    <n v="341"/>
    <s v="Andree Wibisono"/>
    <s v="IDH10017"/>
    <s v="Associate engineer"/>
    <s v="Jakarta 1"/>
    <s v="Region 1"/>
    <s v="KINARYA"/>
    <d v="2024-10-01T00:00:00"/>
    <d v="2024-10-31T00:00:00"/>
    <s v="0 Tahun 2 Bulan 18 Hari "/>
    <n v="30"/>
    <n v="897"/>
    <n v="13"/>
    <n v="6212"/>
    <n v="477.84615384615387"/>
    <n v="24"/>
    <n v="0.2"/>
    <n v="1"/>
    <n v="5.0225370251126847E-2"/>
    <n v="1.004507405022537E-2"/>
    <d v="1899-12-30T01:10:38"/>
    <d v="1899-12-30T00:00:00"/>
    <d v="1899-12-30T00:00:00"/>
    <n v="1"/>
    <n v="0"/>
    <n v="0"/>
    <n v="0.4"/>
    <n v="1"/>
    <n v="0.33333333333333331"/>
    <n v="8.3333333333333329E-2"/>
    <d v="1899-12-30T00:00:00"/>
    <n v="1.25"/>
    <n v="5"/>
    <n v="0"/>
    <n v="0"/>
    <n v="1"/>
    <n v="1"/>
    <n v="1"/>
    <n v="0"/>
    <n v="1"/>
    <n v="1"/>
    <n v="1"/>
    <n v="0"/>
    <n v="1"/>
    <n v="6"/>
    <n v="0.75"/>
    <n v="0.11249999999999999"/>
    <n v="75"/>
    <n v="75"/>
    <n v="90"/>
    <n v="85"/>
    <n v="80"/>
    <n v="0.8"/>
    <n v="405"/>
    <n v="0.98765432098765427"/>
    <n v="0.19753086419753085"/>
    <n v="3.6500000000000004"/>
    <n v="81"/>
    <n v="0.40340927158108952"/>
    <s v="New CE"/>
    <s v="Stay"/>
    <x v="2"/>
  </r>
  <r>
    <n v="342"/>
    <s v="Izwan Kahfi"/>
    <s v="IDH10023"/>
    <s v="Associate engineer"/>
    <s v="Denpasar"/>
    <s v="Region 3"/>
    <s v="KINARYA"/>
    <d v="2024-10-01T00:00:00"/>
    <d v="2024-10-31T00:00:00"/>
    <s v="0 Tahun 2 Bulan 18 Hari "/>
    <n v="30"/>
    <n v="612"/>
    <n v="11"/>
    <n v="5254"/>
    <n v="477.63636363636363"/>
    <n v="15"/>
    <n v="0.2"/>
    <n v="1"/>
    <n v="3.1404644080700421E-2"/>
    <n v="6.2809288161400842E-3"/>
    <d v="1899-12-30T00:58:08"/>
    <d v="1899-12-30T00:00:00"/>
    <d v="1899-12-30T00:00:00"/>
    <n v="1"/>
    <n v="0"/>
    <n v="0"/>
    <n v="0.4"/>
    <n v="1"/>
    <n v="0.33333333333333331"/>
    <n v="8.3333333333333329E-2"/>
    <d v="1899-12-30T00:00:00"/>
    <n v="1.25"/>
    <n v="5"/>
    <n v="0"/>
    <n v="0"/>
    <n v="1"/>
    <n v="1"/>
    <n v="1"/>
    <n v="0"/>
    <n v="1"/>
    <n v="1"/>
    <n v="1"/>
    <n v="0"/>
    <n v="1"/>
    <n v="6"/>
    <n v="0.75"/>
    <n v="0.11249999999999999"/>
    <n v="75"/>
    <n v="75"/>
    <n v="75"/>
    <n v="85"/>
    <n v="80"/>
    <n v="0.8"/>
    <n v="390"/>
    <n v="0.98717948717948723"/>
    <n v="0.19743589743589746"/>
    <n v="3.6500000000000004"/>
    <n v="78"/>
    <n v="0.39955015958537088"/>
    <s v="New CE"/>
    <s v="Stay"/>
    <x v="2"/>
  </r>
  <r>
    <n v="343"/>
    <s v="Harma Arby L. Nafis"/>
    <s v="IDH10024"/>
    <s v="Associate engineer"/>
    <s v="Padang"/>
    <s v="Region 3"/>
    <s v="KINARYA"/>
    <d v="2024-10-01T00:00:00"/>
    <d v="2024-10-31T00:00:00"/>
    <s v="0 Tahun 2 Bulan 18 Hari "/>
    <n v="30"/>
    <n v="211"/>
    <n v="4"/>
    <n v="1415"/>
    <n v="353.75"/>
    <n v="6"/>
    <n v="0.2"/>
    <n v="1"/>
    <n v="1.6961130742049468E-2"/>
    <n v="3.3922261484098937E-3"/>
    <d v="1899-12-30T00:51:53"/>
    <d v="1899-12-30T00:00:00"/>
    <d v="1899-12-30T00:00:00"/>
    <n v="1"/>
    <n v="0"/>
    <n v="0"/>
    <n v="0.4"/>
    <n v="1"/>
    <n v="0.33333333333333331"/>
    <n v="8.3333333333333329E-2"/>
    <d v="1899-12-30T00:00:00"/>
    <n v="1.25"/>
    <n v="5"/>
    <n v="0"/>
    <n v="0"/>
    <n v="1"/>
    <n v="1"/>
    <n v="1"/>
    <n v="0"/>
    <n v="1"/>
    <n v="1"/>
    <n v="1"/>
    <n v="0"/>
    <n v="1"/>
    <n v="6"/>
    <n v="0.75"/>
    <n v="0.11249999999999999"/>
    <n v="75"/>
    <n v="75"/>
    <n v="75"/>
    <n v="80"/>
    <n v="85"/>
    <n v="0.8"/>
    <n v="390"/>
    <n v="0.98717948717948723"/>
    <n v="0.19743589743589746"/>
    <n v="3.6500000000000004"/>
    <n v="78"/>
    <n v="0.39666145691764065"/>
    <s v="New CE"/>
    <s v="Stay"/>
    <x v="2"/>
  </r>
  <r>
    <n v="344"/>
    <s v="M Fachrul Hidayat"/>
    <s v="IDH10022"/>
    <s v="Associate engineer"/>
    <s v="Depok"/>
    <s v="Region 1"/>
    <s v="KINARYA"/>
    <d v="2024-06-01T00:00:00"/>
    <d v="2024-10-31T00:00:00"/>
    <s v="0 Tahun 6 Bulan 18 Hari "/>
    <n v="152"/>
    <n v="194"/>
    <n v="2"/>
    <n v="1461"/>
    <n v="730.5"/>
    <n v="11"/>
    <n v="0.2"/>
    <n v="1"/>
    <n v="1.5058179329226557E-2"/>
    <n v="3.0116358658453116E-3"/>
    <d v="1899-12-30T00:49:22"/>
    <d v="1899-12-30T00:00:00"/>
    <d v="1899-12-30T00:00:00"/>
    <n v="1"/>
    <n v="0"/>
    <n v="0"/>
    <n v="0.4"/>
    <n v="1"/>
    <n v="0.33333333333333331"/>
    <n v="8.3333333333333329E-2"/>
    <d v="1899-12-30T00:00:00"/>
    <n v="1.25"/>
    <n v="5"/>
    <n v="0"/>
    <n v="0"/>
    <n v="1"/>
    <n v="1"/>
    <n v="1"/>
    <n v="0"/>
    <n v="1"/>
    <n v="1"/>
    <n v="1"/>
    <n v="0"/>
    <n v="1"/>
    <n v="6"/>
    <n v="0.75"/>
    <n v="0.11249999999999999"/>
    <n v="75"/>
    <n v="75"/>
    <n v="90"/>
    <n v="85"/>
    <n v="80"/>
    <n v="0.8"/>
    <n v="405"/>
    <n v="0.98765432098765427"/>
    <n v="0.19753086419753085"/>
    <n v="3.6500000000000004"/>
    <n v="81"/>
    <n v="0.39637583339670945"/>
    <s v="New CE"/>
    <s v="Stay"/>
    <x v="2"/>
  </r>
  <r>
    <n v="345"/>
    <s v="Nicola Sandra"/>
    <s v="IDH10016"/>
    <s v="Associate engineer"/>
    <s v="Palangkaraya"/>
    <s v="Region 3"/>
    <s v="KINARYA"/>
    <d v="2024-10-01T00:00:00"/>
    <d v="2024-10-31T00:00:00"/>
    <s v="0 Tahun 2 Bulan 18 Hari "/>
    <n v="30"/>
    <n v="69"/>
    <n v="1"/>
    <n v="505"/>
    <n v="505"/>
    <n v="6"/>
    <n v="0.2"/>
    <n v="1"/>
    <n v="1.1881188118811881E-2"/>
    <n v="2.3762376237623766E-3"/>
    <d v="1899-12-30T00:00:00"/>
    <d v="1899-12-30T00:00:00"/>
    <d v="1899-12-30T06:33:04"/>
    <n v="0"/>
    <n v="0"/>
    <n v="1"/>
    <n v="0.4"/>
    <n v="1"/>
    <n v="0.33333333333333331"/>
    <n v="8.3333333333333329E-2"/>
    <d v="1899-12-30T00:00:00"/>
    <n v="1.25"/>
    <n v="5"/>
    <n v="0"/>
    <n v="0"/>
    <n v="1"/>
    <n v="1"/>
    <n v="1"/>
    <n v="0"/>
    <n v="1"/>
    <n v="1"/>
    <n v="1"/>
    <n v="0"/>
    <n v="1"/>
    <n v="6"/>
    <n v="0.75"/>
    <n v="0.11249999999999999"/>
    <n v="75"/>
    <n v="75"/>
    <n v="75"/>
    <n v="75"/>
    <n v="75"/>
    <n v="0.8"/>
    <n v="375"/>
    <n v="0.98666666666666669"/>
    <n v="0.19733333333333336"/>
    <n v="3.6500000000000004"/>
    <n v="75"/>
    <n v="0.39554290429042904"/>
    <s v="New CE"/>
    <s v="Stay"/>
    <x v="2"/>
  </r>
  <r>
    <n v="346"/>
    <s v="Taufiqurahman Yusuf"/>
    <s v="IDH10003"/>
    <s v="Associate engineer"/>
    <s v="Mataram"/>
    <s v="Region 3"/>
    <s v="KINARYA"/>
    <d v="2024-06-01T00:00:00"/>
    <d v="2024-10-31T00:00:00"/>
    <s v="0 Tahun 6 Bulan 18 Hari "/>
    <n v="152"/>
    <n v="142"/>
    <n v="3"/>
    <n v="1369"/>
    <n v="456.33333333333331"/>
    <n v="210"/>
    <n v="0.4"/>
    <n v="2"/>
    <n v="0.46018991964937911"/>
    <n v="9.2037983929875833E-2"/>
    <d v="1902-01-03T14:27:17"/>
    <d v="1920-10-17T01:54:45"/>
    <d v="1899-12-30T00:00:00"/>
    <n v="0"/>
    <n v="0"/>
    <n v="0"/>
    <n v="0"/>
    <n v="0"/>
    <n v="0"/>
    <n v="0"/>
    <d v="1899-12-30T00:00:00"/>
    <n v="1.25"/>
    <n v="5"/>
    <n v="0"/>
    <n v="0"/>
    <n v="1"/>
    <n v="1"/>
    <n v="1"/>
    <n v="0"/>
    <n v="0"/>
    <n v="0"/>
    <n v="0"/>
    <n v="0"/>
    <n v="0.6"/>
    <n v="3"/>
    <n v="0.375"/>
    <n v="5.6249999999999994E-2"/>
    <n v="75"/>
    <n v="75"/>
    <n v="75"/>
    <n v="80"/>
    <n v="80"/>
    <n v="0.8"/>
    <n v="385"/>
    <n v="0.98701298701298701"/>
    <n v="0.19740259740259741"/>
    <n v="3.05"/>
    <n v="77"/>
    <n v="0.34569058133247321"/>
    <s v="New CE"/>
    <s v="Stay"/>
    <x v="2"/>
  </r>
  <r>
    <n v="347"/>
    <s v="Dani Abi Sulaeman"/>
    <s v="IDH10018"/>
    <s v="Associate engineer"/>
    <s v="Pekalongan"/>
    <s v="Region 2"/>
    <s v="KINARYA"/>
    <d v="2024-10-01T00:00:00"/>
    <d v="2024-10-31T00:00:00"/>
    <s v="0 Tahun 2 Bulan 18 Hari "/>
    <n v="30"/>
    <n v="98"/>
    <n v="1"/>
    <n v="454"/>
    <n v="454"/>
    <n v="7"/>
    <n v="0.2"/>
    <n v="1"/>
    <n v="1.5418502202643172E-2"/>
    <n v="3.0837004405286344E-3"/>
    <d v="1899-12-30T01:25:27"/>
    <d v="1899-12-30T00:00:00"/>
    <d v="1899-12-30T00:00:00"/>
    <n v="1"/>
    <n v="0"/>
    <n v="0"/>
    <n v="0.4"/>
    <n v="1"/>
    <n v="0.33333333333333331"/>
    <n v="8.3333333333333329E-2"/>
    <d v="1899-12-30T00:00:00"/>
    <n v="1.25"/>
    <n v="5"/>
    <n v="0"/>
    <n v="0"/>
    <n v="1"/>
    <n v="1"/>
    <n v="1"/>
    <n v="0"/>
    <n v="0"/>
    <n v="0"/>
    <n v="0"/>
    <n v="0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3.25"/>
    <n v="78"/>
    <n v="0.34010293120975943"/>
    <s v="New CE"/>
    <s v="Stay"/>
    <x v="2"/>
  </r>
  <r>
    <n v="348"/>
    <s v="Yusril Affandi"/>
    <s v="IDH10021"/>
    <s v="Associate engineer"/>
    <s v="Jakarta 1"/>
    <s v="Region 1"/>
    <s v="KINARYA"/>
    <d v="2024-06-01T00:00:00"/>
    <d v="2024-10-31T00:00:00"/>
    <s v="0 Tahun 6 Bulan 18 Hari "/>
    <n v="152"/>
    <n v="897"/>
    <n v="13"/>
    <n v="6212"/>
    <n v="477.84615384615387"/>
    <n v="21"/>
    <n v="0.2"/>
    <n v="1"/>
    <n v="4.3947198969735993E-2"/>
    <n v="8.7894397939471992E-3"/>
    <d v="1899-12-30T02:01:24"/>
    <d v="1899-12-30T00:00:00"/>
    <d v="1899-12-30T00:00:00"/>
    <n v="0"/>
    <n v="0"/>
    <n v="0"/>
    <n v="0"/>
    <n v="0"/>
    <n v="0"/>
    <n v="0"/>
    <d v="1899-12-30T00:00:00"/>
    <n v="1.25"/>
    <n v="5"/>
    <n v="0"/>
    <n v="0"/>
    <n v="1"/>
    <n v="1"/>
    <n v="1"/>
    <n v="0"/>
    <n v="1"/>
    <n v="1"/>
    <n v="1"/>
    <n v="0"/>
    <n v="1"/>
    <n v="6"/>
    <n v="0.75"/>
    <n v="0.11249999999999999"/>
    <n v="75"/>
    <n v="75"/>
    <n v="90"/>
    <n v="85"/>
    <n v="80"/>
    <n v="0.8"/>
    <n v="405"/>
    <n v="0.98765432098765427"/>
    <n v="0.19753086419753085"/>
    <n v="3.25"/>
    <n v="81"/>
    <n v="0.31882030399147804"/>
    <s v="New CE"/>
    <s v="Stay"/>
    <x v="2"/>
  </r>
  <r>
    <n v="349"/>
    <s v="M Daniswara Gagah Surya L"/>
    <s v="IDH10026"/>
    <s v="Associate engineer"/>
    <s v="Solo"/>
    <s v="Region 2"/>
    <s v="KINARYA"/>
    <d v="2024-10-01T00:00:00"/>
    <d v="2024-10-31T00:00:00"/>
    <s v="0 Tahun 2 Bulan 18 Hari "/>
    <n v="30"/>
    <n v="305"/>
    <n v="6"/>
    <n v="2074"/>
    <n v="345.66666666666669"/>
    <n v="8"/>
    <n v="0.2"/>
    <n v="1"/>
    <n v="2.3143683702989391E-2"/>
    <n v="4.6287367405978786E-3"/>
    <d v="1899-12-30T00:00:00"/>
    <d v="1899-12-30T00:00:00"/>
    <d v="1899-12-30T00:00:00"/>
    <n v="0"/>
    <n v="0"/>
    <n v="0"/>
    <n v="0"/>
    <n v="0"/>
    <n v="0"/>
    <n v="0"/>
    <d v="1899-12-30T00:00:00"/>
    <n v="1.25"/>
    <n v="5"/>
    <n v="0"/>
    <n v="0"/>
    <n v="1"/>
    <n v="1"/>
    <n v="1"/>
    <n v="0"/>
    <n v="1"/>
    <n v="1"/>
    <n v="1"/>
    <n v="0"/>
    <n v="1"/>
    <n v="6"/>
    <n v="0.75"/>
    <n v="0.11249999999999999"/>
    <n v="75"/>
    <n v="75"/>
    <n v="80"/>
    <n v="80"/>
    <n v="80"/>
    <n v="0.8"/>
    <n v="390"/>
    <n v="0.98717948717948723"/>
    <n v="0.19743589743589746"/>
    <n v="3.25"/>
    <n v="78"/>
    <n v="0.31456463417649533"/>
    <s v="New CE"/>
    <s v="Stay"/>
    <x v="2"/>
  </r>
  <r>
    <n v="350"/>
    <s v="Khiyarul Umam"/>
    <s v="IDH10020"/>
    <s v="Associate engineer"/>
    <s v="Pamekasan"/>
    <s v="Region 2"/>
    <s v="KINARYA"/>
    <d v="2024-10-01T00:00:00"/>
    <d v="2024-10-31T00:00:00"/>
    <s v="0 Tahun 2 Bulan 18 Hari "/>
    <n v="30"/>
    <n v="52"/>
    <n v="2"/>
    <n v="685"/>
    <n v="342.5"/>
    <n v="7"/>
    <n v="0.2"/>
    <n v="1"/>
    <n v="2.0437956204379562E-2"/>
    <n v="4.0875912408759128E-3"/>
    <d v="1899-12-30T00:00:00"/>
    <d v="1899-12-30T00:00:00"/>
    <d v="1899-12-30T00:00:00"/>
    <n v="0"/>
    <n v="0"/>
    <n v="0"/>
    <n v="0"/>
    <n v="0"/>
    <n v="0"/>
    <n v="0"/>
    <d v="1899-12-30T00:00:00"/>
    <n v="1.25"/>
    <n v="5"/>
    <n v="0"/>
    <n v="0"/>
    <n v="1"/>
    <n v="1"/>
    <n v="1"/>
    <n v="0"/>
    <n v="1"/>
    <n v="1"/>
    <n v="1"/>
    <n v="0"/>
    <n v="1"/>
    <n v="6"/>
    <n v="0.75"/>
    <n v="0.11249999999999999"/>
    <n v="75"/>
    <n v="75"/>
    <n v="80"/>
    <n v="80"/>
    <n v="80"/>
    <n v="0.8"/>
    <n v="390"/>
    <n v="0.98717948717948723"/>
    <n v="0.19743589743589746"/>
    <n v="3.25"/>
    <n v="78"/>
    <n v="0.31402348867677338"/>
    <s v="New CE"/>
    <s v="Stay"/>
    <x v="2"/>
  </r>
  <r>
    <n v="351"/>
    <s v="Serdistari Akun Benares"/>
    <s v="IDHEDC0019"/>
    <s v="Associate engineer"/>
    <s v="Atambua"/>
    <s v="Region 1"/>
    <s v="KINARYA"/>
    <d v="2024-10-01T00:00:00"/>
    <d v="2024-10-31T00:00:00"/>
    <s v="0 Tahun 2 Bulan 18 Hari "/>
    <n v="30"/>
    <n v="0"/>
    <n v="1"/>
    <n v="0"/>
    <n v="0"/>
    <n v="0"/>
    <n v="0.2"/>
    <n v="1"/>
    <n v="0"/>
    <n v="0"/>
    <d v="1899-12-30T00:00:00"/>
    <d v="1899-12-30T00:00:00"/>
    <d v="1899-12-30T00:00:00"/>
    <n v="0"/>
    <n v="0"/>
    <n v="0"/>
    <n v="0"/>
    <n v="0"/>
    <n v="0"/>
    <n v="0"/>
    <d v="1899-12-30T00:00:00"/>
    <n v="1.25"/>
    <n v="5"/>
    <n v="0"/>
    <n v="0"/>
    <n v="1"/>
    <n v="1"/>
    <n v="1"/>
    <n v="0"/>
    <n v="1"/>
    <n v="1"/>
    <n v="1"/>
    <n v="0"/>
    <n v="1"/>
    <n v="6"/>
    <n v="0.75"/>
    <n v="0.11249999999999999"/>
    <n v="75"/>
    <n v="75"/>
    <n v="90"/>
    <n v="85"/>
    <n v="80"/>
    <n v="0.8"/>
    <n v="405"/>
    <n v="0.98765432098765427"/>
    <n v="0.19753086419753085"/>
    <n v="3.25"/>
    <n v="81"/>
    <n v="0.31003086419753084"/>
    <s v="New CE"/>
    <s v="Stay"/>
    <x v="2"/>
  </r>
  <r>
    <n v="352"/>
    <s v="Ignatius Ehak Mukin"/>
    <s v="IDHEDC0021"/>
    <s v="Associate engineer"/>
    <s v="Larantuka"/>
    <s v="Region 1"/>
    <s v="KINARYA"/>
    <d v="2024-10-01T00:00:00"/>
    <d v="2024-10-31T00:00:00"/>
    <s v="0 Tahun 2 Bulan 18 Hari "/>
    <n v="30"/>
    <n v="0"/>
    <n v="1"/>
    <n v="0"/>
    <n v="0"/>
    <n v="0"/>
    <n v="0.2"/>
    <n v="1"/>
    <n v="0"/>
    <n v="0"/>
    <d v="1899-12-30T00:00:00"/>
    <d v="1899-12-30T00:00:00"/>
    <d v="1899-12-30T00:00:00"/>
    <n v="0"/>
    <n v="0"/>
    <n v="0"/>
    <n v="0"/>
    <n v="0"/>
    <n v="0"/>
    <n v="0"/>
    <d v="1899-12-30T00:00:00"/>
    <n v="1.25"/>
    <n v="5"/>
    <n v="0"/>
    <n v="0"/>
    <n v="1"/>
    <n v="1"/>
    <n v="1"/>
    <n v="0"/>
    <n v="1"/>
    <n v="1"/>
    <n v="1"/>
    <n v="0"/>
    <n v="1"/>
    <n v="6"/>
    <n v="0.75"/>
    <n v="0.11249999999999999"/>
    <n v="75"/>
    <n v="75"/>
    <n v="90"/>
    <n v="85"/>
    <n v="80"/>
    <n v="0.8"/>
    <n v="405"/>
    <n v="0.98765432098765427"/>
    <n v="0.19753086419753085"/>
    <n v="3.25"/>
    <n v="81"/>
    <n v="0.31003086419753084"/>
    <s v="New CE"/>
    <s v="Stay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1">
  <r>
    <n v="1"/>
    <s v="Fidiaji Susilo"/>
    <s v="IDH40006"/>
    <s v="Senior engineer"/>
    <x v="0"/>
    <x v="0"/>
    <s v="GSS"/>
    <d v="2017-08-01T00:00:00"/>
    <d v="2024-10-31T00:00:00"/>
    <s v="7 Tahun 5 Bulan 29 Hari "/>
    <n v="2648"/>
    <n v="1384"/>
    <n v="22"/>
    <n v="6775"/>
    <n v="307.95454545454544"/>
    <n v="619"/>
    <n v="1"/>
    <n v="5"/>
    <n v="2.0100369003690037"/>
    <n v="0.40200738007380077"/>
    <d v="1917-11-10T16:38:13"/>
    <d v="1899-12-30T00:17:54"/>
    <d v="1899-12-30T00:00:00"/>
    <n v="0"/>
    <n v="1"/>
    <n v="0"/>
    <n v="0.4"/>
    <n v="1"/>
    <n v="0.33333333333333331"/>
    <n v="8.3333333333333329E-2"/>
    <d v="1899-12-30T00:47:52"/>
    <n v="1.25"/>
    <n v="5"/>
    <n v="1"/>
    <n v="0.25"/>
    <n v="1"/>
    <n v="1"/>
    <n v="1"/>
    <n v="0"/>
    <n v="0"/>
    <n v="0"/>
    <n v="0"/>
    <n v="0"/>
    <n v="0.6"/>
    <n v="3"/>
    <n v="0.375"/>
    <n v="5.6249999999999994E-2"/>
    <n v="80"/>
    <n v="85"/>
    <n v="90"/>
    <n v="85"/>
    <n v="85"/>
    <n v="1"/>
    <n v="425"/>
    <n v="0.9882352941176471"/>
    <n v="0.19764705882352943"/>
    <n v="4.25"/>
    <n v="85"/>
    <n v="0.98923777223066356"/>
    <s v="Sangat Baik"/>
    <s v="Stay"/>
    <s v="Senior engineer"/>
  </r>
  <r>
    <n v="2"/>
    <s v="Handika Juliansyah"/>
    <s v="IDH60020"/>
    <s v="Engineer"/>
    <x v="1"/>
    <x v="1"/>
    <s v="CITIUS"/>
    <d v="2021-09-27T00:00:00"/>
    <d v="2024-10-31T00:00:00"/>
    <s v="3 Tahun 4 Bulan 3 Hari "/>
    <n v="1130"/>
    <n v="893"/>
    <n v="14"/>
    <n v="6172"/>
    <n v="440.85714285714283"/>
    <n v="749"/>
    <n v="1"/>
    <n v="5"/>
    <n v="1.6989630589760207"/>
    <n v="0.33979261179520415"/>
    <d v="1997-01-18T11:34:44"/>
    <d v="2024-06-22T14:27:10"/>
    <d v="2024-05-31T18:53:24"/>
    <n v="0"/>
    <n v="0"/>
    <n v="1"/>
    <n v="0.4"/>
    <n v="1"/>
    <n v="0.33333333333333331"/>
    <n v="8.3333333333333329E-2"/>
    <d v="1899-12-30T00:58:27"/>
    <n v="1.25"/>
    <n v="5"/>
    <n v="1"/>
    <n v="0.25"/>
    <n v="1"/>
    <n v="1"/>
    <n v="1"/>
    <n v="1"/>
    <n v="0"/>
    <n v="0"/>
    <n v="1"/>
    <n v="1"/>
    <n v="1"/>
    <n v="6"/>
    <n v="0.75"/>
    <n v="0.11249999999999999"/>
    <n v="85"/>
    <n v="65"/>
    <n v="85"/>
    <n v="90"/>
    <n v="90"/>
    <n v="1"/>
    <n v="415"/>
    <n v="0.98795180722891562"/>
    <n v="0.19759036144578312"/>
    <n v="4.6500000000000004"/>
    <n v="83"/>
    <n v="0.98321630657432058"/>
    <s v="Sangat Baik"/>
    <s v="Level Up"/>
    <s v="Senior engineer"/>
  </r>
  <r>
    <n v="3"/>
    <s v="Bimantara Dwi Januarianto"/>
    <s v="IDH70004"/>
    <s v="Associate engineer"/>
    <x v="0"/>
    <x v="0"/>
    <s v="SIPRAMA"/>
    <d v="2022-08-22T00:00:00"/>
    <d v="2024-10-31T00:00:00"/>
    <s v="2 Tahun 5 Bulan 8 Hari "/>
    <n v="801"/>
    <n v="1384"/>
    <n v="22"/>
    <n v="6775"/>
    <n v="307.95454545454544"/>
    <n v="608"/>
    <n v="1"/>
    <n v="5"/>
    <n v="1.9743173431734318"/>
    <n v="0.39486346863468635"/>
    <d v="1907-07-18T06:10:32"/>
    <d v="1899-12-30T00:00:00"/>
    <d v="1899-12-30T00:01:46"/>
    <n v="0"/>
    <n v="0"/>
    <n v="1"/>
    <n v="0.4"/>
    <n v="1"/>
    <n v="0.33333333333333331"/>
    <n v="8.3333333333333329E-2"/>
    <d v="1899-12-30T00:59:59"/>
    <n v="1.25"/>
    <n v="5"/>
    <n v="1"/>
    <n v="0.25"/>
    <n v="1"/>
    <n v="1"/>
    <n v="1"/>
    <n v="0"/>
    <n v="0"/>
    <n v="0"/>
    <n v="0"/>
    <n v="0"/>
    <n v="0.6"/>
    <n v="3"/>
    <n v="0.375"/>
    <n v="5.6249999999999994E-2"/>
    <n v="75"/>
    <n v="70"/>
    <n v="80"/>
    <n v="90"/>
    <n v="90"/>
    <n v="1"/>
    <n v="405"/>
    <n v="0.98765432098765427"/>
    <n v="0.19753086419753085"/>
    <n v="4.25"/>
    <n v="81"/>
    <n v="0.98197766616555049"/>
    <s v="Sangat Baik"/>
    <s v="Level Up"/>
    <s v="Engineer"/>
  </r>
  <r>
    <n v="4"/>
    <s v="Adytia Tri Aprilianto Priyono"/>
    <s v="IDH40059"/>
    <s v="Engineer"/>
    <x v="0"/>
    <x v="0"/>
    <s v="GSS"/>
    <d v="2019-01-07T00:00:00"/>
    <d v="2024-10-31T00:00:00"/>
    <s v="6 Tahun 0 Bulan 23 Hari "/>
    <n v="2124"/>
    <n v="1384"/>
    <n v="22"/>
    <n v="6775"/>
    <n v="307.95454545454544"/>
    <n v="489"/>
    <n v="1"/>
    <n v="5"/>
    <n v="1.5878966789667897"/>
    <n v="0.31757933579335795"/>
    <d v="1899-12-30T00:31:48"/>
    <d v="1899-12-30T00:00:06"/>
    <d v="1899-12-30T00:00:00"/>
    <n v="1"/>
    <n v="1"/>
    <n v="0"/>
    <n v="0.8"/>
    <n v="2"/>
    <n v="0.66666666666666663"/>
    <n v="0.16666666666666666"/>
    <d v="1899-12-30T01:08:17"/>
    <n v="1"/>
    <n v="4"/>
    <n v="0.8"/>
    <n v="0.2"/>
    <n v="1"/>
    <n v="1"/>
    <n v="1"/>
    <n v="1"/>
    <n v="0"/>
    <n v="1"/>
    <n v="0"/>
    <n v="0"/>
    <n v="1"/>
    <n v="5"/>
    <n v="0.625"/>
    <n v="9.375E-2"/>
    <n v="75"/>
    <n v="75"/>
    <n v="80"/>
    <n v="80"/>
    <n v="80"/>
    <n v="1"/>
    <n v="390"/>
    <n v="0.98717948717948723"/>
    <n v="0.19743589743589746"/>
    <n v="4.8"/>
    <n v="78"/>
    <n v="0.97543189989592194"/>
    <s v="Sangat Baik"/>
    <s v="Level Up"/>
    <s v="Senior engineer"/>
  </r>
  <r>
    <n v="5"/>
    <s v="Roland"/>
    <s v="IDH80078"/>
    <s v="Associate engineer"/>
    <x v="2"/>
    <x v="1"/>
    <s v="IMPACT"/>
    <d v="2023-07-24T00:00:00"/>
    <d v="2024-10-31T00:00:00"/>
    <s v="1 Tahun 6 Bulan 6 Hari "/>
    <n v="465"/>
    <n v="25"/>
    <n v="1"/>
    <n v="202"/>
    <n v="202"/>
    <n v="235"/>
    <n v="1"/>
    <n v="5"/>
    <n v="1.1633663366336633"/>
    <n v="0.23267326732673266"/>
    <d v="1899-12-30T01:27:00"/>
    <d v="1899-12-30T01:38:39"/>
    <d v="1906-12-01T16:27:07"/>
    <n v="1"/>
    <n v="1"/>
    <n v="1"/>
    <n v="1.25"/>
    <n v="3"/>
    <n v="1"/>
    <n v="0.25"/>
    <d v="1899-12-30T01:35:02"/>
    <n v="1"/>
    <n v="4"/>
    <n v="0.8"/>
    <n v="0.2"/>
    <n v="1"/>
    <n v="1"/>
    <n v="1"/>
    <n v="0"/>
    <n v="1"/>
    <n v="1"/>
    <n v="0"/>
    <n v="0"/>
    <n v="1"/>
    <n v="5"/>
    <n v="0.625"/>
    <n v="9.375E-2"/>
    <n v="75"/>
    <n v="75"/>
    <n v="90"/>
    <n v="85"/>
    <n v="80"/>
    <n v="1"/>
    <n v="405"/>
    <n v="0.98765432098765427"/>
    <n v="0.19753086419753085"/>
    <n v="5.25"/>
    <n v="81"/>
    <n v="0.97395413152426347"/>
    <s v="Sangat Baik"/>
    <s v="Level Up"/>
    <s v="Engineer"/>
  </r>
  <r>
    <n v="6"/>
    <s v="Virgiawan Rachman Daeng Rate"/>
    <s v="IDH40034"/>
    <s v="Senior engineer"/>
    <x v="3"/>
    <x v="0"/>
    <s v="SIPRAMA"/>
    <d v="2018-11-14T00:00:00"/>
    <d v="2024-10-31T00:00:00"/>
    <s v="6 Tahun 2 Bulan 16 Hari "/>
    <n v="2178"/>
    <n v="872"/>
    <n v="15"/>
    <n v="5975"/>
    <n v="398.33333333333331"/>
    <n v="454"/>
    <n v="1"/>
    <n v="5"/>
    <n v="1.1397489539748955"/>
    <n v="0.22794979079497912"/>
    <d v="1923-09-10T01:38:54"/>
    <d v="1899-12-30T00:00:08"/>
    <d v="1899-12-30T00:00:00"/>
    <n v="1"/>
    <n v="1"/>
    <n v="0"/>
    <n v="0.8"/>
    <n v="2"/>
    <n v="0.66666666666666663"/>
    <n v="0.16666666666666666"/>
    <d v="1899-12-30T00:40:32"/>
    <n v="1.25"/>
    <n v="5"/>
    <n v="1"/>
    <n v="0.25"/>
    <n v="1"/>
    <n v="1"/>
    <n v="1"/>
    <n v="0"/>
    <n v="1"/>
    <n v="1"/>
    <n v="1"/>
    <n v="1"/>
    <n v="1"/>
    <n v="7"/>
    <n v="0.875"/>
    <n v="0.13125000000000001"/>
    <n v="80"/>
    <n v="75"/>
    <n v="85"/>
    <n v="85"/>
    <n v="85"/>
    <n v="1"/>
    <n v="410"/>
    <n v="0.98780487804878048"/>
    <n v="0.19756097560975611"/>
    <n v="5.05"/>
    <n v="82"/>
    <n v="0.97342743307140189"/>
    <s v="Sangat Baik"/>
    <s v="Stay"/>
    <s v="Senior engineer"/>
  </r>
  <r>
    <n v="7"/>
    <s v="Fajar Dhiki Satriatama"/>
    <s v="IDH60079"/>
    <s v="Engineer"/>
    <x v="4"/>
    <x v="0"/>
    <s v="CITIUS"/>
    <d v="2022-07-04T00:00:00"/>
    <d v="2024-10-31T00:00:00"/>
    <s v="2 Tahun 6 Bulan 26 Hari "/>
    <n v="850"/>
    <n v="625"/>
    <n v="10"/>
    <n v="4149"/>
    <n v="414.9"/>
    <n v="375"/>
    <n v="0.8"/>
    <n v="4"/>
    <n v="0.90383224873463486"/>
    <n v="0.18076644974692699"/>
    <d v="1899-12-30T01:09:17"/>
    <d v="1899-12-30T02:02:10"/>
    <d v="1899-12-30T02:36:50"/>
    <n v="1"/>
    <n v="1"/>
    <n v="1"/>
    <n v="1.25"/>
    <n v="3"/>
    <n v="1"/>
    <n v="0.25"/>
    <d v="1899-12-30T00:43:36"/>
    <n v="1.25"/>
    <n v="5"/>
    <n v="1"/>
    <n v="0.25"/>
    <n v="1"/>
    <n v="1"/>
    <n v="1"/>
    <n v="0"/>
    <n v="0"/>
    <n v="1"/>
    <n v="0"/>
    <n v="1"/>
    <n v="1"/>
    <n v="5"/>
    <n v="0.625"/>
    <n v="9.375E-2"/>
    <n v="75"/>
    <n v="75"/>
    <n v="75"/>
    <n v="80"/>
    <n v="75"/>
    <n v="1"/>
    <n v="380"/>
    <n v="0.98684210526315785"/>
    <n v="0.19736842105263158"/>
    <n v="5.3"/>
    <n v="76"/>
    <n v="0.97188487079955865"/>
    <s v="Sangat Baik"/>
    <s v="Stay"/>
    <s v="Engineer"/>
  </r>
  <r>
    <n v="8"/>
    <s v="Rison Siregar"/>
    <s v="IDH80126"/>
    <s v="Associate engineer"/>
    <x v="5"/>
    <x v="1"/>
    <s v="IMPACT"/>
    <d v="2023-11-01T00:00:00"/>
    <d v="2024-10-31T00:00:00"/>
    <s v="1 Tahun 2 Bulan 29 Hari "/>
    <n v="365"/>
    <n v="329"/>
    <n v="6"/>
    <n v="1945"/>
    <n v="324.16666666666669"/>
    <n v="255"/>
    <n v="0.6"/>
    <n v="3"/>
    <n v="0.78663239074550129"/>
    <n v="0.15732647814910028"/>
    <d v="1899-12-30T00:29:46"/>
    <d v="1899-12-30T01:57:24"/>
    <d v="1899-12-30T00:56:57"/>
    <n v="1"/>
    <n v="1"/>
    <n v="1"/>
    <n v="1.25"/>
    <n v="3"/>
    <n v="1"/>
    <n v="0.25"/>
    <d v="1899-12-30T00:57:44"/>
    <n v="1.25"/>
    <n v="5"/>
    <n v="1"/>
    <n v="0.25"/>
    <n v="1"/>
    <n v="1"/>
    <n v="1"/>
    <n v="0"/>
    <n v="1"/>
    <n v="1"/>
    <n v="1"/>
    <n v="0"/>
    <n v="1"/>
    <n v="6"/>
    <n v="0.75"/>
    <n v="0.11249999999999999"/>
    <n v="75"/>
    <n v="75"/>
    <n v="90"/>
    <n v="85"/>
    <n v="80"/>
    <n v="1"/>
    <n v="405"/>
    <n v="0.98765432098765427"/>
    <n v="0.19753086419753085"/>
    <n v="5.0999999999999996"/>
    <n v="81"/>
    <n v="0.96735734234663107"/>
    <s v="Sangat Baik"/>
    <s v="Level Up"/>
    <s v="Engineer"/>
  </r>
  <r>
    <n v="9"/>
    <s v="Ardian Pragusti"/>
    <s v="IDH10009"/>
    <s v="Associate engineer"/>
    <x v="6"/>
    <x v="2"/>
    <s v="KINARYA"/>
    <d v="2024-06-01T00:00:00"/>
    <d v="2024-10-31T00:00:00"/>
    <s v="0 Tahun 7 Bulan 29 Hari "/>
    <n v="152"/>
    <n v="52"/>
    <n v="2"/>
    <n v="350"/>
    <n v="175"/>
    <n v="151"/>
    <n v="0.8"/>
    <n v="4"/>
    <n v="0.86285714285714288"/>
    <n v="0.1725714285714286"/>
    <d v="1899-12-30T00:04:23"/>
    <d v="1899-12-30T00:38:15"/>
    <d v="1912-06-20T19:31:11"/>
    <n v="1"/>
    <n v="1"/>
    <n v="1"/>
    <n v="1.25"/>
    <n v="3"/>
    <n v="1"/>
    <n v="0.25"/>
    <d v="1899-12-30T00:43:24"/>
    <n v="1.25"/>
    <n v="5"/>
    <n v="1"/>
    <n v="0.25"/>
    <n v="1"/>
    <n v="1"/>
    <n v="1"/>
    <n v="0"/>
    <n v="1"/>
    <n v="1"/>
    <n v="0"/>
    <n v="0"/>
    <n v="1"/>
    <n v="5"/>
    <n v="0.625"/>
    <n v="9.375E-2"/>
    <n v="75"/>
    <n v="75"/>
    <n v="85"/>
    <n v="85"/>
    <n v="85"/>
    <n v="0.8"/>
    <n v="405"/>
    <n v="0.98765432098765427"/>
    <n v="0.19753086419753085"/>
    <n v="5.0999999999999996"/>
    <n v="81"/>
    <n v="0.96385229276895945"/>
    <s v="New CE"/>
    <s v="Stay"/>
    <s v="Associate engineer"/>
  </r>
  <r>
    <n v="10"/>
    <s v="Sadam Arifin"/>
    <s v="IDH80097"/>
    <s v="Associate engineer"/>
    <x v="7"/>
    <x v="1"/>
    <s v="IMPACT"/>
    <d v="2023-09-04T00:00:00"/>
    <d v="2024-10-31T00:00:00"/>
    <s v="1 Tahun 4 Bulan 26 Hari "/>
    <n v="423"/>
    <n v="60"/>
    <n v="2"/>
    <n v="480"/>
    <n v="240"/>
    <n v="206"/>
    <n v="0.8"/>
    <n v="4"/>
    <n v="0.85833333333333328"/>
    <n v="0.17166666666666666"/>
    <d v="1899-12-30T00:41:00"/>
    <d v="1899-12-30T00:41:00"/>
    <d v="1899-12-30T10:03:34"/>
    <n v="1"/>
    <n v="1"/>
    <n v="1"/>
    <n v="1.25"/>
    <n v="3"/>
    <n v="1"/>
    <n v="0.25"/>
    <d v="1899-12-30T00:34:53"/>
    <n v="1.25"/>
    <n v="5"/>
    <n v="1"/>
    <n v="0.25"/>
    <n v="1"/>
    <n v="1"/>
    <n v="1"/>
    <n v="0"/>
    <n v="0"/>
    <n v="1"/>
    <n v="0"/>
    <n v="1"/>
    <n v="1"/>
    <n v="5"/>
    <n v="0.625"/>
    <n v="9.375E-2"/>
    <n v="75"/>
    <n v="75"/>
    <n v="90"/>
    <n v="85"/>
    <n v="80"/>
    <n v="1"/>
    <n v="405"/>
    <n v="0.98765432098765427"/>
    <n v="0.19753086419753085"/>
    <n v="5.3"/>
    <n v="81"/>
    <n v="0.96294753086419749"/>
    <s v="Sangat Baik"/>
    <s v="Level Up"/>
    <s v="Engineer"/>
  </r>
  <r>
    <n v="11"/>
    <s v="Achmad Azizul Hakim Nugroho"/>
    <s v="IDH40041"/>
    <s v="Senior engineer"/>
    <x v="0"/>
    <x v="0"/>
    <s v="GSS"/>
    <d v="2018-10-15T00:00:00"/>
    <d v="2024-10-31T00:00:00"/>
    <s v="6 Tahun 3 Bulan 15 Hari "/>
    <n v="2208"/>
    <n v="1384"/>
    <n v="22"/>
    <n v="6775"/>
    <n v="307.95454545454544"/>
    <n v="525"/>
    <n v="1"/>
    <n v="5"/>
    <n v="1.7047970479704797"/>
    <n v="0.34095940959409599"/>
    <d v="1920-12-04T22:00:11"/>
    <d v="1899-12-30T00:03:33"/>
    <d v="1899-12-30T00:12:16"/>
    <n v="0"/>
    <n v="1"/>
    <n v="1"/>
    <n v="0.8"/>
    <n v="2"/>
    <n v="0.66666666666666663"/>
    <n v="0.16666666666666666"/>
    <d v="1899-12-30T01:43:04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80"/>
    <n v="80"/>
    <n v="80"/>
    <n v="80"/>
    <n v="1"/>
    <n v="395"/>
    <n v="0.98734177215189878"/>
    <n v="0.19746835443037977"/>
    <n v="4.4000000000000004"/>
    <n v="79"/>
    <n v="0.9613444306911425"/>
    <s v="Sangat Baik"/>
    <s v="Stay"/>
    <s v="Senior engineer"/>
  </r>
  <r>
    <n v="12"/>
    <s v="Muhammad Faisal"/>
    <s v="IDH70042"/>
    <s v="Senior engineer"/>
    <x v="8"/>
    <x v="2"/>
    <s v="SIPRAMA"/>
    <d v="2020-10-19T00:00:00"/>
    <d v="2024-10-31T00:00:00"/>
    <s v="4 Tahun 3 Bulan 11 Hari "/>
    <n v="1473"/>
    <n v="171"/>
    <n v="4"/>
    <n v="1473"/>
    <n v="368.25"/>
    <n v="611"/>
    <n v="1"/>
    <n v="5"/>
    <n v="1.6591989137813985"/>
    <n v="0.33183978275627973"/>
    <d v="1985-01-13T13:47:20"/>
    <d v="1988-06-10T02:31:32"/>
    <d v="2004-05-31T13:27:03"/>
    <n v="0"/>
    <n v="0"/>
    <n v="1"/>
    <n v="0.75"/>
    <n v="1"/>
    <n v="0.33333333333333331"/>
    <n v="8.3333333333333329E-2"/>
    <d v="1899-12-30T00:48:49"/>
    <n v="1.25"/>
    <n v="5"/>
    <n v="1"/>
    <n v="0.25"/>
    <n v="1"/>
    <n v="1"/>
    <n v="1"/>
    <n v="0"/>
    <n v="1"/>
    <n v="1"/>
    <n v="0"/>
    <n v="0"/>
    <n v="1"/>
    <n v="5"/>
    <n v="0.625"/>
    <n v="9.375E-2"/>
    <n v="75"/>
    <n v="60"/>
    <n v="85"/>
    <n v="90"/>
    <n v="90"/>
    <n v="1"/>
    <n v="400"/>
    <n v="0.98750000000000004"/>
    <n v="0.19750000000000001"/>
    <n v="5"/>
    <n v="80"/>
    <n v="0.95642311608961306"/>
    <s v="Sangat Baik"/>
    <s v="Stay"/>
    <s v="Senior engineer"/>
  </r>
  <r>
    <n v="13"/>
    <s v="M. Rahmatullah Habibuddin"/>
    <s v="IDH60081"/>
    <s v="Engineer"/>
    <x v="9"/>
    <x v="2"/>
    <s v="CITIUS"/>
    <d v="2022-07-04T00:00:00"/>
    <d v="2024-10-31T00:00:00"/>
    <s v="2 Tahun 6 Bulan 26 Hari "/>
    <n v="850"/>
    <n v="448"/>
    <n v="7"/>
    <n v="2614"/>
    <n v="373.42857142857144"/>
    <n v="374"/>
    <n v="1"/>
    <n v="5"/>
    <n v="1.0015302218821729"/>
    <n v="0.20030604437643459"/>
    <d v="1899-12-30T01:01:46"/>
    <d v="1899-12-30T00:20:05"/>
    <d v="1899-12-30T02:43:17"/>
    <n v="1"/>
    <n v="1"/>
    <n v="1"/>
    <n v="1.25"/>
    <n v="3"/>
    <n v="1"/>
    <n v="0.25"/>
    <d v="1899-12-30T00:49:44"/>
    <n v="1.25"/>
    <n v="5"/>
    <n v="1"/>
    <n v="0.25"/>
    <n v="1"/>
    <n v="1"/>
    <n v="1"/>
    <n v="0"/>
    <n v="0"/>
    <n v="0"/>
    <n v="0"/>
    <n v="0"/>
    <n v="0.6"/>
    <n v="3"/>
    <n v="0.375"/>
    <n v="5.6249999999999994E-2"/>
    <n v="75"/>
    <n v="85"/>
    <n v="85"/>
    <n v="85"/>
    <n v="85"/>
    <n v="1"/>
    <n v="415"/>
    <n v="0.98795180722891562"/>
    <n v="0.19759036144578312"/>
    <n v="5.0999999999999996"/>
    <n v="83"/>
    <n v="0.95414640582221777"/>
    <s v="Sangat Baik"/>
    <s v="Stay"/>
    <s v="Engineer"/>
  </r>
  <r>
    <n v="14"/>
    <s v="Markus Damai"/>
    <s v="IDH60067"/>
    <s v="Engineer"/>
    <x v="10"/>
    <x v="2"/>
    <s v="CITIUS"/>
    <d v="2022-05-09T00:00:00"/>
    <d v="2024-10-31T00:00:00"/>
    <s v="2 Tahun 8 Bulan 21 Hari "/>
    <n v="906"/>
    <n v="69"/>
    <n v="1"/>
    <n v="505"/>
    <n v="505"/>
    <n v="457"/>
    <n v="0.8"/>
    <n v="4"/>
    <n v="0.90495049504950498"/>
    <n v="0.18099009900990101"/>
    <d v="1899-12-30T01:25:00"/>
    <d v="1899-12-30T00:00:00"/>
    <d v="1982-12-28T19:15:00"/>
    <n v="1"/>
    <n v="1"/>
    <n v="1"/>
    <n v="1.25"/>
    <n v="3"/>
    <n v="1"/>
    <n v="0.25"/>
    <d v="1899-12-30T00:31:36"/>
    <n v="1.25"/>
    <n v="5"/>
    <n v="1"/>
    <n v="0.25"/>
    <n v="1"/>
    <n v="1"/>
    <n v="1"/>
    <n v="0"/>
    <n v="1"/>
    <n v="0"/>
    <n v="0"/>
    <n v="0"/>
    <n v="0.8"/>
    <n v="4"/>
    <n v="0.5"/>
    <n v="7.4999999999999997E-2"/>
    <n v="75"/>
    <n v="75"/>
    <n v="85"/>
    <n v="90"/>
    <n v="85"/>
    <n v="1"/>
    <n v="410"/>
    <n v="0.98780487804878048"/>
    <n v="0.19756097560975611"/>
    <n v="5.0999999999999996"/>
    <n v="82"/>
    <n v="0.95355107461965716"/>
    <s v="Sangat Baik"/>
    <s v="Level Up"/>
    <s v="Senior engineer"/>
  </r>
  <r>
    <n v="15"/>
    <s v="Rizaldy Wahyu P"/>
    <s v="IDH40081"/>
    <s v="Engineer"/>
    <x v="11"/>
    <x v="1"/>
    <s v="SIPRAMA"/>
    <d v="2019-10-02T00:00:00"/>
    <d v="2024-10-31T00:00:00"/>
    <s v="5 Tahun 3 Bulan 28 Hari "/>
    <n v="1856"/>
    <n v="897"/>
    <n v="13"/>
    <n v="6212"/>
    <n v="477.84615384615387"/>
    <n v="785"/>
    <n v="1"/>
    <n v="5"/>
    <n v="1.6427881519639407"/>
    <n v="0.32855763039278818"/>
    <d v="2007-06-23T10:23:30"/>
    <d v="2024-08-16T18:43:20"/>
    <d v="2024-08-25T04:14:11"/>
    <n v="0"/>
    <n v="0"/>
    <n v="1"/>
    <n v="0.4"/>
    <n v="1"/>
    <n v="0.33333333333333331"/>
    <n v="8.3333333333333329E-2"/>
    <d v="1899-12-30T00:48:16"/>
    <n v="1.25"/>
    <n v="5"/>
    <n v="1"/>
    <n v="0.25"/>
    <n v="1"/>
    <n v="1"/>
    <n v="1"/>
    <n v="0"/>
    <n v="1"/>
    <n v="1"/>
    <n v="0"/>
    <n v="0"/>
    <n v="1"/>
    <n v="5"/>
    <n v="0.625"/>
    <n v="9.375E-2"/>
    <n v="80"/>
    <n v="90"/>
    <n v="90"/>
    <n v="90"/>
    <n v="85"/>
    <n v="1"/>
    <n v="435"/>
    <n v="0.9885057471264368"/>
    <n v="0.19770114942528738"/>
    <n v="4.6500000000000004"/>
    <n v="87"/>
    <n v="0.95334211315140882"/>
    <s v="Sangat Baik"/>
    <s v="Level Up"/>
    <s v="Senior engineer"/>
  </r>
  <r>
    <n v="16"/>
    <s v="Fajar Nurohman"/>
    <s v="IDH20035"/>
    <s v="Senior engineer"/>
    <x v="12"/>
    <x v="1"/>
    <s v="IMPACT"/>
    <d v="2018-10-05T00:00:00"/>
    <d v="2024-10-31T00:00:00"/>
    <s v="6 Tahun 3 Bulan 25 Hari "/>
    <n v="2218"/>
    <n v="1040"/>
    <n v="17"/>
    <n v="7455"/>
    <n v="438.52941176470586"/>
    <n v="837"/>
    <n v="0.8"/>
    <n v="4"/>
    <n v="0.80480769230769234"/>
    <n v="0.16096153846153849"/>
    <d v="1899-12-30T01:05:00"/>
    <d v="1899-12-30T01:43:00"/>
    <d v="2024-07-22T08:56:19"/>
    <n v="1"/>
    <n v="1"/>
    <n v="1"/>
    <n v="1.25"/>
    <n v="3"/>
    <n v="1"/>
    <n v="0.25"/>
    <d v="1899-12-30T00:21:50"/>
    <n v="1.25"/>
    <n v="5"/>
    <n v="1"/>
    <n v="0.25"/>
    <n v="1"/>
    <n v="1"/>
    <n v="1"/>
    <n v="1"/>
    <n v="1"/>
    <n v="0"/>
    <n v="0"/>
    <n v="0"/>
    <n v="1"/>
    <n v="5"/>
    <n v="0.625"/>
    <n v="9.375E-2"/>
    <n v="80"/>
    <n v="85"/>
    <n v="90"/>
    <n v="90"/>
    <n v="90"/>
    <n v="1"/>
    <n v="435"/>
    <n v="0.9885057471264368"/>
    <n v="0.19770114942528738"/>
    <n v="5.3"/>
    <n v="87"/>
    <n v="0.95241268788682587"/>
    <s v="Sangat Baik"/>
    <s v="Stay"/>
    <s v="Senior engineer"/>
  </r>
  <r>
    <n v="17"/>
    <s v="Viqri Haikal"/>
    <s v="IDH10008"/>
    <s v="Associate engineer"/>
    <x v="13"/>
    <x v="2"/>
    <s v="KINARYA"/>
    <d v="2024-06-01T00:00:00"/>
    <d v="2024-10-31T00:00:00"/>
    <s v="0 Tahun 7 Bulan 29 Hari "/>
    <n v="152"/>
    <n v="42"/>
    <n v="1"/>
    <n v="65"/>
    <n v="65"/>
    <n v="151"/>
    <n v="1"/>
    <n v="5"/>
    <n v="2.3230769230769233"/>
    <n v="0.46461538461538465"/>
    <d v="1899-12-30T00:34:39"/>
    <d v="1899-12-30T01:23:17"/>
    <d v="1908-04-19T13:52:48"/>
    <n v="1"/>
    <n v="1"/>
    <n v="1"/>
    <n v="1.25"/>
    <n v="3"/>
    <n v="1"/>
    <n v="0.25"/>
    <d v="1899-12-30T00:00:00"/>
    <n v="1.25"/>
    <n v="5"/>
    <n v="0"/>
    <n v="0"/>
    <n v="1"/>
    <n v="1"/>
    <n v="0"/>
    <n v="0"/>
    <n v="0"/>
    <n v="0"/>
    <n v="0"/>
    <n v="0"/>
    <n v="0.4"/>
    <n v="2"/>
    <n v="0.25"/>
    <n v="3.7499999999999999E-2"/>
    <n v="75"/>
    <n v="70"/>
    <n v="75"/>
    <n v="70"/>
    <n v="75"/>
    <n v="0.8"/>
    <n v="365"/>
    <n v="0.98630136986301364"/>
    <n v="0.19726027397260273"/>
    <n v="4.7"/>
    <n v="73"/>
    <n v="0.94937565858798734"/>
    <s v="New CE"/>
    <s v="Stay"/>
    <s v="Associate engineer"/>
  </r>
  <r>
    <n v="18"/>
    <s v="M Sugi Arto"/>
    <s v="IDH70017"/>
    <s v="Engineer"/>
    <x v="5"/>
    <x v="1"/>
    <s v="SIPRAMA"/>
    <d v="2022-10-03T00:00:00"/>
    <d v="2024-10-31T00:00:00"/>
    <s v="2 Tahun 3 Bulan 27 Hari "/>
    <n v="759"/>
    <n v="329"/>
    <n v="6"/>
    <n v="1945"/>
    <n v="324.16666666666669"/>
    <n v="335"/>
    <n v="1"/>
    <n v="5"/>
    <n v="1.0334190231362468"/>
    <n v="0.20668380462724936"/>
    <d v="1899-12-30T00:43:10"/>
    <d v="1899-12-30T00:20:18"/>
    <d v="1899-12-30T02:26:27"/>
    <n v="1"/>
    <n v="1"/>
    <n v="1"/>
    <n v="1.25"/>
    <n v="3"/>
    <n v="1"/>
    <n v="0.25"/>
    <d v="1899-12-30T01:55:15"/>
    <n v="1"/>
    <n v="4"/>
    <n v="0.8"/>
    <n v="0.2"/>
    <n v="1"/>
    <n v="1"/>
    <n v="0"/>
    <n v="0"/>
    <n v="1"/>
    <n v="1"/>
    <n v="1"/>
    <n v="0"/>
    <n v="1"/>
    <n v="5"/>
    <n v="0.625"/>
    <n v="9.375E-2"/>
    <n v="75"/>
    <n v="60"/>
    <n v="90"/>
    <n v="90"/>
    <n v="85"/>
    <n v="1"/>
    <n v="400"/>
    <n v="0.98750000000000004"/>
    <n v="0.19750000000000001"/>
    <n v="5.25"/>
    <n v="80"/>
    <n v="0.94793380462724941"/>
    <s v="Sangat Baik"/>
    <s v="Level Up"/>
    <s v="Senior engineer"/>
  </r>
  <r>
    <n v="19"/>
    <s v="Aprilian K Tamau"/>
    <s v="IDH80025"/>
    <s v="Associate engineer"/>
    <x v="14"/>
    <x v="2"/>
    <s v="IMPACT"/>
    <d v="2023-09-04T00:00:00"/>
    <d v="2024-10-31T00:00:00"/>
    <s v="1 Tahun 4 Bulan 26 Hari "/>
    <n v="423"/>
    <n v="59"/>
    <n v="2"/>
    <n v="448"/>
    <n v="224"/>
    <n v="268"/>
    <n v="1"/>
    <n v="5"/>
    <n v="1.1964285714285714"/>
    <n v="0.2392857142857143"/>
    <d v="1899-12-30T01:26:00"/>
    <d v="1899-12-30T00:28:03"/>
    <d v="1937-04-29T17:52:29"/>
    <n v="1"/>
    <n v="1"/>
    <n v="1"/>
    <n v="1.25"/>
    <n v="3"/>
    <n v="1"/>
    <n v="0.25"/>
    <d v="1899-12-30T01:28:25"/>
    <n v="1"/>
    <n v="4"/>
    <n v="0.8"/>
    <n v="0.2"/>
    <n v="1"/>
    <n v="1"/>
    <n v="0"/>
    <n v="0"/>
    <n v="1"/>
    <n v="0"/>
    <n v="0"/>
    <n v="0"/>
    <n v="0.6"/>
    <n v="3"/>
    <n v="0.375"/>
    <n v="5.6249999999999994E-2"/>
    <n v="75"/>
    <n v="75"/>
    <n v="85"/>
    <n v="85"/>
    <n v="85"/>
    <n v="1"/>
    <n v="405"/>
    <n v="0.98765432098765427"/>
    <n v="0.19753086419753085"/>
    <n v="4.8499999999999996"/>
    <n v="81"/>
    <n v="0.94306657848324515"/>
    <s v="Sangat Baik"/>
    <s v="Level Up"/>
    <s v="Engineer"/>
  </r>
  <r>
    <n v="20"/>
    <s v="Bintang Soekarno Adji"/>
    <s v="IDH80035"/>
    <s v="Associate engineer"/>
    <x v="0"/>
    <x v="0"/>
    <s v="IMPACT"/>
    <d v="2023-02-09T00:00:00"/>
    <d v="2024-10-31T00:00:00"/>
    <s v="1 Tahun 11 Bulan 21 Hari "/>
    <n v="630"/>
    <n v="1384"/>
    <n v="22"/>
    <n v="6775"/>
    <n v="307.95454545454544"/>
    <n v="541"/>
    <n v="1"/>
    <n v="5"/>
    <n v="1.7567527675276753"/>
    <n v="0.35135055350553507"/>
    <d v="1903-11-19T00:56:51"/>
    <d v="2024-04-01T10:57:44"/>
    <d v="1899-12-30T00:00:00"/>
    <n v="1"/>
    <n v="0"/>
    <n v="0"/>
    <n v="0.4"/>
    <n v="1"/>
    <n v="0.33333333333333331"/>
    <n v="8.3333333333333329E-2"/>
    <d v="1899-12-30T00:40:44"/>
    <n v="1.25"/>
    <n v="5"/>
    <n v="1"/>
    <n v="0.25"/>
    <n v="1"/>
    <n v="1"/>
    <n v="1"/>
    <n v="0"/>
    <n v="0"/>
    <n v="0"/>
    <n v="0"/>
    <n v="0"/>
    <n v="0.6"/>
    <n v="3"/>
    <n v="0.375"/>
    <n v="5.6249999999999994E-2"/>
    <n v="75"/>
    <n v="70"/>
    <n v="75"/>
    <n v="75"/>
    <n v="75"/>
    <n v="1"/>
    <n v="370"/>
    <n v="0.98648648648648651"/>
    <n v="0.19729729729729731"/>
    <n v="4.25"/>
    <n v="74"/>
    <n v="0.93823118413616569"/>
    <s v="Sangat Baik"/>
    <s v="Level Up"/>
    <s v="Engineer"/>
  </r>
  <r>
    <n v="21"/>
    <s v="Muhammad Saiful Mujab"/>
    <s v="IDH80045"/>
    <s v="Associate engineer"/>
    <x v="15"/>
    <x v="0"/>
    <s v="IMPACT"/>
    <d v="2023-05-29T00:00:00"/>
    <d v="2024-10-31T00:00:00"/>
    <s v="1 Tahun 8 Bulan 1 Hari "/>
    <n v="521"/>
    <n v="85"/>
    <n v="2"/>
    <n v="501"/>
    <n v="250.5"/>
    <n v="266"/>
    <n v="1"/>
    <n v="5"/>
    <n v="1.0618762475049901"/>
    <n v="0.21237524950099804"/>
    <d v="1899-12-30T00:46:51"/>
    <d v="1899-12-30T01:37:34"/>
    <d v="1899-12-30T00:33:01"/>
    <n v="1"/>
    <n v="1"/>
    <n v="1"/>
    <n v="1.25"/>
    <n v="3"/>
    <n v="1"/>
    <n v="0.25"/>
    <d v="1899-12-30T01:05:57"/>
    <n v="1"/>
    <n v="4"/>
    <n v="0.8"/>
    <n v="0.2"/>
    <n v="1"/>
    <n v="1"/>
    <n v="1"/>
    <n v="0"/>
    <n v="0"/>
    <n v="0"/>
    <n v="0"/>
    <n v="1"/>
    <n v="0.8"/>
    <n v="4"/>
    <n v="0.5"/>
    <n v="7.4999999999999997E-2"/>
    <n v="75"/>
    <n v="70"/>
    <n v="90"/>
    <n v="90"/>
    <n v="90"/>
    <n v="1"/>
    <n v="415"/>
    <n v="0.98795180722891562"/>
    <n v="0.19759036144578312"/>
    <n v="5.05"/>
    <n v="83"/>
    <n v="0.9349656109467811"/>
    <s v="Sangat Baik"/>
    <s v="Level Up"/>
    <s v="Engineer"/>
  </r>
  <r>
    <n v="22"/>
    <s v="Wahyudi Aulia"/>
    <s v="IDH30023"/>
    <s v="Senior engineer"/>
    <x v="16"/>
    <x v="2"/>
    <s v="IMPACT"/>
    <d v="2017-09-04T00:00:00"/>
    <d v="2024-10-31T00:00:00"/>
    <s v="7 Tahun 4 Bulan 26 Hari "/>
    <n v="2614"/>
    <n v="211"/>
    <n v="4"/>
    <n v="1415"/>
    <n v="353.75"/>
    <n v="447"/>
    <n v="1"/>
    <n v="5"/>
    <n v="1.2636042402826855"/>
    <n v="0.25272084805653711"/>
    <d v="1956-02-23T12:04:00"/>
    <d v="1931-01-27T11:09:28"/>
    <d v="1922-08-12T00:49:11"/>
    <n v="0"/>
    <n v="0"/>
    <n v="1"/>
    <n v="0.75"/>
    <n v="1"/>
    <n v="0.33333333333333331"/>
    <n v="8.3333333333333329E-2"/>
    <d v="1899-12-30T00:47:50"/>
    <n v="1.25"/>
    <n v="5"/>
    <n v="1"/>
    <n v="0.25"/>
    <n v="1"/>
    <n v="1"/>
    <n v="1"/>
    <n v="1"/>
    <n v="1"/>
    <n v="1"/>
    <n v="1"/>
    <n v="1"/>
    <n v="1"/>
    <n v="8"/>
    <n v="1"/>
    <n v="0.15"/>
    <n v="75"/>
    <n v="60"/>
    <n v="85"/>
    <n v="90"/>
    <n v="90"/>
    <n v="1"/>
    <n v="400"/>
    <n v="0.98750000000000004"/>
    <n v="0.19750000000000001"/>
    <n v="5"/>
    <n v="80"/>
    <n v="0.93355418138987045"/>
    <s v="Sangat Baik"/>
    <s v="Stay"/>
    <s v="Senior engineer"/>
  </r>
  <r>
    <n v="23"/>
    <s v="I Gede Agus Satriya Bayu"/>
    <s v="IDH70071"/>
    <s v="Engineer"/>
    <x v="17"/>
    <x v="2"/>
    <s v="SIPRAMA"/>
    <d v="2021-02-01T00:00:00"/>
    <d v="2024-10-31T00:00:00"/>
    <s v="3 Tahun 11 Bulan 29 Hari "/>
    <n v="1368"/>
    <n v="612"/>
    <n v="11"/>
    <n v="5254"/>
    <n v="477.63636363636363"/>
    <n v="483"/>
    <n v="1"/>
    <n v="5"/>
    <n v="1.0112295393985535"/>
    <n v="0.20224590787971072"/>
    <d v="1899-12-30T01:28:00"/>
    <d v="1899-12-30T01:50:00"/>
    <d v="1899-12-30T00:00:06"/>
    <n v="0"/>
    <n v="1"/>
    <n v="1"/>
    <n v="0.8"/>
    <n v="2"/>
    <n v="0.66666666666666663"/>
    <n v="0.16666666666666666"/>
    <d v="1899-12-30T00:59:57"/>
    <n v="1.25"/>
    <n v="5"/>
    <n v="1"/>
    <n v="0.25"/>
    <n v="1"/>
    <n v="1"/>
    <n v="1"/>
    <n v="1"/>
    <n v="1"/>
    <n v="0"/>
    <n v="1"/>
    <n v="0"/>
    <n v="1"/>
    <n v="6"/>
    <n v="0.75"/>
    <n v="0.11249999999999999"/>
    <n v="75"/>
    <n v="75"/>
    <n v="85"/>
    <n v="95"/>
    <n v="90"/>
    <n v="1"/>
    <n v="420"/>
    <n v="0.98809523809523814"/>
    <n v="0.19761904761904764"/>
    <n v="5.05"/>
    <n v="84"/>
    <n v="0.9290316221654249"/>
    <s v="Sangat Baik"/>
    <s v="Level Up"/>
    <s v="Senior engineer"/>
  </r>
  <r>
    <n v="24"/>
    <s v="Heru Pangihutan Tobing"/>
    <s v="IDH60009"/>
    <s v="Engineer"/>
    <x v="18"/>
    <x v="2"/>
    <s v="CITIUS"/>
    <d v="2021-08-23T00:00:00"/>
    <d v="2024-10-31T00:00:00"/>
    <s v="3 Tahun 5 Bulan 7 Hari "/>
    <n v="1165"/>
    <n v="401"/>
    <n v="7"/>
    <n v="2754"/>
    <n v="393.42857142857144"/>
    <n v="533"/>
    <n v="1"/>
    <n v="5"/>
    <n v="1.3547567175018156"/>
    <n v="0.27095134350036315"/>
    <d v="1904-04-12T14:46:43"/>
    <d v="1899-12-30T00:24:18"/>
    <d v="1908-04-19T13:43:57"/>
    <n v="0"/>
    <n v="1"/>
    <n v="1"/>
    <n v="0.8"/>
    <n v="2"/>
    <n v="0.66666666666666663"/>
    <n v="0.16666666666666666"/>
    <d v="1899-12-30T01:20:43"/>
    <n v="1"/>
    <n v="4"/>
    <n v="0.8"/>
    <n v="0.2"/>
    <n v="1"/>
    <n v="1"/>
    <n v="1"/>
    <n v="0"/>
    <n v="1"/>
    <n v="1"/>
    <n v="0"/>
    <n v="0"/>
    <n v="1"/>
    <n v="5"/>
    <n v="0.625"/>
    <n v="9.375E-2"/>
    <n v="80"/>
    <n v="80"/>
    <n v="80"/>
    <n v="85"/>
    <n v="85"/>
    <n v="1"/>
    <n v="410"/>
    <n v="0.98780487804878048"/>
    <n v="0.19756097560975611"/>
    <n v="4.8"/>
    <n v="82"/>
    <n v="0.92892898577678595"/>
    <s v="Sangat Baik"/>
    <s v="Stay"/>
    <s v="Engineer"/>
  </r>
  <r>
    <n v="25"/>
    <s v="Zeth Taba Mangiwa"/>
    <s v="IDH50009"/>
    <s v="Engineer"/>
    <x v="19"/>
    <x v="2"/>
    <s v="SIPRAMA"/>
    <d v="2020-10-19T00:00:00"/>
    <d v="2024-10-31T00:00:00"/>
    <s v="4 Tahun 3 Bulan 11 Hari "/>
    <n v="1473"/>
    <n v="64"/>
    <n v="2"/>
    <n v="500"/>
    <n v="250"/>
    <n v="277"/>
    <n v="1"/>
    <n v="5"/>
    <n v="1.1080000000000001"/>
    <n v="0.22160000000000002"/>
    <d v="1899-12-30T00:41:00"/>
    <d v="1917-09-26T01:26:06"/>
    <d v="1936-07-24T04:11:06"/>
    <n v="1"/>
    <n v="1"/>
    <n v="1"/>
    <n v="1.25"/>
    <n v="3"/>
    <n v="1"/>
    <n v="0.25"/>
    <d v="1899-12-30T01:19:10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85"/>
    <n v="85"/>
    <n v="85"/>
    <n v="1"/>
    <n v="405"/>
    <n v="0.98765432098765427"/>
    <n v="0.19753086419753085"/>
    <n v="4.8499999999999996"/>
    <n v="81"/>
    <n v="0.92538086419753085"/>
    <s v="Sangat Baik"/>
    <s v="Level Up"/>
    <s v="Senior engineer"/>
  </r>
  <r>
    <n v="26"/>
    <s v="Muhammad Sofyan"/>
    <s v="IDH40093"/>
    <s v="Engineer"/>
    <x v="20"/>
    <x v="0"/>
    <s v="GSS"/>
    <d v="2020-01-06T00:00:00"/>
    <d v="2024-10-31T00:00:00"/>
    <s v="5 Tahun 0 Bulan 24 Hari "/>
    <n v="1760"/>
    <n v="213"/>
    <n v="3"/>
    <n v="1330"/>
    <n v="443.33333333333331"/>
    <n v="472"/>
    <n v="1"/>
    <n v="5"/>
    <n v="1.0646616541353384"/>
    <n v="0.2129323308270677"/>
    <d v="1902-10-30T12:31:06"/>
    <d v="1899-12-30T01:15:24"/>
    <d v="1899-12-30T00:07:14"/>
    <n v="0"/>
    <n v="1"/>
    <n v="1"/>
    <n v="1"/>
    <n v="2"/>
    <n v="0.66666666666666663"/>
    <n v="0.16666666666666666"/>
    <d v="1899-12-30T00:50:06"/>
    <n v="1.25"/>
    <n v="5"/>
    <n v="1"/>
    <n v="0.25"/>
    <n v="1"/>
    <n v="1"/>
    <n v="1"/>
    <n v="0"/>
    <n v="1"/>
    <n v="0"/>
    <n v="0"/>
    <n v="1"/>
    <n v="1"/>
    <n v="5"/>
    <n v="0.625"/>
    <n v="9.375E-2"/>
    <n v="85"/>
    <n v="70"/>
    <n v="90"/>
    <n v="90"/>
    <n v="90"/>
    <n v="1"/>
    <n v="425"/>
    <n v="0.9882352941176471"/>
    <n v="0.19764705882352943"/>
    <n v="5.25"/>
    <n v="85"/>
    <n v="0.92099605631726378"/>
    <s v="Sangat Baik"/>
    <s v="Level Up"/>
    <s v="Senior engineer"/>
  </r>
  <r>
    <n v="27"/>
    <s v="Yusuf Saputra"/>
    <s v="IDH70050"/>
    <s v="Associate engineer"/>
    <x v="4"/>
    <x v="0"/>
    <s v="SIPRAMA"/>
    <d v="2022-11-17T00:00:00"/>
    <d v="2024-10-31T00:00:00"/>
    <s v="2 Tahun 2 Bulan 13 Hari "/>
    <n v="714"/>
    <n v="625"/>
    <n v="10"/>
    <n v="4149"/>
    <n v="414.9"/>
    <n v="450"/>
    <n v="1"/>
    <n v="5"/>
    <n v="1.0845986984815619"/>
    <n v="0.2169197396963124"/>
    <d v="1899-12-30T00:11:18"/>
    <d v="1899-12-30T00:49:01"/>
    <d v="1899-12-30T00:00:16"/>
    <n v="1"/>
    <n v="1"/>
    <n v="1"/>
    <n v="1.25"/>
    <n v="3"/>
    <n v="1"/>
    <n v="0.25"/>
    <d v="1899-12-30T01:06:18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80"/>
    <n v="80"/>
    <n v="80"/>
    <n v="1"/>
    <n v="390"/>
    <n v="0.98717948717948723"/>
    <n v="0.19743589743589746"/>
    <n v="4.8499999999999996"/>
    <n v="78"/>
    <n v="0.92060563713221"/>
    <s v="Sangat Baik"/>
    <s v="Level Up"/>
    <s v="Engineer"/>
  </r>
  <r>
    <n v="28"/>
    <s v="Syahrul Ramadani"/>
    <s v="IDH80099"/>
    <s v="Associate engineer"/>
    <x v="21"/>
    <x v="2"/>
    <s v="IMPACT"/>
    <d v="2023-09-04T00:00:00"/>
    <d v="2024-10-31T00:00:00"/>
    <s v="1 Tahun 4 Bulan 26 Hari "/>
    <n v="423"/>
    <n v="49"/>
    <n v="1"/>
    <n v="262"/>
    <n v="262"/>
    <n v="366"/>
    <n v="1"/>
    <n v="5"/>
    <n v="1.3969465648854962"/>
    <n v="0.27938931297709924"/>
    <d v="1926-03-19T11:55:20"/>
    <d v="1899-12-30T01:35:00"/>
    <d v="1911-04-24T17:54:39"/>
    <n v="0"/>
    <n v="1"/>
    <n v="1"/>
    <n v="0.8"/>
    <n v="2"/>
    <n v="0.66666666666666663"/>
    <n v="0.16666666666666666"/>
    <d v="1899-12-30T01:52:11"/>
    <n v="1"/>
    <n v="4"/>
    <n v="0.8"/>
    <n v="0.2"/>
    <n v="1"/>
    <n v="1"/>
    <n v="0"/>
    <n v="0"/>
    <n v="0"/>
    <n v="1"/>
    <n v="0"/>
    <n v="1"/>
    <n v="0.8"/>
    <n v="4"/>
    <n v="0.5"/>
    <n v="7.4999999999999997E-2"/>
    <n v="80"/>
    <n v="70"/>
    <n v="85"/>
    <n v="85"/>
    <n v="85"/>
    <n v="1"/>
    <n v="405"/>
    <n v="0.98765432098765427"/>
    <n v="0.19753086419753085"/>
    <n v="4.5999999999999996"/>
    <n v="81"/>
    <n v="0.91858684384129674"/>
    <s v="Sangat Baik"/>
    <s v="Level Up"/>
    <s v="Engineer"/>
  </r>
  <r>
    <n v="29"/>
    <s v="Rizky Pratama Putra"/>
    <s v="IDH60066"/>
    <s v="Associate engineer"/>
    <x v="0"/>
    <x v="0"/>
    <s v="CITIUS"/>
    <d v="2022-05-09T00:00:00"/>
    <d v="2024-10-31T00:00:00"/>
    <s v="2 Tahun 8 Bulan 21 Hari "/>
    <n v="906"/>
    <n v="1384"/>
    <n v="22"/>
    <n v="6775"/>
    <n v="307.95454545454544"/>
    <n v="480"/>
    <n v="1"/>
    <n v="5"/>
    <n v="1.5586715867158671"/>
    <n v="0.31173431734317347"/>
    <d v="1904-04-14T14:42:38"/>
    <d v="1899-12-30T00:00:05"/>
    <d v="1899-12-30T00:00:00"/>
    <n v="0"/>
    <n v="1"/>
    <n v="0"/>
    <n v="0.4"/>
    <n v="1"/>
    <n v="0.33333333333333331"/>
    <n v="8.3333333333333329E-2"/>
    <d v="1899-12-30T00:37:12"/>
    <n v="1.25"/>
    <n v="5"/>
    <n v="1"/>
    <n v="0.25"/>
    <n v="1"/>
    <n v="1"/>
    <n v="1"/>
    <n v="1"/>
    <n v="0"/>
    <n v="0"/>
    <n v="0"/>
    <n v="0"/>
    <n v="0.8"/>
    <n v="4"/>
    <n v="0.5"/>
    <n v="7.4999999999999997E-2"/>
    <n v="75"/>
    <n v="80"/>
    <n v="80"/>
    <n v="80"/>
    <n v="80"/>
    <n v="1"/>
    <n v="395"/>
    <n v="0.98734177215189878"/>
    <n v="0.19746835443037977"/>
    <n v="4.45"/>
    <n v="79"/>
    <n v="0.91753600510688649"/>
    <s v="Sangat Baik"/>
    <s v="Level Up"/>
    <s v="Engineer"/>
  </r>
  <r>
    <n v="30"/>
    <s v="Ilham Ramadhan"/>
    <s v="IDH40119"/>
    <s v="Engineer"/>
    <x v="22"/>
    <x v="1"/>
    <s v="GSS"/>
    <d v="2021-04-05T00:00:00"/>
    <d v="2024-10-31T00:00:00"/>
    <s v="3 Tahun 9 Bulan 25 Hari "/>
    <n v="1305"/>
    <n v="760"/>
    <n v="13"/>
    <n v="5863"/>
    <n v="451"/>
    <n v="362"/>
    <n v="0.8"/>
    <n v="4"/>
    <n v="0.80266075388026603"/>
    <n v="0.16053215077605321"/>
    <d v="1936-06-30T00:29:45"/>
    <d v="1899-12-30T00:00:00"/>
    <d v="1899-12-30T00:00:00"/>
    <n v="1"/>
    <n v="1"/>
    <n v="1"/>
    <n v="1.25"/>
    <n v="3"/>
    <n v="1"/>
    <n v="0.25"/>
    <d v="1899-12-30T00:41:32"/>
    <n v="1.25"/>
    <n v="5"/>
    <n v="1"/>
    <n v="0.25"/>
    <n v="1"/>
    <n v="1"/>
    <n v="1"/>
    <n v="0"/>
    <n v="0"/>
    <n v="0"/>
    <n v="0"/>
    <n v="0"/>
    <n v="0.6"/>
    <n v="3"/>
    <n v="0.375"/>
    <n v="5.6249999999999994E-2"/>
    <n v="75"/>
    <n v="75"/>
    <n v="90"/>
    <n v="90"/>
    <n v="80"/>
    <n v="1"/>
    <n v="410"/>
    <n v="0.98780487804878048"/>
    <n v="0.19756097560975611"/>
    <n v="4.9000000000000004"/>
    <n v="82"/>
    <n v="0.91434312638580928"/>
    <s v="Sangat Baik"/>
    <s v="Level Up"/>
    <s v="Senior engineer"/>
  </r>
  <r>
    <n v="31"/>
    <s v="Surya Lesmana"/>
    <s v="IDH80002"/>
    <s v="Associate engineer"/>
    <x v="23"/>
    <x v="0"/>
    <s v="IMPACT"/>
    <d v="2023-01-09T00:00:00"/>
    <d v="2024-10-31T00:00:00"/>
    <s v="2 Tahun 0 Bulan 21 Hari "/>
    <n v="661"/>
    <n v="305"/>
    <n v="6"/>
    <n v="2074"/>
    <n v="345.66666666666669"/>
    <n v="274"/>
    <n v="0.6"/>
    <n v="3"/>
    <n v="0.7926711668273867"/>
    <n v="0.15853423336547734"/>
    <d v="1899-12-30T01:08:00"/>
    <d v="1899-12-30T00:24:00"/>
    <d v="1899-12-30T00:24:00"/>
    <n v="1"/>
    <n v="1"/>
    <n v="1"/>
    <n v="1.25"/>
    <n v="3"/>
    <n v="1"/>
    <n v="0.25"/>
    <d v="1899-12-30T00:41:16"/>
    <n v="1.25"/>
    <n v="5"/>
    <n v="1"/>
    <n v="0.25"/>
    <n v="1"/>
    <n v="1"/>
    <n v="0"/>
    <n v="0"/>
    <n v="1"/>
    <n v="0"/>
    <n v="0"/>
    <n v="0"/>
    <n v="0.6"/>
    <n v="3"/>
    <n v="0.375"/>
    <n v="5.6249999999999994E-2"/>
    <n v="75"/>
    <n v="75"/>
    <n v="80"/>
    <n v="80"/>
    <n v="80"/>
    <n v="1"/>
    <n v="390"/>
    <n v="0.98717948717948723"/>
    <n v="0.19743589743589746"/>
    <n v="4.7"/>
    <n v="78"/>
    <n v="0.91222013080137487"/>
    <s v="Sangat Baik"/>
    <s v="Level Up"/>
    <s v="Engineer"/>
  </r>
  <r>
    <n v="32"/>
    <s v="Sampoerna Fitra Dharmawan"/>
    <s v="IDH60018"/>
    <s v="Engineer"/>
    <x v="4"/>
    <x v="0"/>
    <s v="CITIUS"/>
    <d v="2021-09-27T00:00:00"/>
    <d v="2024-10-31T00:00:00"/>
    <s v="3 Tahun 4 Bulan 3 Hari "/>
    <n v="1130"/>
    <n v="625"/>
    <n v="10"/>
    <n v="4149"/>
    <n v="414.9"/>
    <n v="379"/>
    <n v="0.8"/>
    <n v="4"/>
    <n v="0.91347312605447095"/>
    <n v="0.18269462521089419"/>
    <d v="1899-12-30T00:12:01"/>
    <d v="1899-12-30T00:20:54"/>
    <d v="1899-12-30T01:36:59"/>
    <n v="1"/>
    <n v="1"/>
    <n v="1"/>
    <n v="1.25"/>
    <n v="3"/>
    <n v="1"/>
    <n v="0.25"/>
    <d v="1899-12-30T01:54:15"/>
    <n v="1"/>
    <n v="4"/>
    <n v="0.8"/>
    <n v="0.2"/>
    <n v="1"/>
    <n v="1"/>
    <n v="1"/>
    <n v="0"/>
    <n v="0"/>
    <n v="1"/>
    <n v="0"/>
    <n v="0"/>
    <n v="0.8"/>
    <n v="4"/>
    <n v="0.5"/>
    <n v="7.4999999999999997E-2"/>
    <n v="75"/>
    <n v="75"/>
    <n v="80"/>
    <n v="80"/>
    <n v="80"/>
    <n v="1"/>
    <n v="390"/>
    <n v="0.98717948717948723"/>
    <n v="0.19743589743589746"/>
    <n v="4.8499999999999996"/>
    <n v="78"/>
    <n v="0.90513052264679161"/>
    <s v="Sangat Baik"/>
    <s v="Stay"/>
    <s v="Engineer"/>
  </r>
  <r>
    <n v="33"/>
    <s v="Ruso Mahesa"/>
    <s v="IDH40097"/>
    <s v="Engineer"/>
    <x v="24"/>
    <x v="0"/>
    <s v="GSS"/>
    <d v="2020-01-06T00:00:00"/>
    <d v="2024-10-31T00:00:00"/>
    <s v="5 Tahun 0 Bulan 24 Hari "/>
    <n v="1760"/>
    <n v="358"/>
    <n v="7"/>
    <n v="2648"/>
    <n v="378.28571428571428"/>
    <n v="444"/>
    <n v="1"/>
    <n v="5"/>
    <n v="1.1737160120845922"/>
    <n v="0.23474320241691846"/>
    <d v="1915-07-26T21:14:22"/>
    <d v="1899-12-30T00:08:28"/>
    <d v="2024-07-09T20:52:52"/>
    <n v="0"/>
    <n v="1"/>
    <n v="1"/>
    <n v="0.8"/>
    <n v="2"/>
    <n v="0.66666666666666663"/>
    <n v="0.16666666666666666"/>
    <d v="1899-12-30T00:35:14"/>
    <n v="1.25"/>
    <n v="5"/>
    <n v="1"/>
    <n v="0.25"/>
    <n v="1"/>
    <n v="1"/>
    <n v="1"/>
    <n v="0"/>
    <n v="0"/>
    <n v="0"/>
    <n v="0"/>
    <n v="0"/>
    <n v="0.6"/>
    <n v="3"/>
    <n v="0.375"/>
    <n v="5.6249999999999994E-2"/>
    <n v="75"/>
    <n v="80"/>
    <n v="75"/>
    <n v="75"/>
    <n v="75"/>
    <n v="1"/>
    <n v="380"/>
    <n v="0.98684210526315785"/>
    <n v="0.19736842105263158"/>
    <n v="4.6500000000000004"/>
    <n v="76"/>
    <n v="0.90502829013621677"/>
    <s v="Sangat Baik"/>
    <s v="Stay"/>
    <s v="Engineer"/>
  </r>
  <r>
    <n v="34"/>
    <s v="Rendi Ariyanto"/>
    <s v="IDH80101"/>
    <s v="Associate engineer"/>
    <x v="25"/>
    <x v="2"/>
    <s v="IMPACT"/>
    <d v="2023-09-11T00:00:00"/>
    <d v="2024-10-31T00:00:00"/>
    <s v="1 Tahun 4 Bulan 19 Hari "/>
    <n v="416"/>
    <n v="28"/>
    <n v="1"/>
    <n v="254"/>
    <n v="254"/>
    <n v="247"/>
    <n v="0.8"/>
    <n v="4"/>
    <n v="0.97244094488188981"/>
    <n v="0.19448818897637798"/>
    <d v="1909-12-15T07:31:29"/>
    <d v="1899-12-30T02:27:55"/>
    <d v="1899-12-30T05:02:47"/>
    <n v="0"/>
    <n v="1"/>
    <n v="1"/>
    <n v="0.8"/>
    <n v="2"/>
    <n v="0.66666666666666663"/>
    <n v="0.16666666666666666"/>
    <d v="1899-12-30T00:58:42"/>
    <n v="1.25"/>
    <n v="5"/>
    <n v="1"/>
    <n v="0.25"/>
    <n v="1"/>
    <n v="1"/>
    <n v="1"/>
    <n v="0"/>
    <n v="0"/>
    <n v="1"/>
    <n v="0"/>
    <n v="1"/>
    <n v="1"/>
    <n v="5"/>
    <n v="0.625"/>
    <n v="9.375E-2"/>
    <n v="75"/>
    <n v="70"/>
    <n v="80"/>
    <n v="80"/>
    <n v="80"/>
    <n v="1"/>
    <n v="385"/>
    <n v="0.98701298701298701"/>
    <n v="0.19740259740259741"/>
    <n v="4.8499999999999996"/>
    <n v="77"/>
    <n v="0.90230745304564208"/>
    <s v="Sangat Baik"/>
    <s v="Level Up"/>
    <s v="Engineer"/>
  </r>
  <r>
    <n v="35"/>
    <s v="Wahyu Danang Adi Saputra"/>
    <s v="IDH40121"/>
    <s v="Associate engineer"/>
    <x v="11"/>
    <x v="1"/>
    <s v="SIPRAMA"/>
    <d v="2021-04-05T00:00:00"/>
    <d v="2024-10-31T00:00:00"/>
    <s v="3 Tahun 9 Bulan 25 Hari "/>
    <n v="1305"/>
    <n v="897"/>
    <n v="13"/>
    <n v="6212"/>
    <n v="477.84615384615387"/>
    <n v="310"/>
    <n v="0.6"/>
    <n v="3"/>
    <n v="0.64874436574372185"/>
    <n v="0.12974887314874436"/>
    <d v="1899-12-30T00:26:00"/>
    <d v="1899-12-30T00:26:00"/>
    <d v="1899-12-30T00:26:00"/>
    <n v="1"/>
    <n v="1"/>
    <n v="1"/>
    <n v="1.25"/>
    <n v="3"/>
    <n v="1"/>
    <n v="0.25"/>
    <d v="1899-12-30T00:35:50"/>
    <n v="1.25"/>
    <n v="5"/>
    <n v="1"/>
    <n v="0.25"/>
    <n v="1"/>
    <n v="1"/>
    <n v="1"/>
    <n v="1"/>
    <n v="0"/>
    <n v="0"/>
    <n v="0"/>
    <n v="0"/>
    <n v="0.8"/>
    <n v="4"/>
    <n v="0.5"/>
    <n v="7.4999999999999997E-2"/>
    <n v="75"/>
    <n v="75"/>
    <n v="90"/>
    <n v="85"/>
    <n v="80"/>
    <n v="1"/>
    <n v="405"/>
    <n v="0.98765432098765427"/>
    <n v="0.19753086419753085"/>
    <n v="4.9000000000000004"/>
    <n v="81"/>
    <n v="0.9022797373462752"/>
    <s v="Sangat Baik"/>
    <s v="Level Up"/>
    <s v="Engineer"/>
  </r>
  <r>
    <n v="36"/>
    <s v="Sony Arip"/>
    <s v="IDH70002"/>
    <s v="Associate engineer"/>
    <x v="0"/>
    <x v="0"/>
    <s v="SIPRAMA"/>
    <d v="2022-08-22T00:00:00"/>
    <d v="2024-10-31T00:00:00"/>
    <s v="2 Tahun 5 Bulan 8 Hari "/>
    <n v="801"/>
    <n v="1384"/>
    <n v="22"/>
    <n v="6775"/>
    <n v="307.95454545454544"/>
    <n v="531"/>
    <n v="1"/>
    <n v="5"/>
    <n v="1.724280442804428"/>
    <n v="0.34485608856088562"/>
    <d v="1913-08-17T05:54:57"/>
    <d v="1939-04-05T05:29:01"/>
    <d v="1899-12-30T00:00:04"/>
    <n v="0"/>
    <n v="0"/>
    <n v="1"/>
    <n v="0.75"/>
    <n v="1"/>
    <n v="0.33333333333333331"/>
    <n v="8.3333333333333329E-2"/>
    <d v="1899-12-30T01:39:47"/>
    <n v="1"/>
    <n v="4"/>
    <n v="0.8"/>
    <n v="0.2"/>
    <n v="1"/>
    <n v="1"/>
    <n v="1"/>
    <n v="1"/>
    <n v="0"/>
    <n v="0"/>
    <n v="0"/>
    <n v="0"/>
    <n v="0.8"/>
    <n v="4"/>
    <n v="0.5"/>
    <n v="7.4999999999999997E-2"/>
    <n v="80"/>
    <n v="75"/>
    <n v="90"/>
    <n v="90"/>
    <n v="85"/>
    <n v="1"/>
    <n v="420"/>
    <n v="0.98809523809523814"/>
    <n v="0.19761904761904764"/>
    <n v="4.55"/>
    <n v="84"/>
    <n v="0.90080846951326654"/>
    <s v="Sangat Baik"/>
    <s v="Level Up"/>
    <s v="Engineer"/>
  </r>
  <r>
    <n v="37"/>
    <s v="Adam Fatchur Rozi"/>
    <s v="IDH70115"/>
    <s v="Associate engineer"/>
    <x v="0"/>
    <x v="0"/>
    <s v="SIPRAMA"/>
    <d v="2024-02-01T00:00:00"/>
    <d v="2024-10-31T00:00:00"/>
    <s v="0 Tahun 11 Bulan 29 Hari "/>
    <n v="273"/>
    <n v="1384"/>
    <n v="22"/>
    <n v="6775"/>
    <n v="307.95454545454544"/>
    <n v="401"/>
    <n v="1"/>
    <n v="5"/>
    <n v="1.3021402214022142"/>
    <n v="0.26042804428044286"/>
    <d v="1899-12-30T00:48:25"/>
    <d v="1899-12-30T01:45:48"/>
    <d v="1899-12-30T00:00:00"/>
    <n v="1"/>
    <n v="1"/>
    <n v="0"/>
    <n v="0.8"/>
    <n v="2"/>
    <n v="0.66666666666666663"/>
    <n v="0.16666666666666666"/>
    <d v="1899-12-30T01:10:44"/>
    <n v="1"/>
    <n v="4"/>
    <n v="0.8"/>
    <n v="0.2"/>
    <n v="1"/>
    <n v="1"/>
    <n v="1"/>
    <n v="0"/>
    <n v="0"/>
    <n v="1"/>
    <n v="0"/>
    <n v="0"/>
    <n v="0.8"/>
    <n v="4"/>
    <n v="0.5"/>
    <n v="7.4999999999999997E-2"/>
    <n v="75"/>
    <n v="75"/>
    <n v="80"/>
    <n v="80"/>
    <n v="80"/>
    <n v="0.8"/>
    <n v="390"/>
    <n v="0.98717948717948723"/>
    <n v="0.19743589743589746"/>
    <n v="4.3999999999999995"/>
    <n v="78"/>
    <n v="0.8995306083830068"/>
    <s v="New CE"/>
    <s v="Stay"/>
    <s v="Associate engineer"/>
  </r>
  <r>
    <n v="38"/>
    <s v="Hutri Leonard Adson Umbu Goyi"/>
    <s v="IDH80046"/>
    <s v="Associate engineer"/>
    <x v="26"/>
    <x v="1"/>
    <s v="IMPACT"/>
    <d v="2023-07-07T00:00:00"/>
    <d v="2024-10-31T00:00:00"/>
    <s v="1 Tahun 6 Bulan 23 Hari "/>
    <n v="482"/>
    <n v="26"/>
    <n v="1"/>
    <n v="133"/>
    <n v="133"/>
    <n v="130"/>
    <n v="0.8"/>
    <n v="4"/>
    <n v="0.97744360902255634"/>
    <n v="0.19548872180451127"/>
    <d v="1917-09-26T01:26:06"/>
    <d v="1899-12-30T01:01:52"/>
    <d v="1913-10-30T03:59:09"/>
    <n v="1"/>
    <n v="1"/>
    <n v="1"/>
    <n v="1.25"/>
    <n v="3"/>
    <n v="1"/>
    <n v="0.25"/>
    <d v="1899-12-30T01:51:56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90"/>
    <n v="85"/>
    <n v="80"/>
    <n v="0.8"/>
    <n v="405"/>
    <n v="0.98765432098765427"/>
    <n v="0.19753086419753085"/>
    <n v="4.45"/>
    <n v="81"/>
    <n v="0.89926958600204221"/>
    <s v="Baik"/>
    <s v="Level Up"/>
    <s v="Engineer"/>
  </r>
  <r>
    <n v="39"/>
    <s v="Marsianus Bonavantura Ria"/>
    <s v="IDH80094"/>
    <s v="Associate engineer"/>
    <x v="27"/>
    <x v="1"/>
    <s v="IMPACT"/>
    <d v="2023-09-04T00:00:00"/>
    <d v="2024-10-31T00:00:00"/>
    <s v="1 Tahun 4 Bulan 26 Hari "/>
    <n v="423"/>
    <n v="37"/>
    <n v="1"/>
    <n v="207"/>
    <n v="207"/>
    <n v="214"/>
    <n v="1"/>
    <n v="5"/>
    <n v="1.0338164251207729"/>
    <n v="0.20676328502415459"/>
    <d v="1899-12-30T00:45:31"/>
    <d v="1899-12-30T02:22:57"/>
    <d v="1909-07-21T23:50:36"/>
    <n v="1"/>
    <n v="1"/>
    <n v="1"/>
    <n v="1.25"/>
    <n v="3"/>
    <n v="1"/>
    <n v="0.25"/>
    <d v="1899-12-30T02:26:47"/>
    <n v="0.75"/>
    <n v="3"/>
    <n v="0.6"/>
    <n v="0.15"/>
    <n v="1"/>
    <n v="1"/>
    <n v="1"/>
    <n v="0"/>
    <n v="0"/>
    <n v="1"/>
    <n v="0"/>
    <n v="1"/>
    <n v="1"/>
    <n v="5"/>
    <n v="0.625"/>
    <n v="9.375E-2"/>
    <n v="75"/>
    <n v="70"/>
    <n v="90"/>
    <n v="85"/>
    <n v="80"/>
    <n v="0.8"/>
    <n v="400"/>
    <n v="0.98750000000000004"/>
    <n v="0.19750000000000001"/>
    <n v="4.8"/>
    <n v="80"/>
    <n v="0.89801328502415456"/>
    <s v="Baik"/>
    <s v="Stay"/>
    <s v="Associate engineer"/>
  </r>
  <r>
    <n v="40"/>
    <s v="Bara Putra"/>
    <s v="IDH70031"/>
    <s v="Associate engineer"/>
    <x v="28"/>
    <x v="2"/>
    <s v="SIPRAMA"/>
    <d v="2022-10-03T00:00:00"/>
    <d v="2024-10-31T00:00:00"/>
    <s v="2 Tahun 3 Bulan 27 Hari "/>
    <n v="759"/>
    <n v="221"/>
    <n v="4"/>
    <n v="1669"/>
    <n v="417.25"/>
    <n v="539"/>
    <n v="1"/>
    <n v="5"/>
    <n v="1.2917914919113243"/>
    <n v="0.25835829838226487"/>
    <d v="1928-01-26T18:42:37"/>
    <d v="1899-12-30T00:35:06"/>
    <d v="1965-10-23T07:44:20"/>
    <n v="0"/>
    <n v="1"/>
    <n v="1"/>
    <n v="0.8"/>
    <n v="2"/>
    <n v="0.66666666666666663"/>
    <n v="0.16666666666666666"/>
    <d v="1899-12-30T01:58:34"/>
    <n v="1"/>
    <n v="4"/>
    <n v="0.8"/>
    <n v="0.2"/>
    <n v="1"/>
    <n v="1"/>
    <n v="1"/>
    <n v="0"/>
    <n v="0"/>
    <n v="1"/>
    <n v="0"/>
    <n v="0"/>
    <n v="0.8"/>
    <n v="4"/>
    <n v="0.5"/>
    <n v="7.4999999999999997E-2"/>
    <n v="75"/>
    <n v="80"/>
    <n v="75"/>
    <n v="75"/>
    <n v="75"/>
    <n v="0.8"/>
    <n v="380"/>
    <n v="0.98684210526315785"/>
    <n v="0.19736842105263158"/>
    <n v="4.3999999999999995"/>
    <n v="76"/>
    <n v="0.89739338610156305"/>
    <s v="Baik"/>
    <s v="Stay"/>
    <s v="Associate engineer"/>
  </r>
  <r>
    <n v="41"/>
    <s v="Bayu Saputra"/>
    <s v="IDH80134"/>
    <s v="Associate engineer"/>
    <x v="29"/>
    <x v="2"/>
    <s v="IMPACT"/>
    <d v="2024-02-01T00:00:00"/>
    <d v="2024-10-31T00:00:00"/>
    <s v="0 Tahun 11 Bulan 29 Hari "/>
    <n v="273"/>
    <n v="126"/>
    <n v="3"/>
    <n v="985"/>
    <n v="328.33333333333331"/>
    <n v="300"/>
    <n v="0.8"/>
    <n v="4"/>
    <n v="0.91370558375634525"/>
    <n v="0.18274111675126906"/>
    <d v="1903-06-15T13:21:18"/>
    <d v="1899-12-30T00:48:15"/>
    <d v="1899-12-30T01:12:34"/>
    <n v="0"/>
    <n v="1"/>
    <n v="1"/>
    <n v="0.8"/>
    <n v="2"/>
    <n v="0.66666666666666663"/>
    <n v="0.16666666666666666"/>
    <d v="1899-12-30T01:07:37"/>
    <n v="1"/>
    <n v="4"/>
    <n v="0.8"/>
    <n v="0.2"/>
    <n v="1"/>
    <n v="1"/>
    <n v="1"/>
    <n v="1"/>
    <n v="1"/>
    <n v="1"/>
    <n v="1"/>
    <n v="1"/>
    <n v="1"/>
    <n v="8"/>
    <n v="1"/>
    <n v="0.15"/>
    <n v="75"/>
    <n v="70"/>
    <n v="85"/>
    <n v="85"/>
    <n v="85"/>
    <n v="0.8"/>
    <n v="400"/>
    <n v="0.98750000000000004"/>
    <n v="0.19750000000000001"/>
    <n v="4.4000000000000004"/>
    <n v="80"/>
    <n v="0.89690778341793576"/>
    <s v="New CE"/>
    <s v="Stay"/>
    <s v="Associate engineer"/>
  </r>
  <r>
    <n v="42"/>
    <s v="Rifcky Fajar Firmanto"/>
    <s v="IDH60076"/>
    <s v="Associate engineer"/>
    <x v="18"/>
    <x v="2"/>
    <s v="CITIUS"/>
    <d v="2022-07-04T00:00:00"/>
    <d v="2024-10-31T00:00:00"/>
    <s v="2 Tahun 6 Bulan 26 Hari "/>
    <n v="850"/>
    <n v="401"/>
    <n v="7"/>
    <n v="2754"/>
    <n v="393.42857142857144"/>
    <n v="358"/>
    <n v="0.8"/>
    <n v="4"/>
    <n v="0.90994916485112565"/>
    <n v="0.18198983297022514"/>
    <d v="1905-05-31T17:14:45"/>
    <d v="1899-12-30T01:43:05"/>
    <d v="1915-07-10T20:06:04"/>
    <n v="0"/>
    <n v="1"/>
    <n v="1"/>
    <n v="0.8"/>
    <n v="2"/>
    <n v="0.66666666666666663"/>
    <n v="0.16666666666666666"/>
    <d v="1899-12-30T01:02:54"/>
    <n v="1"/>
    <n v="4"/>
    <n v="0.8"/>
    <n v="0.2"/>
    <n v="1"/>
    <n v="1"/>
    <n v="1"/>
    <n v="1"/>
    <n v="1"/>
    <n v="1"/>
    <n v="1"/>
    <n v="1"/>
    <n v="1"/>
    <n v="8"/>
    <n v="1"/>
    <n v="0.15"/>
    <n v="80"/>
    <n v="75"/>
    <n v="85"/>
    <n v="85"/>
    <n v="80"/>
    <n v="0.8"/>
    <n v="405"/>
    <n v="0.98765432098765427"/>
    <n v="0.19753086419753085"/>
    <n v="4.4000000000000004"/>
    <n v="81"/>
    <n v="0.89618736383442277"/>
    <s v="Baik"/>
    <s v="Level Up"/>
    <s v="Engineer"/>
  </r>
  <r>
    <n v="43"/>
    <s v="Febri Anggoro Guretno"/>
    <s v="IDH70118"/>
    <s v="Associate engineer"/>
    <x v="15"/>
    <x v="0"/>
    <s v="SIPRAMA"/>
    <d v="2024-05-01T00:00:00"/>
    <d v="2024-10-31T00:00:00"/>
    <s v="0 Tahun 8 Bulan 29 Hari "/>
    <n v="183"/>
    <n v="85"/>
    <n v="2"/>
    <n v="501"/>
    <n v="250.5"/>
    <n v="280"/>
    <n v="1"/>
    <n v="5"/>
    <n v="1.1177644710578842"/>
    <n v="0.22355289421157687"/>
    <d v="1910-12-27T18:54:51"/>
    <d v="1899-12-30T00:20:24"/>
    <d v="1899-12-30T00:40:28"/>
    <n v="0"/>
    <n v="1"/>
    <n v="1"/>
    <n v="0.8"/>
    <n v="2"/>
    <n v="0.66666666666666663"/>
    <n v="0.16666666666666666"/>
    <d v="1899-12-30T00:57:21"/>
    <n v="1.25"/>
    <n v="5"/>
    <n v="1"/>
    <n v="0.25"/>
    <n v="1"/>
    <n v="1"/>
    <n v="1"/>
    <n v="0"/>
    <n v="0"/>
    <n v="0"/>
    <n v="0"/>
    <n v="0"/>
    <n v="0.6"/>
    <n v="3"/>
    <n v="0.375"/>
    <n v="5.6249999999999994E-2"/>
    <n v="75"/>
    <n v="70"/>
    <n v="80"/>
    <n v="80"/>
    <n v="80"/>
    <n v="0.8"/>
    <n v="385"/>
    <n v="0.98701298701298701"/>
    <n v="0.19740259740259741"/>
    <n v="4.45"/>
    <n v="77"/>
    <n v="0.89387215828084088"/>
    <s v="New CE"/>
    <s v="Stay"/>
    <s v="Associate engineer"/>
  </r>
  <r>
    <n v="44"/>
    <s v="Finardi"/>
    <s v="IDH80129"/>
    <s v="Associate engineer"/>
    <x v="30"/>
    <x v="2"/>
    <s v="IMPACT"/>
    <d v="2024-01-15T00:00:00"/>
    <d v="2024-10-31T00:00:00"/>
    <s v="1 Tahun 0 Bulan 15 Hari "/>
    <n v="290"/>
    <n v="31"/>
    <n v="1"/>
    <n v="139"/>
    <n v="139"/>
    <n v="175"/>
    <n v="1"/>
    <n v="5"/>
    <n v="1.2589928057553956"/>
    <n v="0.25179856115107913"/>
    <d v="1899-12-30T00:21:01"/>
    <d v="1899-12-30T00:00:00"/>
    <d v="1913-10-23T13:36:54"/>
    <n v="1"/>
    <n v="0"/>
    <n v="1"/>
    <n v="0.8"/>
    <n v="2"/>
    <n v="0.66666666666666663"/>
    <n v="0.16666666666666666"/>
    <d v="1899-12-30T01:29:37"/>
    <n v="1"/>
    <n v="4"/>
    <n v="0.8"/>
    <n v="0.2"/>
    <n v="1"/>
    <n v="1"/>
    <n v="1"/>
    <n v="0"/>
    <n v="1"/>
    <n v="0"/>
    <n v="0"/>
    <n v="0"/>
    <n v="0.8"/>
    <n v="4"/>
    <n v="0.5"/>
    <n v="7.4999999999999997E-2"/>
    <n v="75"/>
    <n v="75"/>
    <n v="80"/>
    <n v="80"/>
    <n v="80"/>
    <n v="0.8"/>
    <n v="390"/>
    <n v="0.98717948717948723"/>
    <n v="0.19743589743589746"/>
    <n v="4.3999999999999995"/>
    <n v="78"/>
    <n v="0.89090112525364318"/>
    <s v="New CE"/>
    <s v="Stay"/>
    <s v="Associate engineer"/>
  </r>
  <r>
    <n v="45"/>
    <s v="Hasanudin"/>
    <s v="IDH40032"/>
    <s v="Senior engineer"/>
    <x v="31"/>
    <x v="1"/>
    <s v="IMPACT"/>
    <d v="2018-09-07T00:00:00"/>
    <d v="2024-10-31T00:00:00"/>
    <s v="6 Tahun 4 Bulan 23 Hari "/>
    <n v="2246"/>
    <n v="102"/>
    <n v="3"/>
    <n v="916"/>
    <n v="305.33333333333331"/>
    <n v="419"/>
    <n v="1"/>
    <n v="5"/>
    <n v="1.3722707423580787"/>
    <n v="0.27445414847161576"/>
    <d v="1982-02-16T18:36:45"/>
    <d v="1899-12-30T00:00:00"/>
    <d v="1981-07-17T05:56:34"/>
    <n v="0"/>
    <n v="0"/>
    <n v="1"/>
    <n v="0.75"/>
    <n v="1"/>
    <n v="0.33333333333333331"/>
    <n v="8.3333333333333329E-2"/>
    <d v="1899-12-30T01:06:29"/>
    <n v="1"/>
    <n v="4"/>
    <n v="0.8"/>
    <n v="0.2"/>
    <n v="1"/>
    <n v="1"/>
    <n v="1"/>
    <n v="0"/>
    <n v="1"/>
    <n v="1"/>
    <n v="1"/>
    <n v="1"/>
    <n v="1"/>
    <n v="7"/>
    <n v="0.875"/>
    <n v="0.13125000000000001"/>
    <n v="85"/>
    <n v="80"/>
    <n v="90"/>
    <n v="90"/>
    <n v="90"/>
    <n v="0.8"/>
    <n v="435"/>
    <n v="0.9885057471264368"/>
    <n v="0.19770114942528738"/>
    <n v="4.55"/>
    <n v="87"/>
    <n v="0.88673863123023644"/>
    <s v="Baik"/>
    <s v="Stay"/>
    <s v="Senior engineer"/>
  </r>
  <r>
    <n v="46"/>
    <s v="Brian Anggito Abimanyu"/>
    <s v="IDH10013"/>
    <s v="Associate engineer"/>
    <x v="32"/>
    <x v="1"/>
    <s v="KINARYA"/>
    <d v="2024-01-15T00:00:00"/>
    <d v="2024-10-31T00:00:00"/>
    <s v="1 Tahun 0 Bulan 15 Hari "/>
    <n v="290"/>
    <n v="218"/>
    <n v="4"/>
    <n v="1692"/>
    <n v="423"/>
    <n v="162"/>
    <n v="0.2"/>
    <n v="1"/>
    <n v="0.38297872340425532"/>
    <n v="7.6595744680851063E-2"/>
    <d v="1899-12-30T00:58:26"/>
    <d v="1899-12-30T01:10:45"/>
    <d v="1899-12-30T03:59:26"/>
    <n v="1"/>
    <n v="1"/>
    <n v="1"/>
    <n v="1.25"/>
    <n v="3"/>
    <n v="1"/>
    <n v="0.25"/>
    <d v="1899-12-30T00:53:41"/>
    <n v="1.25"/>
    <n v="5"/>
    <n v="1"/>
    <n v="0.25"/>
    <n v="1"/>
    <n v="1"/>
    <n v="1"/>
    <n v="0"/>
    <n v="1"/>
    <n v="1"/>
    <n v="1"/>
    <n v="0"/>
    <n v="1"/>
    <n v="6"/>
    <n v="0.75"/>
    <n v="0.11249999999999999"/>
    <n v="75"/>
    <n v="65"/>
    <n v="90"/>
    <n v="85"/>
    <n v="80"/>
    <n v="0.8"/>
    <n v="395"/>
    <n v="0.98734177215189878"/>
    <n v="0.19746835443037977"/>
    <n v="4.5"/>
    <n v="79"/>
    <n v="0.8865640991112308"/>
    <s v="New CE"/>
    <s v="Stay"/>
    <s v="Associate engineer"/>
  </r>
  <r>
    <n v="47"/>
    <s v="Duvan Deswantara Putra"/>
    <s v="IDH60061"/>
    <s v="Engineer"/>
    <x v="0"/>
    <x v="0"/>
    <s v="CITIUS"/>
    <d v="2022-03-21T00:00:00"/>
    <d v="2024-10-31T00:00:00"/>
    <s v="2 Tahun 10 Bulan 9 Hari "/>
    <n v="955"/>
    <n v="1384"/>
    <n v="22"/>
    <n v="6775"/>
    <n v="307.95454545454544"/>
    <n v="498"/>
    <n v="1"/>
    <n v="5"/>
    <n v="1.6171217712177122"/>
    <n v="0.32342435424354243"/>
    <d v="1902-01-12T16:55:08"/>
    <d v="1899-12-30T00:00:02"/>
    <d v="1899-12-30T00:00:00"/>
    <n v="0"/>
    <n v="1"/>
    <n v="0"/>
    <n v="0.4"/>
    <n v="1"/>
    <n v="0.33333333333333331"/>
    <n v="8.3333333333333329E-2"/>
    <d v="1899-12-30T01:11:44"/>
    <n v="1"/>
    <n v="4"/>
    <n v="0.8"/>
    <n v="0.2"/>
    <n v="1"/>
    <n v="1"/>
    <n v="1"/>
    <n v="1"/>
    <n v="0"/>
    <n v="0"/>
    <n v="0"/>
    <n v="0"/>
    <n v="0.8"/>
    <n v="4"/>
    <n v="0.5"/>
    <n v="7.4999999999999997E-2"/>
    <n v="80"/>
    <n v="65"/>
    <n v="80"/>
    <n v="75"/>
    <n v="80"/>
    <n v="0.8"/>
    <n v="380"/>
    <n v="0.98684210526315785"/>
    <n v="0.19736842105263158"/>
    <n v="4"/>
    <n v="76"/>
    <n v="0.87912610862950724"/>
    <s v="Baik"/>
    <s v="Stay"/>
    <s v="Engineer"/>
  </r>
  <r>
    <n v="48"/>
    <s v="Angga Anugerah Illahi"/>
    <s v="IDH70020"/>
    <s v="Associate engineer"/>
    <x v="33"/>
    <x v="0"/>
    <s v="SIPRAMA"/>
    <d v="2022-10-03T00:00:00"/>
    <d v="2024-10-31T00:00:00"/>
    <s v="2 Tahun 3 Bulan 27 Hari "/>
    <n v="759"/>
    <n v="304"/>
    <n v="5"/>
    <n v="2111"/>
    <n v="422.2"/>
    <n v="585"/>
    <n v="1"/>
    <n v="5"/>
    <n v="1.385599242065372"/>
    <n v="0.27711984841307441"/>
    <d v="1899-12-30T01:43:00"/>
    <d v="1899-12-30T03:20:00"/>
    <d v="2024-09-12T17:36:17"/>
    <n v="1"/>
    <n v="0"/>
    <n v="1"/>
    <n v="1"/>
    <n v="2"/>
    <n v="0.66666666666666663"/>
    <n v="0.16666666666666666"/>
    <d v="1899-12-30T01:12:58"/>
    <n v="1"/>
    <n v="4"/>
    <n v="0.8"/>
    <n v="0.2"/>
    <n v="1"/>
    <n v="1"/>
    <n v="0"/>
    <n v="0"/>
    <n v="0"/>
    <n v="0"/>
    <n v="0"/>
    <n v="0"/>
    <n v="0.4"/>
    <n v="2"/>
    <n v="0.25"/>
    <n v="3.7499999999999999E-2"/>
    <n v="75"/>
    <n v="75"/>
    <n v="90"/>
    <n v="90"/>
    <n v="90"/>
    <n v="0.8"/>
    <n v="420"/>
    <n v="0.98809523809523814"/>
    <n v="0.19761904761904764"/>
    <n v="4.2"/>
    <n v="84"/>
    <n v="0.87890556269878872"/>
    <s v="Baik"/>
    <s v="Level Up"/>
    <s v="Engineer"/>
  </r>
  <r>
    <n v="49"/>
    <s v="Yayan Setiana"/>
    <s v="IDH60015"/>
    <s v="Associate engineer"/>
    <x v="3"/>
    <x v="0"/>
    <s v="CITIUS"/>
    <d v="2021-09-27T00:00:00"/>
    <d v="2024-10-31T00:00:00"/>
    <s v="3 Tahun 4 Bulan 3 Hari "/>
    <n v="1130"/>
    <n v="872"/>
    <n v="15"/>
    <n v="5975"/>
    <n v="398.33333333333331"/>
    <n v="435"/>
    <n v="1"/>
    <n v="5"/>
    <n v="1.092050209205021"/>
    <n v="0.21841004184100421"/>
    <d v="1899-12-30T00:48:00"/>
    <d v="1899-12-30T01:25:00"/>
    <d v="1899-12-30T00:00:00"/>
    <n v="1"/>
    <n v="1"/>
    <n v="0"/>
    <n v="0.8"/>
    <n v="2"/>
    <n v="0.66666666666666663"/>
    <n v="0.16666666666666666"/>
    <d v="1899-12-30T01:06:43"/>
    <n v="1"/>
    <n v="4"/>
    <n v="0.8"/>
    <n v="0.2"/>
    <n v="1"/>
    <n v="1"/>
    <n v="1"/>
    <n v="0"/>
    <n v="1"/>
    <n v="1"/>
    <n v="0"/>
    <n v="0"/>
    <n v="1"/>
    <n v="5"/>
    <n v="0.625"/>
    <n v="9.375E-2"/>
    <n v="75"/>
    <n v="75"/>
    <n v="90"/>
    <n v="90"/>
    <n v="90"/>
    <n v="0.8"/>
    <n v="420"/>
    <n v="0.98809523809523814"/>
    <n v="0.19761904761904764"/>
    <n v="4.5999999999999996"/>
    <n v="84"/>
    <n v="0.87644575612671849"/>
    <s v="Baik"/>
    <s v="Level Up"/>
    <s v="Engineer"/>
  </r>
  <r>
    <n v="50"/>
    <s v="Muhammad Shafarizky"/>
    <s v="IDH80031"/>
    <s v="Associate engineer"/>
    <x v="34"/>
    <x v="2"/>
    <s v="IMPACT"/>
    <d v="2023-02-09T00:00:00"/>
    <d v="2024-10-31T00:00:00"/>
    <s v="1 Tahun 11 Bulan 21 Hari "/>
    <n v="630"/>
    <n v="684"/>
    <n v="10"/>
    <n v="4972"/>
    <n v="497.2"/>
    <n v="476"/>
    <n v="0.8"/>
    <n v="4"/>
    <n v="0.95736122284794856"/>
    <n v="0.19147224456958972"/>
    <d v="1899-12-30T00:41:00"/>
    <d v="1899-12-30T02:41:00"/>
    <d v="1899-12-30T01:20:51"/>
    <n v="1"/>
    <n v="1"/>
    <n v="1"/>
    <n v="1.25"/>
    <n v="3"/>
    <n v="1"/>
    <n v="0.25"/>
    <d v="1899-12-30T01:12:57"/>
    <n v="1"/>
    <n v="4"/>
    <n v="0.8"/>
    <n v="0.2"/>
    <n v="1"/>
    <n v="1"/>
    <n v="0"/>
    <n v="0"/>
    <n v="0"/>
    <n v="0"/>
    <n v="0"/>
    <n v="0"/>
    <n v="0.4"/>
    <n v="2"/>
    <n v="0.25"/>
    <n v="3.7499999999999999E-2"/>
    <n v="75"/>
    <n v="75"/>
    <n v="80"/>
    <n v="80"/>
    <n v="80"/>
    <n v="0.8"/>
    <n v="390"/>
    <n v="0.98717948717948723"/>
    <n v="0.19743589743589746"/>
    <n v="4.25"/>
    <n v="78"/>
    <n v="0.87640814200548722"/>
    <s v="Baik"/>
    <s v="Stay"/>
    <s v="Associate engineer"/>
  </r>
  <r>
    <n v="51"/>
    <s v="Eko Wahyu Pramono"/>
    <s v="IDH20023"/>
    <s v="Senior engineer"/>
    <x v="4"/>
    <x v="0"/>
    <s v="GSS"/>
    <d v="2016-10-03T00:00:00"/>
    <d v="2024-10-31T00:00:00"/>
    <s v="8 Tahun 3 Bulan 27 Hari "/>
    <n v="2950"/>
    <n v="625"/>
    <n v="10"/>
    <n v="4149"/>
    <n v="414.9"/>
    <n v="561"/>
    <n v="1"/>
    <n v="5"/>
    <n v="1.3521330441070138"/>
    <n v="0.27042660882140279"/>
    <d v="1990-03-23T22:25:37"/>
    <d v="1996-11-07T16:41:23"/>
    <d v="1941-05-17T11:21:27"/>
    <n v="0"/>
    <n v="0"/>
    <n v="1"/>
    <n v="0.4"/>
    <n v="1"/>
    <n v="0.33333333333333331"/>
    <n v="8.3333333333333329E-2"/>
    <d v="1899-12-30T00:28:17"/>
    <n v="1.25"/>
    <n v="5"/>
    <n v="1"/>
    <n v="0.25"/>
    <n v="1"/>
    <n v="1"/>
    <n v="1"/>
    <n v="0"/>
    <n v="0"/>
    <n v="1"/>
    <n v="0"/>
    <n v="0"/>
    <n v="0.8"/>
    <n v="4"/>
    <n v="0.5"/>
    <n v="7.4999999999999997E-2"/>
    <n v="70"/>
    <n v="70"/>
    <n v="90"/>
    <n v="80"/>
    <n v="80"/>
    <n v="0.8"/>
    <n v="390"/>
    <n v="0.98717948717948723"/>
    <n v="0.19743589743589746"/>
    <n v="4.25"/>
    <n v="78"/>
    <n v="0.87619583959063352"/>
    <s v="Baik"/>
    <s v="Stay"/>
    <s v="Senior engineer"/>
  </r>
  <r>
    <n v="52"/>
    <s v="Widi Seftiawan Efendi"/>
    <s v="IDH30046"/>
    <s v="Engineer"/>
    <x v="35"/>
    <x v="1"/>
    <s v="SIPRAMA"/>
    <d v="2020-03-02T00:00:00"/>
    <d v="2024-10-31T00:00:00"/>
    <s v="4 Tahun 10 Bulan 28 Hari "/>
    <n v="1704"/>
    <n v="510"/>
    <n v="9"/>
    <n v="3962"/>
    <n v="440.22222222222223"/>
    <n v="452"/>
    <n v="1"/>
    <n v="5"/>
    <n v="1.0267541645633518"/>
    <n v="0.20535083291267037"/>
    <d v="1899-12-30T01:13:00"/>
    <d v="1899-12-30T00:00:00"/>
    <d v="1899-12-30T00:00:00"/>
    <n v="1"/>
    <n v="1"/>
    <n v="0"/>
    <n v="0.8"/>
    <n v="2"/>
    <n v="0.66666666666666663"/>
    <n v="0.16666666666666666"/>
    <d v="1899-12-30T00:48:20"/>
    <n v="1.25"/>
    <n v="5"/>
    <n v="1"/>
    <n v="0.25"/>
    <n v="1"/>
    <n v="1"/>
    <n v="1"/>
    <n v="0"/>
    <n v="0"/>
    <n v="0"/>
    <n v="0"/>
    <n v="0"/>
    <n v="0.6"/>
    <n v="3"/>
    <n v="0.375"/>
    <n v="5.6249999999999994E-2"/>
    <n v="75"/>
    <n v="75"/>
    <n v="90"/>
    <n v="90"/>
    <n v="85"/>
    <n v="0.8"/>
    <n v="415"/>
    <n v="0.98795180722891562"/>
    <n v="0.19759036144578312"/>
    <n v="4.45"/>
    <n v="83"/>
    <n v="0.8758578610251202"/>
    <s v="Baik"/>
    <s v="Level Up"/>
    <s v="Senior engineer"/>
  </r>
  <r>
    <n v="53"/>
    <s v="Fajry Ramadhan"/>
    <s v="IDH70047"/>
    <s v="Associate engineer"/>
    <x v="36"/>
    <x v="2"/>
    <s v="SIPRAMA"/>
    <d v="2022-11-17T00:00:00"/>
    <d v="2024-10-31T00:00:00"/>
    <s v="2 Tahun 2 Bulan 13 Hari "/>
    <n v="714"/>
    <n v="159"/>
    <n v="3"/>
    <n v="1272"/>
    <n v="424"/>
    <n v="402"/>
    <n v="0.8"/>
    <n v="4"/>
    <n v="0.94811320754716977"/>
    <n v="0.18962264150943398"/>
    <d v="1899-12-30T01:21:00"/>
    <d v="1899-12-30T00:31:00"/>
    <d v="1908-11-27T09:54:50"/>
    <n v="1"/>
    <n v="1"/>
    <n v="1"/>
    <n v="1.25"/>
    <n v="3"/>
    <n v="1"/>
    <n v="0.25"/>
    <d v="1899-12-30T01:03:53"/>
    <n v="1"/>
    <n v="4"/>
    <n v="0.8"/>
    <n v="0.2"/>
    <n v="1"/>
    <n v="1"/>
    <n v="0"/>
    <n v="0"/>
    <n v="0"/>
    <n v="0"/>
    <n v="0"/>
    <n v="0"/>
    <n v="0.4"/>
    <n v="2"/>
    <n v="0.25"/>
    <n v="3.7499999999999999E-2"/>
    <n v="75"/>
    <n v="75"/>
    <n v="85"/>
    <n v="85"/>
    <n v="85"/>
    <n v="0.8"/>
    <n v="405"/>
    <n v="0.98765432098765427"/>
    <n v="0.19753086419753085"/>
    <n v="4.25"/>
    <n v="81"/>
    <n v="0.87465350570696476"/>
    <s v="Baik"/>
    <s v="Level Up"/>
    <s v="Engineer"/>
  </r>
  <r>
    <n v="54"/>
    <s v="Iffat Ahmad Baihaki"/>
    <s v="IDH80057"/>
    <s v="Associate engineer"/>
    <x v="9"/>
    <x v="2"/>
    <s v="IMPACT"/>
    <d v="2023-05-29T00:00:00"/>
    <d v="2024-10-31T00:00:00"/>
    <s v="1 Tahun 8 Bulan 1 Hari "/>
    <n v="521"/>
    <n v="448"/>
    <n v="7"/>
    <n v="2614"/>
    <n v="373.42857142857144"/>
    <n v="318"/>
    <n v="0.8"/>
    <n v="4"/>
    <n v="0.85156847742922726"/>
    <n v="0.17031369548584546"/>
    <d v="1899-12-30T01:17:00"/>
    <d v="1899-12-30T00:00:05"/>
    <d v="1962-01-23T03:56:28"/>
    <n v="1"/>
    <n v="1"/>
    <n v="1"/>
    <n v="1.25"/>
    <n v="3"/>
    <n v="1"/>
    <n v="0.25"/>
    <d v="1899-12-30T01:03:09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4.45"/>
    <n v="78"/>
    <n v="0.87399959292174301"/>
    <s v="Baik"/>
    <s v="Level Up"/>
    <s v="Engineer"/>
  </r>
  <r>
    <n v="55"/>
    <s v="Hurdi Wahyu Luhudin Solissa"/>
    <s v="IDH80033"/>
    <s v="Associate engineer"/>
    <x v="37"/>
    <x v="1"/>
    <s v="IMPACT"/>
    <d v="2023-02-09T00:00:00"/>
    <d v="2024-10-31T00:00:00"/>
    <s v="1 Tahun 11 Bulan 21 Hari "/>
    <n v="630"/>
    <n v="75"/>
    <n v="2"/>
    <n v="680"/>
    <n v="340"/>
    <n v="321"/>
    <n v="0.8"/>
    <n v="4"/>
    <n v="0.94411764705882351"/>
    <n v="0.18882352941176472"/>
    <d v="1899-12-30T01:51:00"/>
    <d v="1899-12-30T00:32:00"/>
    <d v="1899-12-30T00:35:45"/>
    <n v="1"/>
    <n v="1"/>
    <n v="1"/>
    <n v="1.25"/>
    <n v="3"/>
    <n v="1"/>
    <n v="0.25"/>
    <d v="1899-12-30T01:27:19"/>
    <n v="1"/>
    <n v="4"/>
    <n v="0.8"/>
    <n v="0.2"/>
    <n v="1"/>
    <n v="1"/>
    <n v="0"/>
    <n v="0"/>
    <n v="0"/>
    <n v="0"/>
    <n v="0"/>
    <n v="0"/>
    <n v="0.4"/>
    <n v="2"/>
    <n v="0.25"/>
    <n v="3.7499999999999999E-2"/>
    <n v="75"/>
    <n v="75"/>
    <n v="90"/>
    <n v="85"/>
    <n v="80"/>
    <n v="0.8"/>
    <n v="405"/>
    <n v="0.98765432098765427"/>
    <n v="0.19753086419753085"/>
    <n v="4.25"/>
    <n v="81"/>
    <n v="0.87385439360929562"/>
    <s v="Baik"/>
    <s v="Level Up"/>
    <s v="Engineer"/>
  </r>
  <r>
    <n v="56"/>
    <s v="Hendra Wahyu Aprilyanto"/>
    <s v="IDH60003"/>
    <s v="Engineer"/>
    <x v="0"/>
    <x v="0"/>
    <s v="CITIUS"/>
    <d v="2021-08-23T00:00:00"/>
    <d v="2024-10-31T00:00:00"/>
    <s v="3 Tahun 5 Bulan 7 Hari "/>
    <n v="1165"/>
    <n v="1384"/>
    <n v="22"/>
    <n v="6775"/>
    <n v="307.95454545454544"/>
    <n v="570"/>
    <n v="1"/>
    <n v="5"/>
    <n v="1.8509225092250923"/>
    <n v="0.3701845018450185"/>
    <d v="1903-09-12T23:20:32"/>
    <d v="1899-12-30T00:00:00"/>
    <d v="1899-12-30T00:00:00"/>
    <n v="0"/>
    <n v="0"/>
    <n v="0"/>
    <n v="0"/>
    <n v="0"/>
    <n v="0"/>
    <n v="0"/>
    <d v="1899-12-30T00:48:25"/>
    <n v="1.25"/>
    <n v="5"/>
    <n v="1"/>
    <n v="0.25"/>
    <n v="1"/>
    <n v="1"/>
    <n v="1"/>
    <n v="0"/>
    <n v="0"/>
    <n v="0"/>
    <n v="0"/>
    <n v="0"/>
    <n v="0.6"/>
    <n v="3"/>
    <n v="0.375"/>
    <n v="5.6249999999999994E-2"/>
    <n v="75"/>
    <n v="60"/>
    <n v="75"/>
    <n v="75"/>
    <n v="75"/>
    <n v="0.8"/>
    <n v="360"/>
    <n v="0.98611111111111116"/>
    <n v="0.19722222222222224"/>
    <n v="3.6500000000000004"/>
    <n v="72"/>
    <n v="0.87365672406724082"/>
    <s v="Baik"/>
    <s v="Stay"/>
    <s v="Engineer"/>
  </r>
  <r>
    <n v="57"/>
    <s v="Bima Putra Harsya"/>
    <s v="IDH80030"/>
    <s v="Associate engineer"/>
    <x v="38"/>
    <x v="2"/>
    <s v="IMPACT"/>
    <d v="2023-02-09T00:00:00"/>
    <d v="2024-10-31T00:00:00"/>
    <s v="1 Tahun 11 Bulan 21 Hari "/>
    <n v="630"/>
    <n v="90"/>
    <n v="2"/>
    <n v="587"/>
    <n v="293.5"/>
    <n v="370"/>
    <n v="1"/>
    <n v="5"/>
    <n v="1.2606473594548553"/>
    <n v="0.25212947189097107"/>
    <d v="1899-12-30T01:04:00"/>
    <d v="1899-12-30T03:15:00"/>
    <d v="1913-10-14T23:07:44"/>
    <n v="1"/>
    <n v="0"/>
    <n v="1"/>
    <n v="0.8"/>
    <n v="2"/>
    <n v="0.66666666666666663"/>
    <n v="0.16666666666666666"/>
    <d v="1899-12-30T01:39:08"/>
    <n v="1"/>
    <n v="4"/>
    <n v="0.8"/>
    <n v="0.2"/>
    <n v="1"/>
    <n v="1"/>
    <n v="0"/>
    <n v="0"/>
    <n v="0"/>
    <n v="0"/>
    <n v="0"/>
    <n v="1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4.2"/>
    <n v="78"/>
    <n v="0.87248203599353524"/>
    <s v="Baik"/>
    <s v="Level Up"/>
    <s v="Engineer"/>
  </r>
  <r>
    <n v="58"/>
    <s v="Ambali"/>
    <s v="IDH30033"/>
    <s v="Associate engineer"/>
    <x v="35"/>
    <x v="1"/>
    <s v="SIPRAMA"/>
    <d v="2018-10-15T00:00:00"/>
    <d v="2024-10-31T00:00:00"/>
    <s v="6 Tahun 3 Bulan 15 Hari "/>
    <n v="2208"/>
    <n v="510"/>
    <n v="9"/>
    <n v="3962"/>
    <n v="440.22222222222223"/>
    <n v="441"/>
    <n v="1"/>
    <n v="5"/>
    <n v="1.0017667844522968"/>
    <n v="0.20035335689045938"/>
    <d v="1899-12-30T01:17:00"/>
    <d v="1899-12-30T00:13:00"/>
    <d v="1899-12-30T00:00:00"/>
    <n v="1"/>
    <n v="1"/>
    <n v="0"/>
    <n v="0.8"/>
    <n v="2"/>
    <n v="0.66666666666666663"/>
    <n v="0.16666666666666666"/>
    <d v="1899-12-30T00:44:38"/>
    <n v="1.25"/>
    <n v="5"/>
    <n v="1"/>
    <n v="0.25"/>
    <n v="1"/>
    <n v="1"/>
    <n v="1"/>
    <n v="0"/>
    <n v="0"/>
    <n v="0"/>
    <n v="0"/>
    <n v="0"/>
    <n v="0.6"/>
    <n v="3"/>
    <n v="0.375"/>
    <n v="5.6249999999999994E-2"/>
    <n v="75"/>
    <n v="75"/>
    <n v="90"/>
    <n v="85"/>
    <n v="80"/>
    <n v="0.8"/>
    <n v="405"/>
    <n v="0.98765432098765427"/>
    <n v="0.19753086419753085"/>
    <n v="4.45"/>
    <n v="81"/>
    <n v="0.87080088775465692"/>
    <s v="Baik"/>
    <s v="Stay"/>
    <s v="Associate engineer"/>
  </r>
  <r>
    <n v="59"/>
    <s v="Abdul Rahman"/>
    <s v="IDH80130"/>
    <s v="Associate engineer"/>
    <x v="39"/>
    <x v="2"/>
    <s v="IMPACT"/>
    <d v="2024-02-01T00:00:00"/>
    <d v="2024-10-31T00:00:00"/>
    <s v="0 Tahun 11 Bulan 29 Hari "/>
    <n v="273"/>
    <n v="103"/>
    <n v="2"/>
    <n v="733"/>
    <n v="366.5"/>
    <n v="306"/>
    <n v="0.8"/>
    <n v="4"/>
    <n v="0.834924965893588"/>
    <n v="0.16698499317871762"/>
    <d v="1899-12-30T00:02:11"/>
    <d v="1899-12-30T00:02:28"/>
    <d v="1899-12-30T00:00:12"/>
    <n v="1"/>
    <n v="1"/>
    <n v="1"/>
    <n v="1.25"/>
    <n v="3"/>
    <n v="1"/>
    <n v="0.25"/>
    <d v="1899-12-30T01:42:38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0"/>
    <n v="80"/>
    <n v="80"/>
    <n v="80"/>
    <n v="0.8"/>
    <n v="385"/>
    <n v="0.98701298701298701"/>
    <n v="0.19740259740259741"/>
    <n v="4.45"/>
    <n v="77"/>
    <n v="0.87063759058131507"/>
    <s v="New CE"/>
    <s v="Stay"/>
    <s v="Associate engineer"/>
  </r>
  <r>
    <n v="60"/>
    <s v="Reza Akhsan Noor"/>
    <s v="IDH80050"/>
    <s v="Associate engineer"/>
    <x v="0"/>
    <x v="0"/>
    <s v="IMPACT"/>
    <d v="2023-05-29T00:00:00"/>
    <d v="2024-10-31T00:00:00"/>
    <s v="1 Tahun 8 Bulan 1 Hari "/>
    <n v="521"/>
    <n v="1384"/>
    <n v="22"/>
    <n v="6775"/>
    <n v="307.95454545454544"/>
    <n v="435"/>
    <n v="1"/>
    <n v="5"/>
    <n v="1.4125461254612546"/>
    <n v="0.2825092250922509"/>
    <d v="1903-12-02T12:46:55"/>
    <d v="1899-12-30T00:00:22"/>
    <d v="1899-12-30T00:00:00"/>
    <n v="0"/>
    <n v="1"/>
    <n v="0"/>
    <n v="0.4"/>
    <n v="1"/>
    <n v="0.33333333333333331"/>
    <n v="8.3333333333333329E-2"/>
    <d v="1899-12-30T00:43:06"/>
    <n v="1.25"/>
    <n v="5"/>
    <n v="1"/>
    <n v="0.25"/>
    <n v="1"/>
    <n v="1"/>
    <n v="1"/>
    <n v="0"/>
    <n v="0"/>
    <n v="0"/>
    <n v="0"/>
    <n v="0"/>
    <n v="0.6"/>
    <n v="3"/>
    <n v="0.375"/>
    <n v="5.6249999999999994E-2"/>
    <n v="75"/>
    <n v="70"/>
    <n v="70"/>
    <n v="75"/>
    <n v="80"/>
    <n v="0.8"/>
    <n v="370"/>
    <n v="0.98648648648648651"/>
    <n v="0.19729729729729731"/>
    <n v="4.05"/>
    <n v="74"/>
    <n v="0.86938985572288152"/>
    <s v="Baik"/>
    <s v="Stay"/>
    <s v="Associate engineer"/>
  </r>
  <r>
    <n v="61"/>
    <s v="Yovi Bahtiar Aditya"/>
    <s v="IDH60051"/>
    <s v="Associate engineer"/>
    <x v="3"/>
    <x v="0"/>
    <s v="CITIUS"/>
    <d v="2022-03-01T00:00:00"/>
    <d v="2024-10-31T00:00:00"/>
    <s v="2 Tahun 10 Bulan 29 Hari "/>
    <n v="975"/>
    <n v="872"/>
    <n v="15"/>
    <n v="5975"/>
    <n v="398.33333333333331"/>
    <n v="395"/>
    <n v="0.8"/>
    <n v="4"/>
    <n v="0.99163179916318001"/>
    <n v="0.19832635983263602"/>
    <d v="1916-08-06T01:56:17"/>
    <d v="1899-12-30T01:19:00"/>
    <d v="1899-12-30T00:00:00"/>
    <n v="1"/>
    <n v="1"/>
    <n v="0"/>
    <n v="0.8"/>
    <n v="2"/>
    <n v="0.66666666666666663"/>
    <n v="0.16666666666666666"/>
    <d v="1899-12-30T00:55:33"/>
    <n v="1.25"/>
    <n v="5"/>
    <n v="1"/>
    <n v="0.25"/>
    <n v="1"/>
    <n v="1"/>
    <n v="1"/>
    <n v="0"/>
    <n v="0"/>
    <n v="0"/>
    <n v="0"/>
    <n v="0"/>
    <n v="0.6"/>
    <n v="3"/>
    <n v="0.375"/>
    <n v="5.6249999999999994E-2"/>
    <n v="75"/>
    <n v="75"/>
    <n v="85"/>
    <n v="90"/>
    <n v="85"/>
    <n v="0.8"/>
    <n v="410"/>
    <n v="0.98780487804878048"/>
    <n v="0.19756097560975611"/>
    <n v="4.25"/>
    <n v="82"/>
    <n v="0.86880400210905884"/>
    <s v="Baik"/>
    <s v="Level Up"/>
    <s v="Engineer"/>
  </r>
  <r>
    <n v="62"/>
    <s v="Muhammad Baskara"/>
    <s v="IDH80068"/>
    <s v="Associate engineer"/>
    <x v="34"/>
    <x v="2"/>
    <s v="IMPACT"/>
    <d v="2023-07-24T00:00:00"/>
    <d v="2024-10-31T00:00:00"/>
    <s v="1 Tahun 6 Bulan 6 Hari "/>
    <n v="465"/>
    <n v="211"/>
    <n v="4"/>
    <n v="1415"/>
    <n v="353.75"/>
    <n v="272"/>
    <n v="0.6"/>
    <n v="3"/>
    <n v="0.76890459363957597"/>
    <n v="0.15378091872791522"/>
    <d v="1905-03-04T22:33:51"/>
    <d v="1899-12-30T00:44:31"/>
    <d v="1908-04-10T12:48:34"/>
    <n v="0"/>
    <n v="1"/>
    <n v="1"/>
    <n v="0.8"/>
    <n v="2"/>
    <n v="0.66666666666666663"/>
    <n v="0.16666666666666666"/>
    <d v="1899-12-30T01:38:14"/>
    <n v="1"/>
    <n v="4"/>
    <n v="0.8"/>
    <n v="0.2"/>
    <n v="1"/>
    <n v="1"/>
    <n v="1"/>
    <n v="1"/>
    <n v="1"/>
    <n v="1"/>
    <n v="1"/>
    <n v="1"/>
    <n v="1"/>
    <n v="8"/>
    <n v="1"/>
    <n v="0.15"/>
    <n v="75"/>
    <n v="70"/>
    <n v="80"/>
    <n v="80"/>
    <n v="80"/>
    <n v="0.8"/>
    <n v="385"/>
    <n v="0.98701298701298701"/>
    <n v="0.19740259740259741"/>
    <n v="4.2"/>
    <n v="77"/>
    <n v="0.86785018279717918"/>
    <s v="Baik"/>
    <s v="Stay"/>
    <s v="Associate engineer"/>
  </r>
  <r>
    <n v="63"/>
    <s v="Achmad Dandy Pahlevi"/>
    <s v="IDH70061"/>
    <s v="Associate engineer"/>
    <x v="22"/>
    <x v="1"/>
    <s v="SIPRAMA"/>
    <d v="2022-11-17T00:00:00"/>
    <d v="2024-10-31T00:00:00"/>
    <s v="2 Tahun 2 Bulan 13 Hari "/>
    <n v="714"/>
    <n v="760"/>
    <n v="13"/>
    <n v="5863"/>
    <n v="451"/>
    <n v="555"/>
    <n v="1"/>
    <n v="5"/>
    <n v="1.23059866962306"/>
    <n v="0.24611973392461201"/>
    <d v="1899-12-30T01:14:00"/>
    <d v="1899-12-30T00:49:00"/>
    <d v="1899-12-30T00:00:00"/>
    <n v="1"/>
    <n v="1"/>
    <n v="0"/>
    <n v="0.8"/>
    <n v="2"/>
    <n v="0.66666666666666663"/>
    <n v="0.16666666666666666"/>
    <d v="1899-12-30T01:35:21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90"/>
    <n v="85"/>
    <n v="80"/>
    <n v="0.8"/>
    <n v="405"/>
    <n v="0.98765432098765427"/>
    <n v="0.19753086419753085"/>
    <n v="4.2"/>
    <n v="81"/>
    <n v="0.86656726478880952"/>
    <s v="Baik"/>
    <s v="Level Up"/>
    <s v="Engineer"/>
  </r>
  <r>
    <n v="64"/>
    <s v="Rahmad Ade Kurniawan"/>
    <s v="IDH60068"/>
    <s v="Associate engineer"/>
    <x v="40"/>
    <x v="2"/>
    <s v="CITIUS"/>
    <d v="2022-05-10T00:00:00"/>
    <d v="2024-10-31T00:00:00"/>
    <s v="2 Tahun 8 Bulan 20 Hari "/>
    <n v="905"/>
    <n v="426"/>
    <n v="6"/>
    <n v="3000"/>
    <n v="500"/>
    <n v="488"/>
    <n v="0.8"/>
    <n v="4"/>
    <n v="0.97599999999999998"/>
    <n v="0.19520000000000001"/>
    <d v="1899-12-30T01:27:00"/>
    <d v="1899-12-30T03:03:00"/>
    <d v="1973-10-24T17:46:35"/>
    <n v="1"/>
    <n v="0"/>
    <n v="1"/>
    <n v="1"/>
    <n v="2"/>
    <n v="0.66666666666666663"/>
    <n v="0.16666666666666666"/>
    <d v="1899-12-30T00:53:13"/>
    <n v="1.25"/>
    <n v="5"/>
    <n v="1"/>
    <n v="0.25"/>
    <n v="1"/>
    <n v="1"/>
    <n v="1"/>
    <n v="0"/>
    <n v="0"/>
    <n v="0"/>
    <n v="0"/>
    <n v="0"/>
    <n v="0.6"/>
    <n v="3"/>
    <n v="0.375"/>
    <n v="5.6249999999999994E-2"/>
    <n v="75"/>
    <n v="75"/>
    <n v="85"/>
    <n v="90"/>
    <n v="85"/>
    <n v="0.8"/>
    <n v="410"/>
    <n v="0.98780487804878048"/>
    <n v="0.19756097560975611"/>
    <n v="4.45"/>
    <n v="82"/>
    <n v="0.86567764227642274"/>
    <s v="Baik"/>
    <s v="Level Up"/>
    <s v="Engineer"/>
  </r>
  <r>
    <n v="65"/>
    <s v="Lukmanul Hakim"/>
    <s v="IDH80091"/>
    <s v="Associate engineer"/>
    <x v="41"/>
    <x v="2"/>
    <s v="IMPACT"/>
    <d v="2023-09-04T00:00:00"/>
    <d v="2024-10-31T00:00:00"/>
    <s v="1 Tahun 4 Bulan 26 Hari "/>
    <n v="423"/>
    <n v="283"/>
    <n v="4"/>
    <n v="1878"/>
    <n v="469.5"/>
    <n v="457"/>
    <n v="0.8"/>
    <n v="4"/>
    <n v="0.97337593184238547"/>
    <n v="0.19467518636847711"/>
    <d v="1902-12-04T06:52:16"/>
    <d v="1899-12-30T01:43:35"/>
    <d v="1962-05-02T22:25:46"/>
    <n v="0"/>
    <n v="1"/>
    <n v="1"/>
    <n v="0.8"/>
    <n v="2"/>
    <n v="0.66666666666666663"/>
    <n v="0.16666666666666666"/>
    <d v="1899-12-30T00:58:49"/>
    <n v="1.25"/>
    <n v="5"/>
    <n v="1"/>
    <n v="0.25"/>
    <n v="1"/>
    <n v="1"/>
    <n v="0"/>
    <n v="0"/>
    <n v="0"/>
    <n v="1"/>
    <n v="0"/>
    <n v="0"/>
    <n v="0.6"/>
    <n v="3"/>
    <n v="0.375"/>
    <n v="5.6249999999999994E-2"/>
    <n v="75"/>
    <n v="85"/>
    <n v="80"/>
    <n v="80"/>
    <n v="80"/>
    <n v="0.8"/>
    <n v="400"/>
    <n v="0.98750000000000004"/>
    <n v="0.19750000000000001"/>
    <n v="4.25"/>
    <n v="80"/>
    <n v="0.8650918530351438"/>
    <s v="Baik"/>
    <s v="Stay"/>
    <s v="Associate engineer"/>
  </r>
  <r>
    <n v="66"/>
    <s v="Muhammad Sudrajat"/>
    <s v="IDH40058"/>
    <s v="Engineer"/>
    <x v="42"/>
    <x v="0"/>
    <s v="GSS"/>
    <d v="2019-01-07T00:00:00"/>
    <d v="2024-10-31T00:00:00"/>
    <s v="6 Tahun 0 Bulan 23 Hari "/>
    <n v="2124"/>
    <n v="332"/>
    <n v="6"/>
    <n v="2281"/>
    <n v="380.16666666666669"/>
    <n v="393"/>
    <n v="1"/>
    <n v="5"/>
    <n v="1.0337571240683909"/>
    <n v="0.2067514248136782"/>
    <d v="1899-12-30T01:12:00"/>
    <d v="1908-11-20T06:20:15"/>
    <d v="2024-07-12T22:13:14"/>
    <n v="1"/>
    <n v="0"/>
    <n v="1"/>
    <n v="0.8"/>
    <n v="2"/>
    <n v="0.66666666666666663"/>
    <n v="0.16666666666666666"/>
    <d v="1899-12-30T01:30:03"/>
    <n v="1"/>
    <n v="4"/>
    <n v="0.8"/>
    <n v="0.2"/>
    <n v="1"/>
    <n v="1"/>
    <n v="1"/>
    <n v="0"/>
    <n v="0"/>
    <n v="1"/>
    <n v="0"/>
    <n v="1"/>
    <n v="1"/>
    <n v="5"/>
    <n v="0.625"/>
    <n v="9.375E-2"/>
    <n v="75"/>
    <n v="75"/>
    <n v="90"/>
    <n v="90"/>
    <n v="90"/>
    <n v="0.8"/>
    <n v="420"/>
    <n v="0.98809523809523814"/>
    <n v="0.19761904761904764"/>
    <n v="4.5999999999999996"/>
    <n v="84"/>
    <n v="0.86478713909939242"/>
    <s v="Baik"/>
    <s v="Level Up"/>
    <s v="Senior engineer"/>
  </r>
  <r>
    <n v="67"/>
    <s v="Doni Setiawan"/>
    <s v="IDH20025"/>
    <s v="Senior engineer"/>
    <x v="0"/>
    <x v="0"/>
    <s v="GSS"/>
    <d v="2016-10-03T00:00:00"/>
    <d v="2024-10-31T00:00:00"/>
    <s v="8 Tahun 3 Bulan 27 Hari "/>
    <n v="2950"/>
    <n v="1384"/>
    <n v="22"/>
    <n v="6775"/>
    <n v="307.95454545454544"/>
    <n v="376"/>
    <n v="1"/>
    <n v="5"/>
    <n v="1.2209594095940961"/>
    <n v="0.24419188191881924"/>
    <d v="1912-11-29T00:46:01"/>
    <d v="1899-12-30T00:56:19"/>
    <d v="1931-01-04T12:29:14"/>
    <n v="0"/>
    <n v="1"/>
    <n v="1"/>
    <n v="0.8"/>
    <n v="2"/>
    <n v="0.66666666666666663"/>
    <n v="0.16666666666666666"/>
    <d v="1899-12-30T01:08:50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85"/>
    <n v="80"/>
    <n v="80"/>
    <n v="80"/>
    <n v="80"/>
    <n v="0.8"/>
    <n v="405"/>
    <n v="0.98765432098765427"/>
    <n v="0.19753086419753085"/>
    <n v="4.2"/>
    <n v="81"/>
    <n v="0.8646394127830167"/>
    <s v="Baik"/>
    <s v="Stay"/>
    <s v="Senior engineer"/>
  </r>
  <r>
    <n v="68"/>
    <s v="Tejo Kumolo Wahyu"/>
    <s v="IDH60036"/>
    <s v="Senior engineer"/>
    <x v="11"/>
    <x v="1"/>
    <s v="CITIUS"/>
    <d v="2021-11-02T00:00:00"/>
    <d v="2024-10-31T00:00:00"/>
    <s v="3 Tahun 2 Bulan 28 Hari "/>
    <n v="1094"/>
    <n v="897"/>
    <n v="13"/>
    <n v="6212"/>
    <n v="477.84615384615387"/>
    <n v="417"/>
    <n v="0.8"/>
    <n v="4"/>
    <n v="0.87266580811332906"/>
    <n v="0.17453316162266583"/>
    <d v="1965-05-24T05:53:41"/>
    <d v="1899-12-30T02:13:25"/>
    <d v="2024-06-03T16:41:15"/>
    <n v="0"/>
    <n v="1"/>
    <n v="1"/>
    <n v="0.8"/>
    <n v="2"/>
    <n v="0.66666666666666663"/>
    <n v="0.16666666666666666"/>
    <d v="1899-12-30T00:38:08"/>
    <n v="1.25"/>
    <n v="5"/>
    <n v="1"/>
    <n v="0.25"/>
    <n v="1"/>
    <n v="1"/>
    <n v="1"/>
    <n v="0"/>
    <n v="1"/>
    <n v="0"/>
    <n v="0"/>
    <n v="0"/>
    <n v="0.8"/>
    <n v="4"/>
    <n v="0.5"/>
    <n v="7.4999999999999997E-2"/>
    <n v="85"/>
    <n v="90"/>
    <n v="75"/>
    <n v="90"/>
    <n v="90"/>
    <n v="0.8"/>
    <n v="430"/>
    <n v="0.98837209302325579"/>
    <n v="0.19767441860465118"/>
    <n v="4.45"/>
    <n v="86"/>
    <n v="0.86387424689398362"/>
    <s v="Baik"/>
    <s v="Stay"/>
    <s v="Senior engineer"/>
  </r>
  <r>
    <n v="69"/>
    <s v="M.Nurul Ihsan"/>
    <s v="IDH60017"/>
    <s v="Engineer"/>
    <x v="0"/>
    <x v="0"/>
    <s v="SIPRAMA"/>
    <d v="2021-09-27T00:00:00"/>
    <d v="2024-10-31T00:00:00"/>
    <s v="3 Tahun 4 Bulan 3 Hari "/>
    <n v="1130"/>
    <n v="1384"/>
    <n v="22"/>
    <n v="6775"/>
    <n v="307.95454545454544"/>
    <n v="393"/>
    <n v="1"/>
    <n v="5"/>
    <n v="1.2761623616236164"/>
    <n v="0.25523247232472329"/>
    <d v="1906-07-03T14:14:05"/>
    <d v="1899-12-30T01:38:19"/>
    <d v="1899-12-30T00:00:00"/>
    <n v="0"/>
    <n v="1"/>
    <n v="0"/>
    <n v="0.4"/>
    <n v="1"/>
    <n v="0.33333333333333331"/>
    <n v="8.3333333333333329E-2"/>
    <d v="1899-12-30T00:40:31"/>
    <n v="1.25"/>
    <n v="5"/>
    <n v="1"/>
    <n v="0.25"/>
    <n v="1"/>
    <n v="1"/>
    <n v="1"/>
    <n v="0"/>
    <n v="0"/>
    <n v="0"/>
    <n v="0"/>
    <n v="1"/>
    <n v="0.8"/>
    <n v="4"/>
    <n v="0.5"/>
    <n v="7.4999999999999997E-2"/>
    <n v="75"/>
    <n v="60"/>
    <n v="80"/>
    <n v="75"/>
    <n v="80"/>
    <n v="0.8"/>
    <n v="370"/>
    <n v="0.98648648648648651"/>
    <n v="0.19729729729729731"/>
    <n v="4.25"/>
    <n v="74"/>
    <n v="0.86086310295535384"/>
    <s v="Baik"/>
    <s v="Stay"/>
    <s v="Engineer"/>
  </r>
  <r>
    <n v="70"/>
    <s v="Arif Septianto"/>
    <s v="IDH70011"/>
    <s v="Associate engineer"/>
    <x v="1"/>
    <x v="1"/>
    <s v="SIPRAMA"/>
    <d v="2022-08-22T00:00:00"/>
    <d v="2024-10-31T00:00:00"/>
    <s v="2 Tahun 5 Bulan 8 Hari "/>
    <n v="801"/>
    <n v="893"/>
    <n v="14"/>
    <n v="6172"/>
    <n v="440.85714285714283"/>
    <n v="375"/>
    <n v="0.8"/>
    <n v="4"/>
    <n v="0.85061568373298768"/>
    <n v="0.17012313674659754"/>
    <d v="1899-12-30T01:23:00"/>
    <d v="1899-12-30T00:45:00"/>
    <d v="1899-12-30T00:00:00"/>
    <n v="1"/>
    <n v="1"/>
    <n v="0"/>
    <n v="0.8"/>
    <n v="2"/>
    <n v="0.66666666666666663"/>
    <n v="0.16666666666666666"/>
    <d v="1899-12-30T00:49:05"/>
    <n v="1.25"/>
    <n v="5"/>
    <n v="1"/>
    <n v="0.25"/>
    <n v="1"/>
    <n v="1"/>
    <n v="0"/>
    <n v="1"/>
    <n v="0"/>
    <n v="1"/>
    <n v="0"/>
    <n v="0"/>
    <n v="0.8"/>
    <n v="4"/>
    <n v="0.5"/>
    <n v="7.4999999999999997E-2"/>
    <n v="75"/>
    <n v="75"/>
    <n v="90"/>
    <n v="85"/>
    <n v="80"/>
    <n v="0.8"/>
    <n v="405"/>
    <n v="0.98765432098765427"/>
    <n v="0.19753086419753085"/>
    <n v="4.45"/>
    <n v="81"/>
    <n v="0.85932066761079495"/>
    <s v="Baik"/>
    <s v="Level Up"/>
    <s v="Engineer"/>
  </r>
  <r>
    <n v="71"/>
    <s v="Andre Fikriawan"/>
    <s v="IDH80010"/>
    <s v="Associate engineer"/>
    <x v="43"/>
    <x v="2"/>
    <s v="IMPACT"/>
    <d v="2023-01-09T00:00:00"/>
    <d v="2024-10-31T00:00:00"/>
    <s v="2 Tahun 0 Bulan 21 Hari "/>
    <n v="661"/>
    <n v="142"/>
    <n v="3"/>
    <n v="1369"/>
    <n v="456.33333333333331"/>
    <n v="355"/>
    <n v="0.6"/>
    <n v="3"/>
    <n v="0.77794010226442667"/>
    <n v="0.15558802045288533"/>
    <d v="1899-12-30T01:32:00"/>
    <d v="1899-12-30T01:59:00"/>
    <d v="1899-12-30T01:24:11"/>
    <n v="1"/>
    <n v="1"/>
    <n v="1"/>
    <n v="1.25"/>
    <n v="3"/>
    <n v="1"/>
    <n v="0.25"/>
    <d v="1899-12-30T01:27:15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4.25"/>
    <n v="78"/>
    <n v="0.85927391788878293"/>
    <s v="Baik"/>
    <s v="Stay"/>
    <s v="Associate engineer"/>
  </r>
  <r>
    <n v="72"/>
    <s v="Adi Sujana Mahmud"/>
    <s v="IDH50026"/>
    <s v="Engineer"/>
    <x v="44"/>
    <x v="2"/>
    <s v="SIPRAMA"/>
    <d v="2021-02-01T00:00:00"/>
    <d v="2024-10-31T00:00:00"/>
    <s v="3 Tahun 11 Bulan 29 Hari "/>
    <n v="1368"/>
    <n v="134"/>
    <n v="3"/>
    <n v="1306"/>
    <n v="435.33333333333331"/>
    <n v="592"/>
    <n v="1"/>
    <n v="5"/>
    <n v="1.3598774885145484"/>
    <n v="0.27197549770290969"/>
    <d v="1987-09-02T03:43:15"/>
    <d v="2024-08-10T11:02:00"/>
    <d v="2003-06-17T05:38:57"/>
    <n v="0"/>
    <n v="0"/>
    <n v="1"/>
    <n v="0.4"/>
    <n v="1"/>
    <n v="0.33333333333333331"/>
    <n v="8.3333333333333329E-2"/>
    <d v="1899-12-30T00:28:42"/>
    <n v="1.25"/>
    <n v="5"/>
    <n v="1"/>
    <n v="0.25"/>
    <n v="1"/>
    <n v="1"/>
    <n v="0"/>
    <n v="0"/>
    <n v="0"/>
    <n v="1"/>
    <n v="0"/>
    <n v="0"/>
    <n v="0.6"/>
    <n v="3"/>
    <n v="0.375"/>
    <n v="5.6249999999999994E-2"/>
    <n v="80"/>
    <n v="75"/>
    <n v="95"/>
    <n v="95"/>
    <n v="90"/>
    <n v="0.8"/>
    <n v="435"/>
    <n v="0.9885057471264368"/>
    <n v="0.19770114942528738"/>
    <n v="4.05"/>
    <n v="87"/>
    <n v="0.8592599804615304"/>
    <s v="Baik"/>
    <s v="Level Up"/>
    <s v="Senior engineer"/>
  </r>
  <r>
    <n v="73"/>
    <s v="Muhammad Faris Akbar"/>
    <s v="IDH40100"/>
    <s v="Senior engineer"/>
    <x v="45"/>
    <x v="2"/>
    <s v="GSS"/>
    <d v="2020-03-02T00:00:00"/>
    <d v="2024-10-31T00:00:00"/>
    <s v="4 Tahun 10 Bulan 28 Hari "/>
    <n v="1704"/>
    <n v="185"/>
    <n v="3"/>
    <n v="1462"/>
    <n v="487.33333333333331"/>
    <n v="489"/>
    <n v="1"/>
    <n v="5"/>
    <n v="1.0034199726402189"/>
    <n v="0.20068399452804378"/>
    <d v="1906-12-01T00:30:53"/>
    <d v="1899-12-30T00:00:54"/>
    <d v="1913-01-31T00:58:58"/>
    <n v="0"/>
    <n v="1"/>
    <n v="1"/>
    <n v="0.8"/>
    <n v="2"/>
    <n v="0.66666666666666663"/>
    <n v="0.16666666666666666"/>
    <d v="1899-12-30T01:10:04"/>
    <n v="1"/>
    <n v="4"/>
    <n v="0.8"/>
    <n v="0.2"/>
    <n v="1"/>
    <n v="1"/>
    <n v="1"/>
    <n v="0"/>
    <n v="1"/>
    <n v="1"/>
    <n v="0"/>
    <n v="0"/>
    <n v="1"/>
    <n v="5"/>
    <n v="0.625"/>
    <n v="9.375E-2"/>
    <n v="85"/>
    <n v="75"/>
    <n v="85"/>
    <n v="90"/>
    <n v="85"/>
    <n v="0.8"/>
    <n v="420"/>
    <n v="0.98809523809523814"/>
    <n v="0.19761904761904764"/>
    <n v="4.5999999999999996"/>
    <n v="84"/>
    <n v="0.85871970881375814"/>
    <s v="Baik"/>
    <s v="Stay"/>
    <s v="Senior engineer"/>
  </r>
  <r>
    <n v="74"/>
    <s v="Bima Trihatandi"/>
    <s v="IDH30042"/>
    <s v="Associate engineer"/>
    <x v="22"/>
    <x v="1"/>
    <s v="SIPRAMA"/>
    <d v="2023-11-01T00:00:00"/>
    <d v="2024-10-31T00:00:00"/>
    <s v="1 Tahun 2 Bulan 29 Hari "/>
    <n v="365"/>
    <n v="760"/>
    <n v="17"/>
    <n v="5863"/>
    <n v="344.88235294117646"/>
    <n v="499"/>
    <n v="1"/>
    <n v="5"/>
    <n v="1.446870202967764"/>
    <n v="0.28937404059355282"/>
    <d v="1904-05-26T00:42:47"/>
    <d v="1899-12-30T00:00:00"/>
    <d v="1899-12-30T00:00:00"/>
    <n v="1"/>
    <n v="0"/>
    <n v="0"/>
    <n v="0.4"/>
    <n v="1"/>
    <n v="0.33333333333333331"/>
    <n v="8.3333333333333329E-2"/>
    <d v="1899-12-30T00:30:57"/>
    <n v="1.25"/>
    <n v="5"/>
    <n v="1"/>
    <n v="0.25"/>
    <n v="1"/>
    <n v="1"/>
    <n v="0"/>
    <n v="0"/>
    <n v="0"/>
    <n v="0"/>
    <n v="0"/>
    <n v="0"/>
    <n v="0.4"/>
    <n v="2"/>
    <n v="0.25"/>
    <n v="3.7499999999999999E-2"/>
    <n v="75"/>
    <n v="75"/>
    <n v="90"/>
    <n v="85"/>
    <n v="80"/>
    <n v="0.8"/>
    <n v="405"/>
    <n v="0.98765432098765427"/>
    <n v="0.19753086419753085"/>
    <n v="3.8499999999999996"/>
    <n v="81"/>
    <n v="0.85773823812441696"/>
    <s v="Baik"/>
    <s v="Stay"/>
    <s v="Associate engineer"/>
  </r>
  <r>
    <n v="75"/>
    <s v="Adi Sunandar"/>
    <s v="IDH80067"/>
    <s v="Associate engineer"/>
    <x v="46"/>
    <x v="0"/>
    <s v="IMPACT"/>
    <d v="2023-09-04T00:00:00"/>
    <d v="2024-10-31T00:00:00"/>
    <s v="1 Tahun 4 Bulan 26 Hari "/>
    <n v="423"/>
    <n v="313"/>
    <n v="6"/>
    <n v="2164"/>
    <n v="360.66666666666669"/>
    <n v="485"/>
    <n v="1"/>
    <n v="5"/>
    <n v="1.344731977818854"/>
    <n v="0.26894639556377081"/>
    <d v="1899-12-30T00:54:49"/>
    <d v="1906-09-25T13:53:32"/>
    <d v="1899-12-30T00:00:00"/>
    <n v="1"/>
    <n v="0"/>
    <n v="0"/>
    <n v="0.4"/>
    <n v="1"/>
    <n v="0.33333333333333331"/>
    <n v="8.3333333333333329E-2"/>
    <d v="1899-12-30T00:52:03"/>
    <n v="1.25"/>
    <n v="5"/>
    <n v="1"/>
    <n v="0.25"/>
    <n v="1"/>
    <n v="1"/>
    <n v="0"/>
    <n v="0"/>
    <n v="0"/>
    <n v="1"/>
    <n v="0"/>
    <n v="0"/>
    <n v="0.6"/>
    <n v="3"/>
    <n v="0.375"/>
    <n v="5.6249999999999994E-2"/>
    <n v="80"/>
    <n v="70"/>
    <n v="80"/>
    <n v="80"/>
    <n v="80"/>
    <n v="0.8"/>
    <n v="390"/>
    <n v="0.98717948717948723"/>
    <n v="0.19743589743589746"/>
    <n v="4.05"/>
    <n v="78"/>
    <n v="0.85596562633300155"/>
    <s v="Baik"/>
    <s v="Stay"/>
    <s v="Associate engineer"/>
  </r>
  <r>
    <n v="76"/>
    <s v="Indi Galang Prakoso"/>
    <s v="IDH40014"/>
    <s v="Senior engineer"/>
    <x v="0"/>
    <x v="0"/>
    <s v="GSS"/>
    <d v="2017-09-04T00:00:00"/>
    <d v="2024-10-31T00:00:00"/>
    <s v="7 Tahun 4 Bulan 26 Hari "/>
    <n v="2614"/>
    <n v="1384"/>
    <n v="22"/>
    <n v="6775"/>
    <n v="307.95454545454544"/>
    <n v="413"/>
    <n v="1"/>
    <n v="5"/>
    <n v="1.3411070110701109"/>
    <n v="0.26822140221402219"/>
    <d v="1904-08-25T05:36:55"/>
    <d v="1899-12-30T00:47:12"/>
    <d v="1899-12-30T00:00:00"/>
    <n v="0"/>
    <n v="1"/>
    <n v="0"/>
    <n v="0.4"/>
    <n v="1"/>
    <n v="0.33333333333333331"/>
    <n v="8.3333333333333329E-2"/>
    <d v="1899-12-30T00:45:38"/>
    <n v="1.25"/>
    <n v="5"/>
    <n v="1"/>
    <n v="0.25"/>
    <n v="1"/>
    <n v="1"/>
    <n v="1"/>
    <n v="0"/>
    <n v="0"/>
    <n v="0"/>
    <n v="0"/>
    <n v="0"/>
    <n v="0.6"/>
    <n v="3"/>
    <n v="0.375"/>
    <n v="5.6249999999999994E-2"/>
    <n v="75"/>
    <n v="65"/>
    <n v="75"/>
    <n v="75"/>
    <n v="80"/>
    <n v="0.8"/>
    <n v="370"/>
    <n v="0.98648648648648651"/>
    <n v="0.19729729729729731"/>
    <n v="4.05"/>
    <n v="74"/>
    <n v="0.8551020328446528"/>
    <s v="Baik"/>
    <s v="Stay"/>
    <s v="Senior engineer"/>
  </r>
  <r>
    <n v="77"/>
    <s v="Taufiq Akbar"/>
    <s v="IDH80032"/>
    <s v="Associate engineer"/>
    <x v="47"/>
    <x v="0"/>
    <s v="IMPACT"/>
    <d v="2023-02-09T00:00:00"/>
    <d v="2024-10-31T00:00:00"/>
    <s v="1 Tahun 11 Bulan 21 Hari "/>
    <n v="630"/>
    <n v="507"/>
    <n v="10"/>
    <n v="3304"/>
    <n v="330.4"/>
    <n v="304"/>
    <n v="0.8"/>
    <n v="4"/>
    <n v="0.92009685230024219"/>
    <n v="0.18401937046004846"/>
    <d v="1899-12-30T01:04:00"/>
    <d v="1899-12-30T01:52:28"/>
    <d v="1899-12-30T00:00:00"/>
    <n v="1"/>
    <n v="1"/>
    <n v="0"/>
    <n v="0.8"/>
    <n v="2"/>
    <n v="0.66666666666666663"/>
    <n v="0.16666666666666666"/>
    <d v="1899-12-30T00:45:07"/>
    <n v="1.25"/>
    <n v="5"/>
    <n v="1"/>
    <n v="0.25"/>
    <n v="1"/>
    <n v="1"/>
    <n v="1"/>
    <n v="0"/>
    <n v="0"/>
    <n v="0"/>
    <n v="0"/>
    <n v="0"/>
    <n v="0.6"/>
    <n v="3"/>
    <n v="0.375"/>
    <n v="5.6249999999999994E-2"/>
    <n v="75"/>
    <n v="75"/>
    <n v="90"/>
    <n v="85"/>
    <n v="90"/>
    <n v="0.8"/>
    <n v="415"/>
    <n v="0.98795180722891562"/>
    <n v="0.19759036144578312"/>
    <n v="4.25"/>
    <n v="83"/>
    <n v="0.85452639857249824"/>
    <s v="Baik"/>
    <s v="Level Up"/>
    <s v="Engineer"/>
  </r>
  <r>
    <n v="78"/>
    <s v="Achmad Gildas Thauty"/>
    <s v="IDH90049"/>
    <s v="Associate engineer"/>
    <x v="17"/>
    <x v="2"/>
    <s v="KINARYA"/>
    <d v="2023-11-01T00:00:00"/>
    <d v="2024-10-31T00:00:00"/>
    <s v="1 Tahun 2 Bulan 29 Hari "/>
    <n v="365"/>
    <n v="612"/>
    <n v="11"/>
    <n v="5254"/>
    <n v="477.63636363636363"/>
    <n v="509"/>
    <n v="1"/>
    <n v="5"/>
    <n v="1.0656642558051008"/>
    <n v="0.21313285116102018"/>
    <d v="1902-10-27T00:55:51"/>
    <d v="1899-12-30T02:44:00"/>
    <d v="1899-12-30T03:41:51"/>
    <n v="0"/>
    <n v="1"/>
    <n v="1"/>
    <n v="0.8"/>
    <n v="2"/>
    <n v="0.66666666666666663"/>
    <n v="0.16666666666666666"/>
    <d v="1899-12-30T01:06:26"/>
    <n v="1"/>
    <n v="4"/>
    <n v="0.8"/>
    <n v="0.2"/>
    <n v="1"/>
    <n v="1"/>
    <n v="1"/>
    <n v="0"/>
    <n v="0"/>
    <n v="1"/>
    <n v="0"/>
    <n v="0"/>
    <n v="0.8"/>
    <n v="4"/>
    <n v="0.5"/>
    <n v="7.4999999999999997E-2"/>
    <n v="75"/>
    <n v="75"/>
    <n v="85"/>
    <n v="90"/>
    <n v="85"/>
    <n v="0.8"/>
    <n v="410"/>
    <n v="0.98780487804878048"/>
    <n v="0.19756097560975611"/>
    <n v="4.3999999999999995"/>
    <n v="82"/>
    <n v="0.85236049343744291"/>
    <s v="Baik"/>
    <s v="Level Up"/>
    <s v="Engineer"/>
  </r>
  <r>
    <n v="79"/>
    <s v="Muhammad Febri Prasetyo Utomo"/>
    <s v="IDH90007"/>
    <s v="Associate engineer"/>
    <x v="0"/>
    <x v="0"/>
    <s v="GSS"/>
    <d v="2023-09-04T00:00:00"/>
    <d v="2024-10-31T00:00:00"/>
    <s v="1 Tahun 4 Bulan 26 Hari "/>
    <n v="423"/>
    <n v="1384"/>
    <n v="22"/>
    <n v="6775"/>
    <n v="307.95454545454544"/>
    <n v="279"/>
    <n v="0.8"/>
    <n v="4"/>
    <n v="0.90597785977859779"/>
    <n v="0.18119557195571956"/>
    <d v="1899-12-30T03:32:00"/>
    <d v="1899-12-30T00:34:41"/>
    <d v="1899-12-30T01:02:45"/>
    <n v="0"/>
    <n v="1"/>
    <n v="1"/>
    <n v="0.8"/>
    <n v="2"/>
    <n v="0.66666666666666663"/>
    <n v="0.16666666666666666"/>
    <d v="1899-12-30T00:39:13"/>
    <n v="1.25"/>
    <n v="5"/>
    <n v="1"/>
    <n v="0.25"/>
    <n v="1"/>
    <n v="1"/>
    <n v="1"/>
    <n v="0"/>
    <n v="0"/>
    <n v="0"/>
    <n v="0"/>
    <n v="0"/>
    <n v="0.6"/>
    <n v="3"/>
    <n v="0.375"/>
    <n v="5.6249999999999994E-2"/>
    <n v="75"/>
    <n v="70"/>
    <n v="80"/>
    <n v="80"/>
    <n v="80"/>
    <n v="0.8"/>
    <n v="385"/>
    <n v="0.98701298701298701"/>
    <n v="0.19740259740259741"/>
    <n v="4.25"/>
    <n v="77"/>
    <n v="0.85151483602498357"/>
    <s v="Baik"/>
    <s v="Stay"/>
    <s v="Associate engineer"/>
  </r>
  <r>
    <n v="80"/>
    <s v="Ali Supriadi"/>
    <s v="IDH40072"/>
    <s v="Engineer"/>
    <x v="3"/>
    <x v="0"/>
    <s v="SIPRAMA"/>
    <d v="2019-06-11T00:00:00"/>
    <d v="2024-10-31T00:00:00"/>
    <s v="5 Tahun 7 Bulan 19 Hari "/>
    <n v="1969"/>
    <n v="872"/>
    <n v="15"/>
    <n v="5975"/>
    <n v="398.33333333333331"/>
    <n v="449"/>
    <n v="1"/>
    <n v="5"/>
    <n v="1.1271966527196653"/>
    <n v="0.22543933054393306"/>
    <d v="1943-10-22T19:46:35"/>
    <d v="1899-12-30T00:40:24"/>
    <d v="1899-12-30T00:00:00"/>
    <n v="0"/>
    <n v="1"/>
    <n v="0"/>
    <n v="0.4"/>
    <n v="1"/>
    <n v="0.33333333333333331"/>
    <n v="8.3333333333333329E-2"/>
    <d v="1899-12-30T00:52:15"/>
    <n v="1.25"/>
    <n v="5"/>
    <n v="1"/>
    <n v="0.25"/>
    <n v="1"/>
    <n v="1"/>
    <n v="1"/>
    <n v="0"/>
    <n v="1"/>
    <n v="1"/>
    <n v="0"/>
    <n v="0"/>
    <n v="1"/>
    <n v="5"/>
    <n v="0.625"/>
    <n v="9.375E-2"/>
    <n v="80"/>
    <n v="80"/>
    <n v="85"/>
    <n v="85"/>
    <n v="80"/>
    <n v="0.8"/>
    <n v="410"/>
    <n v="0.98780487804878048"/>
    <n v="0.19756097560975611"/>
    <n v="4.45"/>
    <n v="82"/>
    <n v="0.85008363948702237"/>
    <s v="Baik"/>
    <s v="Stay"/>
    <s v="Engineer"/>
  </r>
  <r>
    <n v="81"/>
    <s v="Agung Sugianto"/>
    <s v="IDH20040"/>
    <s v="Engineer"/>
    <x v="0"/>
    <x v="0"/>
    <s v="GSS"/>
    <d v="2019-01-07T00:00:00"/>
    <d v="2024-10-31T00:00:00"/>
    <s v="6 Tahun 0 Bulan 23 Hari "/>
    <n v="2124"/>
    <n v="1384"/>
    <n v="22"/>
    <n v="6775"/>
    <n v="307.95454545454544"/>
    <n v="453"/>
    <n v="1"/>
    <n v="5"/>
    <n v="1.4709963099630996"/>
    <n v="0.29419926199261992"/>
    <d v="1908-04-15T21:03:16"/>
    <d v="1899-12-30T01:50:45"/>
    <d v="1899-12-30T00:00:00"/>
    <n v="0"/>
    <n v="1"/>
    <n v="0"/>
    <n v="0.4"/>
    <n v="1"/>
    <n v="0.33333333333333331"/>
    <n v="8.3333333333333329E-2"/>
    <d v="1899-12-30T01:35:01"/>
    <n v="1"/>
    <n v="4"/>
    <n v="0.8"/>
    <n v="0.2"/>
    <n v="1"/>
    <n v="1"/>
    <n v="1"/>
    <n v="1"/>
    <n v="0"/>
    <n v="0"/>
    <n v="0"/>
    <n v="0"/>
    <n v="0.8"/>
    <n v="4"/>
    <n v="0.5"/>
    <n v="7.4999999999999997E-2"/>
    <n v="75"/>
    <n v="70"/>
    <n v="80"/>
    <n v="80"/>
    <n v="80"/>
    <n v="0.8"/>
    <n v="385"/>
    <n v="0.98701298701298701"/>
    <n v="0.19740259740259741"/>
    <n v="4"/>
    <n v="77"/>
    <n v="0.84993519272855056"/>
    <s v="Baik"/>
    <s v="Level Up"/>
    <s v="Senior engineer"/>
  </r>
  <r>
    <n v="82"/>
    <s v="Hilarion Basriandi"/>
    <s v="IDH70062"/>
    <s v="Engineer"/>
    <x v="48"/>
    <x v="1"/>
    <s v="SIPRAMA"/>
    <d v="2022-11-17T00:00:00"/>
    <d v="2024-10-31T00:00:00"/>
    <s v="2 Tahun 2 Bulan 13 Hari "/>
    <n v="714"/>
    <n v="116"/>
    <n v="3"/>
    <n v="683"/>
    <n v="227.66666666666666"/>
    <n v="260"/>
    <n v="1"/>
    <n v="5"/>
    <n v="1.1420204978038069"/>
    <n v="0.22840409956076138"/>
    <d v="1899-12-30T01:20:00"/>
    <d v="1899-12-30T00:00:00"/>
    <d v="1953-05-25T14:58:11"/>
    <n v="1"/>
    <n v="0"/>
    <n v="1"/>
    <n v="0.8"/>
    <n v="2"/>
    <n v="0.66666666666666663"/>
    <n v="0.16666666666666666"/>
    <d v="1899-12-30T01:47:41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90"/>
    <n v="90"/>
    <n v="80"/>
    <n v="0.8"/>
    <n v="410"/>
    <n v="0.98780487804878048"/>
    <n v="0.19756097560975611"/>
    <n v="4.2"/>
    <n v="82"/>
    <n v="0.84888174183718412"/>
    <s v="Baik"/>
    <s v="Level Up"/>
    <s v="Senior engineer"/>
  </r>
  <r>
    <n v="83"/>
    <s v="Reski Afdhila"/>
    <s v="IDH40125"/>
    <s v="Engineer"/>
    <x v="18"/>
    <x v="2"/>
    <s v="IMPACT"/>
    <d v="2021-04-05T00:00:00"/>
    <d v="2024-10-31T00:00:00"/>
    <s v="3 Tahun 9 Bulan 25 Hari "/>
    <n v="1305"/>
    <n v="401"/>
    <n v="7"/>
    <n v="2754"/>
    <n v="393.42857142857144"/>
    <n v="573"/>
    <n v="1"/>
    <n v="5"/>
    <n v="1.4564270152505445"/>
    <n v="0.29128540305010892"/>
    <d v="1911-07-07T15:17:32"/>
    <d v="1909-08-04T14:56:22"/>
    <d v="1914-09-02T00:41:27"/>
    <n v="0"/>
    <n v="0"/>
    <n v="1"/>
    <n v="0.4"/>
    <n v="1"/>
    <n v="0.33333333333333331"/>
    <n v="8.3333333333333329E-2"/>
    <d v="1899-12-30T01:00:28"/>
    <n v="1"/>
    <n v="4"/>
    <n v="0.8"/>
    <n v="0.2"/>
    <n v="1"/>
    <n v="1"/>
    <n v="1"/>
    <n v="0"/>
    <n v="1"/>
    <n v="0"/>
    <n v="0"/>
    <n v="0"/>
    <n v="0.8"/>
    <n v="4"/>
    <n v="0.5"/>
    <n v="7.4999999999999997E-2"/>
    <n v="80"/>
    <n v="75"/>
    <n v="85"/>
    <n v="85"/>
    <n v="80"/>
    <n v="0.8"/>
    <n v="405"/>
    <n v="0.98765432098765427"/>
    <n v="0.19753086419753085"/>
    <n v="4"/>
    <n v="81"/>
    <n v="0.84714960058097311"/>
    <s v="Baik"/>
    <s v="Stay"/>
    <s v="Engineer"/>
  </r>
  <r>
    <n v="84"/>
    <s v="Noval Wira Yudha"/>
    <s v="IDH70013"/>
    <s v="Engineer"/>
    <x v="32"/>
    <x v="1"/>
    <s v="SIPRAMA"/>
    <d v="2022-08-22T00:00:00"/>
    <d v="2024-10-31T00:00:00"/>
    <s v="2 Tahun 5 Bulan 8 Hari "/>
    <n v="801"/>
    <n v="218"/>
    <n v="4"/>
    <n v="1692"/>
    <n v="423"/>
    <n v="478"/>
    <n v="1"/>
    <n v="5"/>
    <n v="1.1300236406619386"/>
    <n v="0.22600472813238773"/>
    <d v="1922-07-03T11:47:07"/>
    <d v="1899-12-30T02:47:10"/>
    <d v="1899-12-30T05:12:21"/>
    <n v="0"/>
    <n v="1"/>
    <n v="1"/>
    <n v="0.8"/>
    <n v="2"/>
    <n v="0.66666666666666663"/>
    <n v="0.16666666666666666"/>
    <d v="1899-12-30T01:09:31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80"/>
    <n v="85"/>
    <n v="90"/>
    <n v="90"/>
    <n v="85"/>
    <n v="0.8"/>
    <n v="430"/>
    <n v="0.98837209302325579"/>
    <n v="0.19767441860465118"/>
    <n v="4.2"/>
    <n v="86"/>
    <n v="0.8465958134037056"/>
    <s v="Baik"/>
    <s v="Stay"/>
    <s v="Engineer"/>
  </r>
  <r>
    <n v="85"/>
    <s v="Angga Meisa Maulana"/>
    <s v="IDH80026"/>
    <s v="Associate engineer"/>
    <x v="3"/>
    <x v="0"/>
    <s v="IMPACT"/>
    <d v="2021-11-02T00:00:00"/>
    <d v="2024-10-31T00:00:00"/>
    <s v="3 Tahun 2 Bulan 28 Hari "/>
    <n v="1094"/>
    <n v="872"/>
    <n v="15"/>
    <n v="5975"/>
    <n v="398.33333333333331"/>
    <n v="449"/>
    <n v="1"/>
    <n v="5"/>
    <n v="1.1271966527196653"/>
    <n v="0.22543933054393306"/>
    <d v="1899-12-30T01:26:00"/>
    <d v="2024-06-01T20:19:37"/>
    <d v="2024-04-28T14:10:21"/>
    <n v="1"/>
    <n v="0"/>
    <n v="1"/>
    <n v="0.8"/>
    <n v="2"/>
    <n v="0.66666666666666663"/>
    <n v="0.16666666666666666"/>
    <d v="1899-12-30T01:29:26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90"/>
    <n v="90"/>
    <n v="90"/>
    <n v="0.8"/>
    <n v="420"/>
    <n v="0.98809523809523814"/>
    <n v="0.19761904761904764"/>
    <n v="4.2"/>
    <n v="84"/>
    <n v="0.84597504482964747"/>
    <s v="Baik"/>
    <s v="Level Up"/>
    <s v="Engineer"/>
  </r>
  <r>
    <n v="86"/>
    <s v="Mualim Rohman"/>
    <s v="IDH70033"/>
    <s v="Associate engineer"/>
    <x v="49"/>
    <x v="2"/>
    <s v="SIPRAMA"/>
    <d v="2022-10-17T00:00:00"/>
    <d v="2024-10-31T00:00:00"/>
    <s v="2 Tahun 3 Bulan 13 Hari "/>
    <n v="745"/>
    <n v="153"/>
    <n v="3"/>
    <n v="1244"/>
    <n v="414.66666666666669"/>
    <n v="427"/>
    <n v="1"/>
    <n v="5"/>
    <n v="1.0297427652733118"/>
    <n v="0.20594855305466236"/>
    <d v="1907-12-10T15:13:57"/>
    <d v="1899-12-30T00:16:13"/>
    <d v="1931-01-15T02:34:36"/>
    <n v="0"/>
    <n v="1"/>
    <n v="1"/>
    <n v="0.8"/>
    <n v="2"/>
    <n v="0.66666666666666663"/>
    <n v="0.16666666666666666"/>
    <d v="1899-12-30T01:49:24"/>
    <n v="1"/>
    <n v="4"/>
    <n v="0.8"/>
    <n v="0.2"/>
    <n v="1"/>
    <n v="1"/>
    <n v="1"/>
    <n v="0"/>
    <n v="0"/>
    <n v="1"/>
    <n v="0"/>
    <n v="0"/>
    <n v="0.8"/>
    <n v="4"/>
    <n v="0.5"/>
    <n v="7.4999999999999997E-2"/>
    <n v="70"/>
    <n v="75"/>
    <n v="75"/>
    <n v="90"/>
    <n v="90"/>
    <n v="0.8"/>
    <n v="400"/>
    <n v="0.98750000000000004"/>
    <n v="0.19750000000000001"/>
    <n v="4.3999999999999995"/>
    <n v="80"/>
    <n v="0.84511521972132897"/>
    <s v="Baik"/>
    <s v="Level Up"/>
    <s v="Engineer"/>
  </r>
  <r>
    <n v="87"/>
    <s v="Daniel George"/>
    <s v="IDH40003"/>
    <s v="Senior engineer"/>
    <x v="28"/>
    <x v="2"/>
    <s v="IMPACT"/>
    <d v="2017-01-16T00:00:00"/>
    <d v="2024-10-31T00:00:00"/>
    <s v="8 Tahun 0 Bulan 14 Hari "/>
    <n v="2845"/>
    <n v="221"/>
    <n v="4"/>
    <n v="1669"/>
    <n v="417.25"/>
    <n v="453"/>
    <n v="1"/>
    <n v="5"/>
    <n v="1.0856800479328939"/>
    <n v="0.21713600958657878"/>
    <d v="1934-05-18T21:19:17"/>
    <d v="2024-05-22T14:59:39"/>
    <d v="2011-03-18T21:58:21"/>
    <n v="0"/>
    <n v="0"/>
    <n v="1"/>
    <n v="0.75"/>
    <n v="1"/>
    <n v="0.33333333333333331"/>
    <n v="8.3333333333333329E-2"/>
    <d v="1899-12-30T00:50:30"/>
    <n v="1.25"/>
    <n v="5"/>
    <n v="1"/>
    <n v="0.25"/>
    <n v="1"/>
    <n v="1"/>
    <n v="1"/>
    <n v="0"/>
    <n v="0"/>
    <n v="1"/>
    <n v="0"/>
    <n v="1"/>
    <n v="1"/>
    <n v="5"/>
    <n v="0.625"/>
    <n v="9.375E-2"/>
    <n v="65"/>
    <n v="65"/>
    <n v="85"/>
    <n v="80"/>
    <n v="80"/>
    <n v="0.8"/>
    <n v="375"/>
    <n v="0.98666666666666669"/>
    <n v="0.19733333333333336"/>
    <n v="4.8"/>
    <n v="75"/>
    <n v="0.84155267625324548"/>
    <s v="Baik"/>
    <s v="Stay"/>
    <s v="Senior engineer"/>
  </r>
  <r>
    <n v="88"/>
    <s v="Khairul Annuar"/>
    <s v="IDH40073"/>
    <s v="Engineer"/>
    <x v="12"/>
    <x v="1"/>
    <s v="SIPRAMA"/>
    <d v="2019-06-11T00:00:00"/>
    <d v="2024-10-31T00:00:00"/>
    <s v="5 Tahun 7 Bulan 19 Hari "/>
    <n v="1969"/>
    <n v="1040"/>
    <n v="17"/>
    <n v="7455"/>
    <n v="438.52941176470586"/>
    <n v="434"/>
    <n v="0.8"/>
    <n v="4"/>
    <n v="0.98967136150234747"/>
    <n v="0.1979342723004695"/>
    <d v="1899-12-30T01:26:00"/>
    <d v="1899-12-30T00:00:00"/>
    <d v="1899-12-30T00:00:00"/>
    <n v="1"/>
    <n v="0"/>
    <n v="0"/>
    <n v="0.4"/>
    <n v="1"/>
    <n v="0.33333333333333331"/>
    <n v="8.3333333333333329E-2"/>
    <d v="1899-12-30T00:42:48"/>
    <n v="1.25"/>
    <n v="5"/>
    <n v="1"/>
    <n v="0.25"/>
    <n v="1"/>
    <n v="1"/>
    <n v="1"/>
    <n v="1"/>
    <n v="0"/>
    <n v="1"/>
    <n v="0"/>
    <n v="1"/>
    <n v="1"/>
    <n v="6"/>
    <n v="0.75"/>
    <n v="0.11249999999999999"/>
    <n v="75"/>
    <n v="75"/>
    <n v="90"/>
    <n v="90"/>
    <n v="85"/>
    <n v="0.8"/>
    <n v="415"/>
    <n v="0.98795180722891562"/>
    <n v="0.19759036144578312"/>
    <n v="4.25"/>
    <n v="83"/>
    <n v="0.84135796707958599"/>
    <s v="Baik"/>
    <s v="Level Up"/>
    <s v="Senior engineer"/>
  </r>
  <r>
    <n v="89"/>
    <s v="Nanang Nasrullah"/>
    <s v="IDH80085"/>
    <s v="Associate engineer"/>
    <x v="50"/>
    <x v="0"/>
    <s v="IMPACT"/>
    <d v="2023-09-04T00:00:00"/>
    <d v="2024-10-31T00:00:00"/>
    <s v="1 Tahun 4 Bulan 26 Hari "/>
    <n v="423"/>
    <n v="98"/>
    <n v="1"/>
    <n v="454"/>
    <n v="454"/>
    <n v="614"/>
    <n v="1"/>
    <n v="5"/>
    <n v="1.3524229074889869"/>
    <n v="0.27048458149779736"/>
    <d v="1899-12-30T01:12:00"/>
    <d v="1933-03-13T02:15:27"/>
    <d v="1899-12-30T00:09:55"/>
    <n v="1"/>
    <n v="0"/>
    <n v="1"/>
    <n v="0.8"/>
    <n v="2"/>
    <n v="0.66666666666666663"/>
    <n v="0.16666666666666666"/>
    <d v="1899-12-30T02:02:56"/>
    <n v="0.75"/>
    <n v="3"/>
    <n v="0.6"/>
    <n v="0.15"/>
    <n v="1"/>
    <n v="1"/>
    <n v="1"/>
    <n v="0"/>
    <n v="0"/>
    <n v="0"/>
    <n v="0"/>
    <n v="0"/>
    <n v="0.6"/>
    <n v="3"/>
    <n v="0.375"/>
    <n v="5.6249999999999994E-2"/>
    <n v="75"/>
    <n v="75"/>
    <n v="90"/>
    <n v="90"/>
    <n v="90"/>
    <n v="0.8"/>
    <n v="420"/>
    <n v="0.98809523809523814"/>
    <n v="0.19761904761904764"/>
    <n v="3.95"/>
    <n v="84"/>
    <n v="0.84102029578351178"/>
    <s v="Baik"/>
    <s v="Level Up"/>
    <s v="Engineer"/>
  </r>
  <r>
    <n v="90"/>
    <s v="Muhammad Fikri Sudarso"/>
    <s v="IDH80024"/>
    <s v="Associate engineer"/>
    <x v="51"/>
    <x v="2"/>
    <s v="IMPACT"/>
    <d v="2023-02-09T00:00:00"/>
    <d v="2024-10-31T00:00:00"/>
    <s v="1 Tahun 11 Bulan 21 Hari "/>
    <n v="630"/>
    <n v="295"/>
    <n v="5"/>
    <n v="2105"/>
    <n v="421"/>
    <n v="464"/>
    <n v="1"/>
    <n v="5"/>
    <n v="1.1021377672209025"/>
    <n v="0.22042755344418052"/>
    <d v="1908-01-09T14:34:59"/>
    <d v="1899-12-30T00:25:15"/>
    <d v="1908-11-23T10:50:41"/>
    <n v="0"/>
    <n v="1"/>
    <n v="1"/>
    <n v="0.8"/>
    <n v="2"/>
    <n v="0.66666666666666663"/>
    <n v="0.16666666666666666"/>
    <d v="1899-12-30T01:50:27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80"/>
    <n v="80"/>
    <n v="80"/>
    <n v="80"/>
    <n v="0.8"/>
    <n v="395"/>
    <n v="0.98734177215189878"/>
    <n v="0.19746835443037977"/>
    <n v="4.2"/>
    <n v="79"/>
    <n v="0.84081257454122693"/>
    <s v="Baik"/>
    <s v="Stay"/>
    <s v="Associate engineer"/>
  </r>
  <r>
    <n v="91"/>
    <s v="Bima Wahyu Raebawa"/>
    <s v="IDH80034"/>
    <s v="Associate engineer"/>
    <x v="24"/>
    <x v="0"/>
    <s v="IMPACT"/>
    <d v="2023-02-09T00:00:00"/>
    <d v="2024-10-31T00:00:00"/>
    <s v="1 Tahun 11 Bulan 21 Hari "/>
    <n v="630"/>
    <n v="358"/>
    <n v="7"/>
    <n v="2648"/>
    <n v="378.28571428571428"/>
    <n v="381"/>
    <n v="1"/>
    <n v="5"/>
    <n v="1.0071752265861027"/>
    <n v="0.20143504531722056"/>
    <d v="1914-08-20T22:13:58"/>
    <d v="1899-12-30T01:34:46"/>
    <d v="1899-12-30T01:46:20"/>
    <n v="0"/>
    <n v="1"/>
    <n v="1"/>
    <n v="0.8"/>
    <n v="2"/>
    <n v="0.66666666666666663"/>
    <n v="0.16666666666666666"/>
    <d v="1899-12-30T01:25:40"/>
    <n v="1"/>
    <n v="4"/>
    <n v="0.8"/>
    <n v="0.2"/>
    <n v="1"/>
    <n v="1"/>
    <n v="0"/>
    <n v="0"/>
    <n v="0"/>
    <n v="1"/>
    <n v="0"/>
    <n v="1"/>
    <n v="0.8"/>
    <n v="4"/>
    <n v="0.5"/>
    <n v="7.4999999999999997E-2"/>
    <n v="75"/>
    <n v="70"/>
    <n v="80"/>
    <n v="80"/>
    <n v="80"/>
    <n v="0.8"/>
    <n v="385"/>
    <n v="0.98701298701298701"/>
    <n v="0.19740259740259741"/>
    <n v="4.3999999999999995"/>
    <n v="77"/>
    <n v="0.84050430938648457"/>
    <s v="Baik"/>
    <s v="Stay"/>
    <s v="Associate engineer"/>
  </r>
  <r>
    <n v="92"/>
    <s v="Fernando Bastanta Ginting"/>
    <s v="IDH80053"/>
    <s v="Associate engineer"/>
    <x v="34"/>
    <x v="2"/>
    <s v="IMPACT"/>
    <d v="2023-05-29T00:00:00"/>
    <d v="2024-10-31T00:00:00"/>
    <s v="1 Tahun 8 Bulan 1 Hari "/>
    <n v="521"/>
    <n v="684"/>
    <n v="10"/>
    <n v="4972"/>
    <n v="497.2"/>
    <n v="543"/>
    <n v="1"/>
    <n v="5"/>
    <n v="1.0921158487530169"/>
    <n v="0.21842316975060339"/>
    <d v="1899-12-30T01:15:00"/>
    <d v="1899-12-30T01:33:00"/>
    <d v="1899-12-30T00:00:00"/>
    <n v="1"/>
    <n v="1"/>
    <n v="0"/>
    <n v="0.8"/>
    <n v="2"/>
    <n v="0.66666666666666663"/>
    <n v="0.16666666666666666"/>
    <d v="1899-12-30T01:08:01"/>
    <n v="1"/>
    <n v="4"/>
    <n v="0.8"/>
    <n v="0.2"/>
    <n v="1"/>
    <n v="1"/>
    <n v="0"/>
    <n v="0"/>
    <n v="0"/>
    <n v="1"/>
    <n v="0"/>
    <n v="0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4.2"/>
    <n v="78"/>
    <n v="0.83877573385316762"/>
    <s v="Baik"/>
    <s v="Level Up"/>
    <s v="Engineer"/>
  </r>
  <r>
    <n v="93"/>
    <s v="Yudha Aryadi Zuhal"/>
    <s v="IDH80090"/>
    <s v="Associate engineer"/>
    <x v="17"/>
    <x v="2"/>
    <s v="IMPACT"/>
    <d v="2023-09-04T00:00:00"/>
    <d v="2024-10-31T00:00:00"/>
    <s v="1 Tahun 4 Bulan 26 Hari "/>
    <n v="423"/>
    <n v="612"/>
    <n v="11"/>
    <n v="5254"/>
    <n v="477.63636363636363"/>
    <n v="429"/>
    <n v="0.8"/>
    <n v="4"/>
    <n v="0.89817282070803195"/>
    <n v="0.17963456414160639"/>
    <d v="1900-12-20T02:50:44"/>
    <d v="1899-12-30T00:06:29"/>
    <d v="1899-12-30T00:07:44"/>
    <n v="0"/>
    <n v="1"/>
    <n v="1"/>
    <n v="0.8"/>
    <n v="2"/>
    <n v="0.66666666666666663"/>
    <n v="0.16666666666666666"/>
    <d v="1899-12-30T01:12:01"/>
    <n v="1"/>
    <n v="4"/>
    <n v="0.8"/>
    <n v="0.2"/>
    <n v="1"/>
    <n v="1"/>
    <n v="1"/>
    <n v="1"/>
    <n v="0"/>
    <n v="0"/>
    <n v="0"/>
    <n v="1"/>
    <n v="1"/>
    <n v="5"/>
    <n v="0.625"/>
    <n v="9.375E-2"/>
    <n v="75"/>
    <n v="65"/>
    <n v="80"/>
    <n v="90"/>
    <n v="80"/>
    <n v="0.8"/>
    <n v="390"/>
    <n v="0.98717948717948723"/>
    <n v="0.19743589743589746"/>
    <n v="4.4000000000000004"/>
    <n v="78"/>
    <n v="0.83748712824417049"/>
    <s v="Baik"/>
    <s v="Level Up"/>
    <s v="Engineer"/>
  </r>
  <r>
    <n v="94"/>
    <s v="Muhammad Afrizal"/>
    <s v="IDH40066"/>
    <s v="Senior engineer"/>
    <x v="36"/>
    <x v="2"/>
    <s v="IMPACT"/>
    <d v="2019-02-18T00:00:00"/>
    <d v="2024-10-31T00:00:00"/>
    <s v="5 Tahun 11 Bulan 12 Hari "/>
    <n v="2082"/>
    <n v="159"/>
    <n v="3"/>
    <n v="1272"/>
    <n v="424"/>
    <n v="378"/>
    <n v="0.8"/>
    <n v="4"/>
    <n v="0.89150943396226412"/>
    <n v="0.17830188679245285"/>
    <d v="1908-11-24T00:51:20"/>
    <d v="1899-12-30T01:50:22"/>
    <d v="1899-12-30T03:21:29"/>
    <n v="0"/>
    <n v="1"/>
    <n v="1"/>
    <n v="0.8"/>
    <n v="2"/>
    <n v="0.66666666666666663"/>
    <n v="0.16666666666666666"/>
    <d v="1899-12-30T01:17:30"/>
    <n v="1"/>
    <n v="4"/>
    <n v="0.8"/>
    <n v="0.2"/>
    <n v="1"/>
    <n v="1"/>
    <n v="1"/>
    <n v="0"/>
    <n v="0"/>
    <n v="1"/>
    <n v="0"/>
    <n v="1"/>
    <n v="1"/>
    <n v="5"/>
    <n v="0.625"/>
    <n v="9.375E-2"/>
    <n v="75"/>
    <n v="70"/>
    <n v="80"/>
    <n v="80"/>
    <n v="80"/>
    <n v="0.8"/>
    <n v="385"/>
    <n v="0.98701298701298701"/>
    <n v="0.19740259740259741"/>
    <n v="4.4000000000000004"/>
    <n v="77"/>
    <n v="0.83612115086171701"/>
    <s v="Baik"/>
    <s v="Stay"/>
    <s v="Senior engineer"/>
  </r>
  <r>
    <n v="95"/>
    <s v="Muhammad Ganda Sriwitjayanto"/>
    <s v="IDH40011"/>
    <s v="Senior engineer"/>
    <x v="9"/>
    <x v="2"/>
    <s v="IMPACT"/>
    <d v="2017-09-04T00:00:00"/>
    <d v="2024-10-31T00:00:00"/>
    <s v="7 Tahun 4 Bulan 26 Hari "/>
    <n v="2614"/>
    <n v="448"/>
    <n v="7"/>
    <n v="2614"/>
    <n v="373.42857142857144"/>
    <n v="391"/>
    <n v="1"/>
    <n v="5"/>
    <n v="1.047054322876817"/>
    <n v="0.2094108645753634"/>
    <d v="1921-04-27T05:34:07"/>
    <d v="1899-12-30T01:07:23"/>
    <d v="1899-12-30T00:00:00"/>
    <n v="0"/>
    <n v="1"/>
    <n v="0"/>
    <n v="0.4"/>
    <n v="1"/>
    <n v="0.33333333333333331"/>
    <n v="8.3333333333333329E-2"/>
    <d v="1899-12-30T00:33:40"/>
    <n v="1.25"/>
    <n v="5"/>
    <n v="1"/>
    <n v="0.25"/>
    <n v="1"/>
    <n v="1"/>
    <n v="1"/>
    <n v="1"/>
    <n v="1"/>
    <n v="0"/>
    <n v="0"/>
    <n v="0"/>
    <n v="1"/>
    <n v="5"/>
    <n v="0.625"/>
    <n v="9.375E-2"/>
    <n v="80"/>
    <n v="85"/>
    <n v="90"/>
    <n v="90"/>
    <n v="90"/>
    <n v="0.8"/>
    <n v="435"/>
    <n v="0.9885057471264368"/>
    <n v="0.19770114942528738"/>
    <n v="4.45"/>
    <n v="87"/>
    <n v="0.83419534733398404"/>
    <s v="Baik"/>
    <s v="Stay"/>
    <s v="Senior engineer"/>
  </r>
  <r>
    <n v="96"/>
    <s v="Deril Juliarto"/>
    <s v="IDH60033"/>
    <s v="Engineer"/>
    <x v="52"/>
    <x v="2"/>
    <s v="CITIUS"/>
    <d v="2021-11-02T00:00:00"/>
    <d v="2024-10-31T00:00:00"/>
    <s v="3 Tahun 2 Bulan 28 Hari "/>
    <n v="1094"/>
    <n v="156"/>
    <n v="4"/>
    <n v="1290"/>
    <n v="322.5"/>
    <n v="398"/>
    <n v="1"/>
    <n v="5"/>
    <n v="1.2341085271317829"/>
    <n v="0.24682170542635659"/>
    <d v="1921-01-15T03:29:03"/>
    <d v="1899-12-30T00:00:00"/>
    <d v="1923-05-05T18:13:20"/>
    <n v="0"/>
    <n v="0"/>
    <n v="1"/>
    <n v="0.75"/>
    <n v="1"/>
    <n v="0.33333333333333331"/>
    <n v="8.3333333333333329E-2"/>
    <d v="1899-12-30T00:57:20"/>
    <n v="1.25"/>
    <n v="5"/>
    <n v="1"/>
    <n v="0.25"/>
    <n v="1"/>
    <n v="1"/>
    <n v="1"/>
    <n v="0"/>
    <n v="0"/>
    <n v="0"/>
    <n v="0"/>
    <n v="0"/>
    <n v="0.6"/>
    <n v="3"/>
    <n v="0.375"/>
    <n v="5.6249999999999994E-2"/>
    <n v="80"/>
    <n v="75"/>
    <n v="85"/>
    <n v="90"/>
    <n v="85"/>
    <n v="0.8"/>
    <n v="415"/>
    <n v="0.98795180722891562"/>
    <n v="0.19759036144578312"/>
    <n v="4.4000000000000004"/>
    <n v="83"/>
    <n v="0.83399540020547303"/>
    <s v="Baik"/>
    <s v="Stay"/>
    <s v="Engineer"/>
  </r>
  <r>
    <n v="97"/>
    <s v="Suhardi"/>
    <s v="IDH70015"/>
    <s v="Associate engineer"/>
    <x v="18"/>
    <x v="2"/>
    <s v="SIPRAMA"/>
    <d v="2021-04-05T00:00:00"/>
    <d v="2024-10-31T00:00:00"/>
    <s v="3 Tahun 9 Bulan 25 Hari "/>
    <n v="1305"/>
    <n v="401"/>
    <n v="7"/>
    <n v="2754"/>
    <n v="393.42857142857144"/>
    <n v="372"/>
    <n v="0.8"/>
    <n v="4"/>
    <n v="0.94553376906318076"/>
    <n v="0.18910675381263617"/>
    <d v="1938-04-17T05:20:20"/>
    <d v="1946-10-14T16:05:57"/>
    <d v="1899-12-30T00:37:34"/>
    <n v="0"/>
    <n v="0"/>
    <n v="1"/>
    <n v="0.4"/>
    <n v="1"/>
    <n v="0.33333333333333331"/>
    <n v="8.3333333333333329E-2"/>
    <d v="1899-12-30T00:54:18"/>
    <n v="1.25"/>
    <n v="5"/>
    <n v="1"/>
    <n v="0.25"/>
    <n v="1"/>
    <n v="1"/>
    <n v="1"/>
    <n v="0"/>
    <n v="1"/>
    <n v="1"/>
    <n v="0"/>
    <n v="1"/>
    <n v="1"/>
    <n v="6"/>
    <n v="0.75"/>
    <n v="0.11249999999999999"/>
    <n v="80"/>
    <n v="75"/>
    <n v="80"/>
    <n v="75"/>
    <n v="80"/>
    <n v="0.8"/>
    <n v="390"/>
    <n v="0.98717948717948723"/>
    <n v="0.19743589743589746"/>
    <n v="4.25"/>
    <n v="78"/>
    <n v="0.83237598458186701"/>
    <s v="Baik"/>
    <s v="Stay"/>
    <s v="Associate engineer"/>
  </r>
  <r>
    <n v="98"/>
    <s v="Muhammad Farhan Maskur"/>
    <s v="IDH80133"/>
    <s v="Associate engineer"/>
    <x v="19"/>
    <x v="2"/>
    <s v="IMPACT"/>
    <d v="2024-02-01T00:00:00"/>
    <d v="2024-10-31T00:00:00"/>
    <s v="0 Tahun 11 Bulan 29 Hari "/>
    <n v="273"/>
    <n v="64"/>
    <n v="2"/>
    <n v="500"/>
    <n v="250"/>
    <n v="241"/>
    <n v="0.8"/>
    <n v="4"/>
    <n v="0.96399999999999997"/>
    <n v="0.1928"/>
    <d v="1917-10-13T12:50:07"/>
    <d v="1899-12-30T02:58:18"/>
    <d v="1956-07-26T16:55:17"/>
    <n v="0"/>
    <n v="1"/>
    <n v="1"/>
    <n v="0.8"/>
    <n v="2"/>
    <n v="0.66666666666666663"/>
    <n v="0.16666666666666666"/>
    <d v="1899-12-30T01:18:11"/>
    <n v="1"/>
    <n v="4"/>
    <n v="0.8"/>
    <n v="0.2"/>
    <n v="1"/>
    <n v="1"/>
    <n v="1"/>
    <n v="0"/>
    <n v="0"/>
    <n v="1"/>
    <n v="0"/>
    <n v="0"/>
    <n v="0.8"/>
    <n v="4"/>
    <n v="0.5"/>
    <n v="7.4999999999999997E-2"/>
    <n v="75"/>
    <n v="70"/>
    <n v="85"/>
    <n v="85"/>
    <n v="85"/>
    <n v="0.8"/>
    <n v="400"/>
    <n v="0.98750000000000004"/>
    <n v="0.19750000000000001"/>
    <n v="4.2"/>
    <n v="80"/>
    <n v="0.83196666666666663"/>
    <s v="New CE"/>
    <s v="Stay"/>
    <s v="Associate engineer"/>
  </r>
  <r>
    <n v="99"/>
    <s v="Abdul Arif Manoppo"/>
    <s v="IDH90056"/>
    <s v="Associate engineer"/>
    <x v="14"/>
    <x v="2"/>
    <s v="KINARYA"/>
    <d v="2024-01-15T00:00:00"/>
    <d v="2024-10-31T00:00:00"/>
    <s v="1 Tahun 0 Bulan 15 Hari "/>
    <n v="290"/>
    <n v="59"/>
    <n v="2"/>
    <n v="448"/>
    <n v="224"/>
    <n v="170"/>
    <n v="0.6"/>
    <n v="3"/>
    <n v="0.7589285714285714"/>
    <n v="0.1517857142857143"/>
    <d v="1899-12-30T00:04:55"/>
    <d v="1899-12-30T00:00:00"/>
    <d v="1899-12-30T00:11:48"/>
    <n v="1"/>
    <n v="0"/>
    <n v="1"/>
    <n v="0.8"/>
    <n v="2"/>
    <n v="0.66666666666666663"/>
    <n v="0.16666666666666666"/>
    <d v="1899-12-30T01:24:49"/>
    <n v="1"/>
    <n v="4"/>
    <n v="0.8"/>
    <n v="0.2"/>
    <n v="1"/>
    <n v="1"/>
    <n v="0"/>
    <n v="1"/>
    <n v="1"/>
    <n v="1"/>
    <n v="0"/>
    <n v="1"/>
    <n v="1"/>
    <n v="6"/>
    <n v="0.75"/>
    <n v="0.11249999999999999"/>
    <n v="75"/>
    <n v="75"/>
    <n v="80"/>
    <n v="85"/>
    <n v="80"/>
    <n v="0.8"/>
    <n v="395"/>
    <n v="0.98734177215189878"/>
    <n v="0.19746835443037977"/>
    <n v="4.2"/>
    <n v="79"/>
    <n v="0.82842073538276073"/>
    <s v="New CE"/>
    <s v="Stay"/>
    <s v="Associate engineer"/>
  </r>
  <r>
    <n v="100"/>
    <s v="Muhamad Riyadi"/>
    <s v="IDH80062"/>
    <s v="Associate engineer"/>
    <x v="11"/>
    <x v="1"/>
    <s v="IMPACT"/>
    <d v="2023-07-24T00:00:00"/>
    <d v="2024-10-31T00:00:00"/>
    <s v="1 Tahun 6 Bulan 6 Hari "/>
    <n v="465"/>
    <n v="897"/>
    <n v="13"/>
    <n v="6212"/>
    <n v="477.84615384615387"/>
    <n v="531"/>
    <n v="1"/>
    <n v="5"/>
    <n v="1.1112363168061816"/>
    <n v="0.22224726336123635"/>
    <d v="1899-12-30T01:30:00"/>
    <d v="1899-12-30T03:30:00"/>
    <d v="1899-12-30T00:00:00"/>
    <n v="1"/>
    <n v="0"/>
    <n v="0"/>
    <n v="0.75"/>
    <n v="1"/>
    <n v="0.33333333333333331"/>
    <n v="8.3333333333333329E-2"/>
    <d v="1899-12-30T00:54:34"/>
    <n v="1.25"/>
    <n v="5"/>
    <n v="1"/>
    <n v="0.25"/>
    <n v="1"/>
    <n v="1"/>
    <n v="1"/>
    <n v="0"/>
    <n v="0"/>
    <n v="1"/>
    <n v="0"/>
    <n v="0"/>
    <n v="0.8"/>
    <n v="4"/>
    <n v="0.5"/>
    <n v="7.4999999999999997E-2"/>
    <n v="75"/>
    <n v="75"/>
    <n v="90"/>
    <n v="85"/>
    <n v="80"/>
    <n v="0.8"/>
    <n v="405"/>
    <n v="0.98765432098765427"/>
    <n v="0.19753086419753085"/>
    <n v="4.5999999999999996"/>
    <n v="81"/>
    <n v="0.82811146089210053"/>
    <s v="Baik"/>
    <s v="Level Up"/>
    <s v="Engineer"/>
  </r>
  <r>
    <n v="101"/>
    <s v="Fribet Dominggo Siadari"/>
    <s v="IDH60060"/>
    <s v="Engineer"/>
    <x v="34"/>
    <x v="2"/>
    <s v="CITIUS"/>
    <d v="2022-03-07T00:00:00"/>
    <d v="2024-10-31T00:00:00"/>
    <s v="2 Tahun 10 Bulan 23 Hari "/>
    <n v="969"/>
    <n v="684"/>
    <n v="10"/>
    <n v="4972"/>
    <n v="497.2"/>
    <n v="391"/>
    <n v="0.6"/>
    <n v="3"/>
    <n v="0.78640386162510056"/>
    <n v="0.15728077232502014"/>
    <d v="1936-09-08T08:04:24"/>
    <d v="1899-12-30T00:00:03"/>
    <d v="1913-10-26T02:24:23"/>
    <n v="0"/>
    <n v="1"/>
    <n v="1"/>
    <n v="0.8"/>
    <n v="2"/>
    <n v="0.66666666666666663"/>
    <n v="0.16666666666666666"/>
    <d v="1899-12-30T00:58:40"/>
    <n v="1.25"/>
    <n v="5"/>
    <n v="1"/>
    <n v="0.25"/>
    <n v="1"/>
    <n v="1"/>
    <n v="0"/>
    <n v="0"/>
    <n v="0"/>
    <n v="1"/>
    <n v="0"/>
    <n v="0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4.05"/>
    <n v="78"/>
    <n v="0.8276333364275843"/>
    <s v="Baik"/>
    <s v="Stay"/>
    <s v="Engineer"/>
  </r>
  <r>
    <n v="102"/>
    <s v="Muhammad Munandar"/>
    <s v="IDH40094"/>
    <s v="Engineer"/>
    <x v="42"/>
    <x v="0"/>
    <s v="GSS"/>
    <d v="2020-01-06T00:00:00"/>
    <d v="2024-10-31T00:00:00"/>
    <s v="5 Tahun 0 Bulan 24 Hari "/>
    <n v="1760"/>
    <n v="332"/>
    <n v="6"/>
    <n v="2281"/>
    <n v="380.16666666666669"/>
    <n v="358"/>
    <n v="0.8"/>
    <n v="4"/>
    <n v="0.94169224024550635"/>
    <n v="0.18833844804910127"/>
    <d v="1899-12-30T01:27:00"/>
    <d v="1899-12-30T00:00:16"/>
    <d v="1899-12-30T00:00:00"/>
    <n v="1"/>
    <n v="1"/>
    <n v="0"/>
    <n v="0.8"/>
    <n v="2"/>
    <n v="0.66666666666666663"/>
    <n v="0.16666666666666666"/>
    <d v="1899-12-30T01:07:10"/>
    <n v="1"/>
    <n v="4"/>
    <n v="0.8"/>
    <n v="0.2"/>
    <n v="1"/>
    <n v="1"/>
    <n v="1"/>
    <n v="0"/>
    <n v="0"/>
    <n v="0"/>
    <n v="0"/>
    <n v="1"/>
    <n v="0.8"/>
    <n v="4"/>
    <n v="0.5"/>
    <n v="7.4999999999999997E-2"/>
    <n v="75"/>
    <n v="75"/>
    <n v="90"/>
    <n v="90"/>
    <n v="90"/>
    <n v="0.8"/>
    <n v="420"/>
    <n v="0.98809523809523814"/>
    <n v="0.19761904761904764"/>
    <n v="4.2"/>
    <n v="84"/>
    <n v="0.82762416233481551"/>
    <s v="Baik"/>
    <s v="Level Up"/>
    <s v="Senior engineer"/>
  </r>
  <r>
    <n v="103"/>
    <s v="Muhammad Zaini"/>
    <s v="IDH80089"/>
    <s v="Associate engineer"/>
    <x v="53"/>
    <x v="0"/>
    <s v="IMPACT"/>
    <d v="2023-09-04T00:00:00"/>
    <d v="2024-10-31T00:00:00"/>
    <s v="1 Tahun 4 Bulan 26 Hari "/>
    <n v="423"/>
    <n v="55"/>
    <n v="1"/>
    <n v="491"/>
    <n v="491"/>
    <n v="496"/>
    <n v="1"/>
    <n v="5"/>
    <n v="1.0101832993890021"/>
    <n v="0.20203665987780042"/>
    <d v="1899-12-30T01:11:00"/>
    <d v="1913-10-29T09:10:05"/>
    <d v="1899-12-30T00:00:00"/>
    <n v="1"/>
    <n v="0"/>
    <n v="0"/>
    <n v="0.4"/>
    <n v="1"/>
    <n v="0.33333333333333331"/>
    <n v="8.3333333333333329E-2"/>
    <d v="1899-12-30T00:57:02"/>
    <n v="1.25"/>
    <n v="5"/>
    <n v="1"/>
    <n v="0.25"/>
    <n v="1"/>
    <n v="1"/>
    <n v="1"/>
    <n v="0"/>
    <n v="0"/>
    <n v="1"/>
    <n v="0"/>
    <n v="1"/>
    <n v="1"/>
    <n v="5"/>
    <n v="0.625"/>
    <n v="9.375E-2"/>
    <n v="75"/>
    <n v="75"/>
    <n v="85"/>
    <n v="85"/>
    <n v="80"/>
    <n v="0.8"/>
    <n v="400"/>
    <n v="0.98750000000000004"/>
    <n v="0.19750000000000001"/>
    <n v="4.45"/>
    <n v="80"/>
    <n v="0.82661999321113377"/>
    <s v="Baik"/>
    <s v="Level Up"/>
    <s v="Engineer"/>
  </r>
  <r>
    <n v="104"/>
    <s v="Muhammad Risqi Hidayatullah"/>
    <s v="IDH80054"/>
    <s v="Associate engineer"/>
    <x v="4"/>
    <x v="0"/>
    <s v="IMPACT"/>
    <d v="2023-05-29T00:00:00"/>
    <d v="2024-10-31T00:00:00"/>
    <s v="1 Tahun 8 Bulan 1 Hari "/>
    <n v="521"/>
    <n v="625"/>
    <n v="10"/>
    <n v="4149"/>
    <n v="414.9"/>
    <n v="424"/>
    <n v="1"/>
    <n v="5"/>
    <n v="1.0219329959026271"/>
    <n v="0.20438659918052543"/>
    <d v="1899-12-30T00:00:52"/>
    <d v="1899-12-30T00:00:11"/>
    <d v="1899-12-30T00:00:00"/>
    <n v="1"/>
    <n v="1"/>
    <n v="0"/>
    <n v="0.8"/>
    <n v="2"/>
    <n v="0.66666666666666663"/>
    <n v="0.16666666666666666"/>
    <d v="1899-12-30T01:02:21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4.2"/>
    <n v="78"/>
    <n v="0.8247391632830896"/>
    <s v="Baik"/>
    <s v="Stay"/>
    <s v="Associate engineer"/>
  </r>
  <r>
    <n v="105"/>
    <s v="Rahman Jauhari"/>
    <s v="IDH70052"/>
    <s v="Associate engineer"/>
    <x v="5"/>
    <x v="1"/>
    <s v="SIPRAMA"/>
    <d v="2022-11-17T00:00:00"/>
    <d v="2024-10-31T00:00:00"/>
    <s v="2 Tahun 2 Bulan 13 Hari "/>
    <n v="714"/>
    <n v="329"/>
    <n v="6"/>
    <n v="1945"/>
    <n v="324.16666666666669"/>
    <n v="435"/>
    <n v="1"/>
    <n v="5"/>
    <n v="1.3419023136246786"/>
    <n v="0.26838046272493571"/>
    <d v="1905-08-26T16:27:48"/>
    <d v="1919-08-22T13:52:41"/>
    <d v="1899-12-30T06:02:49"/>
    <n v="0"/>
    <n v="0"/>
    <n v="1"/>
    <n v="0.4"/>
    <n v="1"/>
    <n v="0.33333333333333331"/>
    <n v="8.3333333333333329E-2"/>
    <d v="1899-12-30T01:01:12"/>
    <n v="1"/>
    <n v="4"/>
    <n v="0.8"/>
    <n v="0.2"/>
    <n v="1"/>
    <n v="1"/>
    <n v="1"/>
    <n v="0"/>
    <n v="1"/>
    <n v="0"/>
    <n v="0"/>
    <n v="0"/>
    <n v="0.8"/>
    <n v="4"/>
    <n v="0.5"/>
    <n v="7.4999999999999997E-2"/>
    <n v="75"/>
    <n v="75"/>
    <n v="90"/>
    <n v="85"/>
    <n v="80"/>
    <n v="0.8"/>
    <n v="405"/>
    <n v="0.98765432098765427"/>
    <n v="0.19753086419753085"/>
    <n v="4"/>
    <n v="81"/>
    <n v="0.82424466025579979"/>
    <s v="Baik"/>
    <s v="Stay"/>
    <s v="Associate engineer"/>
  </r>
  <r>
    <n v="106"/>
    <s v="Raden Mas Alfian Apriansya Diponegoro"/>
    <s v="IDH50007"/>
    <s v="Engineer"/>
    <x v="54"/>
    <x v="2"/>
    <s v="SIPRAMA"/>
    <d v="2020-10-19T00:00:00"/>
    <d v="2024-10-31T00:00:00"/>
    <s v="4 Tahun 3 Bulan 11 Hari "/>
    <n v="1473"/>
    <n v="109"/>
    <n v="2"/>
    <n v="853"/>
    <n v="426.5"/>
    <n v="412"/>
    <n v="0.8"/>
    <n v="4"/>
    <n v="0.96600234466588508"/>
    <n v="0.19320046893317702"/>
    <d v="1926-03-13T06:14:53"/>
    <d v="1962-04-22T01:18:16"/>
    <d v="1942-06-15T11:14:43"/>
    <n v="0"/>
    <n v="0"/>
    <n v="1"/>
    <n v="0.4"/>
    <n v="1"/>
    <n v="0.33333333333333331"/>
    <n v="8.3333333333333329E-2"/>
    <d v="1899-12-30T01:52:53"/>
    <n v="1"/>
    <n v="4"/>
    <n v="0.8"/>
    <n v="0.2"/>
    <n v="1"/>
    <n v="1"/>
    <n v="1"/>
    <n v="1"/>
    <n v="1"/>
    <n v="1"/>
    <n v="1"/>
    <n v="1"/>
    <n v="1"/>
    <n v="8"/>
    <n v="1"/>
    <n v="0.15"/>
    <n v="75"/>
    <n v="60"/>
    <n v="85"/>
    <n v="85"/>
    <n v="85"/>
    <n v="0.8"/>
    <n v="390"/>
    <n v="0.98717948717948723"/>
    <n v="0.19743589743589746"/>
    <n v="4"/>
    <n v="78"/>
    <n v="0.82396969970240774"/>
    <s v="Baik"/>
    <s v="Level Up"/>
    <s v="Senior engineer"/>
  </r>
  <r>
    <n v="107"/>
    <s v="Abu Samsul Hanifah"/>
    <s v="IDH60089"/>
    <s v="Engineer"/>
    <x v="55"/>
    <x v="0"/>
    <s v="CITIUS"/>
    <d v="2022-08-22T00:00:00"/>
    <d v="2024-10-31T00:00:00"/>
    <s v="2 Tahun 5 Bulan 8 Hari "/>
    <n v="801"/>
    <n v="241"/>
    <n v="4"/>
    <n v="1968"/>
    <n v="492"/>
    <n v="500"/>
    <n v="1"/>
    <n v="5"/>
    <n v="1.0162601626016261"/>
    <n v="0.20325203252032523"/>
    <d v="1918-05-10T15:45:33"/>
    <d v="1899-12-30T02:15:26"/>
    <d v="1899-12-30T03:25:58"/>
    <n v="0"/>
    <n v="1"/>
    <n v="1"/>
    <n v="0.8"/>
    <n v="2"/>
    <n v="0.66666666666666663"/>
    <n v="0.16666666666666666"/>
    <d v="1899-12-30T01:46:33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4.2"/>
    <n v="78"/>
    <n v="0.82360459662288932"/>
    <s v="Baik"/>
    <s v="Stay"/>
    <s v="Engineer"/>
  </r>
  <r>
    <n v="108"/>
    <s v="Aryangga Madya Kurniawan"/>
    <s v="IDH80074"/>
    <s v="Associate engineer"/>
    <x v="56"/>
    <x v="2"/>
    <s v="IMPACT"/>
    <d v="2023-07-24T00:00:00"/>
    <d v="2024-10-31T00:00:00"/>
    <s v="1 Tahun 6 Bulan 6 Hari "/>
    <n v="465"/>
    <n v="69"/>
    <n v="2"/>
    <n v="514"/>
    <n v="257"/>
    <n v="316"/>
    <n v="1"/>
    <n v="5"/>
    <n v="1.2295719844357977"/>
    <n v="0.24591439688715955"/>
    <d v="1899-12-30T00:21:41"/>
    <d v="1915-07-06T04:54:16"/>
    <d v="1914-10-23T00:02:26"/>
    <n v="1"/>
    <n v="0"/>
    <n v="1"/>
    <n v="0.8"/>
    <n v="2"/>
    <n v="0.66666666666666663"/>
    <n v="0.16666666666666666"/>
    <d v="1899-12-30T03:15:24"/>
    <n v="0.5"/>
    <n v="2"/>
    <n v="0.4"/>
    <n v="0.1"/>
    <n v="1"/>
    <n v="1"/>
    <n v="0"/>
    <n v="0"/>
    <n v="1"/>
    <n v="1"/>
    <n v="1"/>
    <n v="1"/>
    <n v="1"/>
    <n v="6"/>
    <n v="0.75"/>
    <n v="0.11249999999999999"/>
    <n v="75"/>
    <n v="80"/>
    <n v="80"/>
    <n v="80"/>
    <n v="80"/>
    <n v="0.8"/>
    <n v="395"/>
    <n v="0.98734177215189878"/>
    <n v="0.19746835443037977"/>
    <n v="4.0999999999999996"/>
    <n v="79"/>
    <n v="0.822549417984206"/>
    <s v="Baik"/>
    <s v="Stay"/>
    <s v="Associate engineer"/>
  </r>
  <r>
    <n v="109"/>
    <s v="Bagas Widya Ananta"/>
    <s v="IDH40082"/>
    <s v="Senior engineer"/>
    <x v="49"/>
    <x v="2"/>
    <s v="IMPACT"/>
    <d v="2019-10-02T00:00:00"/>
    <d v="2024-10-31T00:00:00"/>
    <s v="5 Tahun 3 Bulan 28 Hari "/>
    <n v="1856"/>
    <n v="153"/>
    <n v="3"/>
    <n v="1244"/>
    <n v="414.66666666666669"/>
    <n v="354"/>
    <n v="0.8"/>
    <n v="4"/>
    <n v="0.85369774919614139"/>
    <n v="0.17073954983922829"/>
    <d v="1928-09-05T00:23:44"/>
    <d v="1899-12-30T00:12:13"/>
    <d v="1899-12-30T03:22:49"/>
    <n v="0"/>
    <n v="1"/>
    <n v="1"/>
    <n v="0.8"/>
    <n v="2"/>
    <n v="0.66666666666666663"/>
    <n v="0.16666666666666666"/>
    <d v="1899-12-30T00:28:59"/>
    <n v="1.25"/>
    <n v="5"/>
    <n v="1"/>
    <n v="0.25"/>
    <n v="1"/>
    <n v="1"/>
    <n v="0"/>
    <n v="0"/>
    <n v="0"/>
    <n v="0"/>
    <n v="0"/>
    <n v="0"/>
    <n v="0.4"/>
    <n v="2"/>
    <n v="0.25"/>
    <n v="3.7499999999999999E-2"/>
    <n v="75"/>
    <n v="75"/>
    <n v="85"/>
    <n v="90"/>
    <n v="90"/>
    <n v="0.8"/>
    <n v="415"/>
    <n v="0.98795180722891562"/>
    <n v="0.19759036144578312"/>
    <n v="4.05"/>
    <n v="83"/>
    <n v="0.82249657795167808"/>
    <s v="Baik"/>
    <s v="Stay"/>
    <s v="Senior engineer"/>
  </r>
  <r>
    <n v="110"/>
    <s v="Agung Nugroho"/>
    <s v="IDH60006"/>
    <s v="Engineer"/>
    <x v="0"/>
    <x v="0"/>
    <s v="CITIUS"/>
    <d v="2021-08-23T00:00:00"/>
    <d v="2024-10-31T00:00:00"/>
    <s v="3 Tahun 5 Bulan 7 Hari "/>
    <n v="1165"/>
    <n v="1384"/>
    <n v="22"/>
    <n v="6775"/>
    <n v="307.95454545454544"/>
    <n v="460"/>
    <n v="1"/>
    <n v="5"/>
    <n v="1.4937269372693727"/>
    <n v="0.29874538745387452"/>
    <d v="1902-12-08T12:06:14"/>
    <d v="1899-12-30T00:00:00"/>
    <d v="1899-12-30T00:00:00"/>
    <n v="0"/>
    <n v="0"/>
    <n v="0"/>
    <n v="0"/>
    <n v="0"/>
    <n v="0"/>
    <n v="0"/>
    <d v="1899-12-30T00:42:58"/>
    <n v="1.25"/>
    <n v="5"/>
    <n v="1"/>
    <n v="0.25"/>
    <n v="1"/>
    <n v="1"/>
    <n v="1"/>
    <n v="1"/>
    <n v="0"/>
    <n v="0"/>
    <n v="0"/>
    <n v="0"/>
    <n v="0.8"/>
    <n v="4"/>
    <n v="0.5"/>
    <n v="7.4999999999999997E-2"/>
    <n v="75"/>
    <n v="75"/>
    <n v="75"/>
    <n v="75"/>
    <n v="75"/>
    <n v="0.8"/>
    <n v="375"/>
    <n v="0.98666666666666669"/>
    <n v="0.19733333333333336"/>
    <n v="3.8499999999999996"/>
    <n v="75"/>
    <n v="0.82107872078720789"/>
    <s v="Baik"/>
    <s v="Stay"/>
    <s v="Engineer"/>
  </r>
  <r>
    <n v="111"/>
    <s v="Komedi Adi Utomo"/>
    <s v="IDH80086"/>
    <s v="Associate engineer"/>
    <x v="47"/>
    <x v="0"/>
    <s v="IMPACT"/>
    <d v="2023-09-04T00:00:00"/>
    <d v="2024-10-31T00:00:00"/>
    <s v="1 Tahun 4 Bulan 26 Hari "/>
    <n v="423"/>
    <n v="507"/>
    <n v="10"/>
    <n v="3304"/>
    <n v="330.4"/>
    <n v="331"/>
    <n v="1"/>
    <n v="5"/>
    <n v="1.0018159806295399"/>
    <n v="0.200363196125908"/>
    <d v="1899-12-30T00:19:41"/>
    <d v="1899-12-30T00:49:49"/>
    <d v="1899-12-30T00:00:00"/>
    <n v="1"/>
    <n v="1"/>
    <n v="0"/>
    <n v="0.8"/>
    <n v="2"/>
    <n v="0.66666666666666663"/>
    <n v="0.16666666666666666"/>
    <d v="1899-12-30T01:29:19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4.2"/>
    <n v="78"/>
    <n v="0.82071576022847226"/>
    <s v="Baik"/>
    <s v="Stay"/>
    <s v="Associate engineer"/>
  </r>
  <r>
    <n v="112"/>
    <s v="Dwiki Dhamuristya"/>
    <s v="IDH90055"/>
    <s v="Associate engineer"/>
    <x v="57"/>
    <x v="2"/>
    <s v="KINARYA"/>
    <d v="2024-01-15T00:00:00"/>
    <d v="2024-10-31T00:00:00"/>
    <s v="1 Tahun 0 Bulan 15 Hari "/>
    <n v="290"/>
    <n v="221"/>
    <n v="4"/>
    <n v="1669"/>
    <n v="417.25"/>
    <n v="283"/>
    <n v="0.6"/>
    <n v="3"/>
    <n v="0.67825044937088075"/>
    <n v="0.13565008987417615"/>
    <d v="1899-12-30T00:10:46"/>
    <d v="1899-12-30T00:24:15"/>
    <d v="1899-12-30T01:23:09"/>
    <n v="1"/>
    <n v="1"/>
    <n v="1"/>
    <n v="1.25"/>
    <n v="3"/>
    <n v="1"/>
    <n v="0.25"/>
    <d v="1899-12-30T01:40:24"/>
    <n v="1"/>
    <n v="4"/>
    <n v="0.8"/>
    <n v="0.2"/>
    <n v="1"/>
    <n v="1"/>
    <n v="0"/>
    <n v="0"/>
    <n v="0"/>
    <n v="0"/>
    <n v="0"/>
    <n v="0"/>
    <n v="0.4"/>
    <n v="2"/>
    <n v="0.25"/>
    <n v="3.7499999999999999E-2"/>
    <n v="75"/>
    <n v="75"/>
    <n v="80"/>
    <n v="80"/>
    <n v="80"/>
    <n v="0.8"/>
    <n v="390"/>
    <n v="0.98717948717948723"/>
    <n v="0.19743589743589746"/>
    <n v="4.05"/>
    <n v="78"/>
    <n v="0.82058598731007359"/>
    <s v="New CE"/>
    <s v="Stay"/>
    <s v="Associate engineer"/>
  </r>
  <r>
    <n v="113"/>
    <s v="Fajar Nugraha"/>
    <s v="IDH30024"/>
    <s v="Senior engineer"/>
    <x v="41"/>
    <x v="2"/>
    <s v="IMPACT"/>
    <d v="2017-09-04T00:00:00"/>
    <d v="2024-10-31T00:00:00"/>
    <s v="7 Tahun 4 Bulan 26 Hari "/>
    <n v="2614"/>
    <n v="283"/>
    <n v="4"/>
    <n v="1878"/>
    <n v="469.5"/>
    <n v="547"/>
    <n v="1"/>
    <n v="5"/>
    <n v="1.1650692225772099"/>
    <n v="0.23301384451544199"/>
    <d v="1964-03-19T23:50:09"/>
    <d v="1943-03-24T07:53:57"/>
    <d v="2024-06-10T13:34:51"/>
    <n v="0"/>
    <n v="0"/>
    <n v="1"/>
    <n v="0.4"/>
    <n v="1"/>
    <n v="0.33333333333333331"/>
    <n v="8.3333333333333329E-2"/>
    <d v="1899-12-30T00:59:42"/>
    <n v="1.25"/>
    <n v="5"/>
    <n v="1"/>
    <n v="0.25"/>
    <n v="1"/>
    <n v="1"/>
    <n v="0"/>
    <n v="0"/>
    <n v="0"/>
    <n v="1"/>
    <n v="0"/>
    <n v="0"/>
    <n v="0.6"/>
    <n v="3"/>
    <n v="0.375"/>
    <n v="5.6249999999999994E-2"/>
    <n v="75"/>
    <n v="75"/>
    <n v="85"/>
    <n v="75"/>
    <n v="80"/>
    <n v="0.8"/>
    <n v="390"/>
    <n v="0.98717948717948723"/>
    <n v="0.19743589743589746"/>
    <n v="4.05"/>
    <n v="78"/>
    <n v="0.82003307528467273"/>
    <s v="Baik"/>
    <s v="Stay"/>
    <s v="Senior engineer"/>
  </r>
  <r>
    <n v="114"/>
    <s v="Muhammad Ilham JKT"/>
    <s v="IDH40079"/>
    <s v="Engineer"/>
    <x v="34"/>
    <x v="2"/>
    <s v="GSS"/>
    <d v="2019-08-05T00:00:00"/>
    <d v="2024-10-31T00:00:00"/>
    <s v="5 Tahun 5 Bulan 25 Hari "/>
    <n v="1914"/>
    <n v="684"/>
    <n v="4"/>
    <n v="4972"/>
    <n v="1243"/>
    <n v="404"/>
    <n v="0.2"/>
    <n v="1"/>
    <n v="0.32502011263073211"/>
    <n v="6.5004022526146427E-2"/>
    <d v="1899-12-30T01:02:00"/>
    <d v="1899-12-30T01:49:00"/>
    <d v="1973-04-14T14:16:44"/>
    <n v="1"/>
    <n v="1"/>
    <n v="1"/>
    <n v="1.25"/>
    <n v="3"/>
    <n v="1"/>
    <n v="0.25"/>
    <d v="1899-12-30T00:57:07"/>
    <n v="1.25"/>
    <n v="5"/>
    <n v="1"/>
    <n v="0.25"/>
    <n v="1"/>
    <n v="1"/>
    <n v="1"/>
    <n v="0"/>
    <n v="0"/>
    <n v="0"/>
    <n v="0"/>
    <n v="0"/>
    <n v="0.6"/>
    <n v="3"/>
    <n v="0.375"/>
    <n v="5.6249999999999994E-2"/>
    <n v="75"/>
    <n v="75"/>
    <n v="85"/>
    <n v="85"/>
    <n v="85"/>
    <n v="0.8"/>
    <n v="405"/>
    <n v="0.98765432098765427"/>
    <n v="0.19753086419753085"/>
    <n v="4.1000000000000005"/>
    <n v="81"/>
    <n v="0.81878488672367733"/>
    <s v="Baik"/>
    <s v="Level Up"/>
    <s v="Senior engineer"/>
  </r>
  <r>
    <n v="115"/>
    <s v="Puji Setiyawan"/>
    <s v="IDH60026"/>
    <s v="Engineer"/>
    <x v="4"/>
    <x v="0"/>
    <s v="CITIUS"/>
    <d v="2021-11-02T00:00:00"/>
    <d v="2024-10-31T00:00:00"/>
    <s v="3 Tahun 2 Bulan 28 Hari "/>
    <n v="1094"/>
    <n v="625"/>
    <n v="10"/>
    <n v="4149"/>
    <n v="414.9"/>
    <n v="333"/>
    <n v="0.8"/>
    <n v="4"/>
    <n v="0.80260303687635581"/>
    <n v="0.16052060737527118"/>
    <d v="1899-12-30T00:40:15"/>
    <d v="1906-03-22T19:22:01"/>
    <d v="1899-12-30T00:01:23"/>
    <n v="1"/>
    <n v="0"/>
    <n v="1"/>
    <n v="0.8"/>
    <n v="2"/>
    <n v="0.66666666666666663"/>
    <n v="0.16666666666666666"/>
    <d v="1899-12-30T01:15:26"/>
    <n v="1"/>
    <n v="4"/>
    <n v="0.8"/>
    <n v="0.2"/>
    <n v="1"/>
    <n v="1"/>
    <n v="1"/>
    <n v="0"/>
    <n v="0"/>
    <n v="1"/>
    <n v="0"/>
    <n v="1"/>
    <n v="1"/>
    <n v="5"/>
    <n v="0.625"/>
    <n v="9.375E-2"/>
    <n v="75"/>
    <n v="75"/>
    <n v="80"/>
    <n v="80"/>
    <n v="80"/>
    <n v="0.8"/>
    <n v="390"/>
    <n v="0.98717948717948723"/>
    <n v="0.19743589743589746"/>
    <n v="4.4000000000000004"/>
    <n v="78"/>
    <n v="0.81837317147783528"/>
    <s v="Baik"/>
    <s v="Stay"/>
    <s v="Engineer"/>
  </r>
  <r>
    <n v="116"/>
    <s v="Achmad Rio Anditya"/>
    <s v="IDH60004"/>
    <s v="Engineer"/>
    <x v="0"/>
    <x v="0"/>
    <s v="CITIUS"/>
    <d v="2021-08-23T00:00:00"/>
    <d v="2024-10-31T00:00:00"/>
    <s v="3 Tahun 5 Bulan 7 Hari "/>
    <n v="1165"/>
    <n v="1384"/>
    <n v="22"/>
    <n v="6775"/>
    <n v="307.95454545454544"/>
    <n v="532"/>
    <n v="1"/>
    <n v="5"/>
    <n v="1.7275276752767528"/>
    <n v="0.34550553505535059"/>
    <d v="1904-01-04T09:08:45"/>
    <d v="1899-12-30T00:00:00"/>
    <d v="1899-12-30T00:00:00"/>
    <n v="0"/>
    <n v="0"/>
    <n v="0"/>
    <n v="0"/>
    <n v="0"/>
    <n v="0"/>
    <n v="0"/>
    <d v="1899-12-30T01:14:08"/>
    <n v="1"/>
    <n v="4"/>
    <n v="0.8"/>
    <n v="0.2"/>
    <n v="1"/>
    <n v="1"/>
    <n v="1"/>
    <n v="1"/>
    <n v="0"/>
    <n v="0"/>
    <n v="0"/>
    <n v="0"/>
    <n v="0.8"/>
    <n v="4"/>
    <n v="0.5"/>
    <n v="7.4999999999999997E-2"/>
    <n v="75"/>
    <n v="75"/>
    <n v="80"/>
    <n v="80"/>
    <n v="80"/>
    <n v="0.8"/>
    <n v="390"/>
    <n v="0.98717948717948723"/>
    <n v="0.19743589743589746"/>
    <n v="3.5999999999999996"/>
    <n v="78"/>
    <n v="0.81794143249124796"/>
    <s v="Baik"/>
    <s v="Stay"/>
    <s v="Engineer"/>
  </r>
  <r>
    <n v="117"/>
    <s v="Arif Yudit Dwi Prakoso"/>
    <s v="IDH70001"/>
    <s v="Engineer"/>
    <x v="58"/>
    <x v="1"/>
    <s v="SIPRAMA"/>
    <d v="2022-08-22T00:00:00"/>
    <d v="2024-10-31T00:00:00"/>
    <s v="2 Tahun 5 Bulan 8 Hari "/>
    <n v="801"/>
    <n v="338"/>
    <n v="6"/>
    <n v="2750"/>
    <n v="458.33333333333331"/>
    <n v="471"/>
    <n v="1"/>
    <n v="5"/>
    <n v="1.0276363636363637"/>
    <n v="0.20552727272727275"/>
    <d v="1936-06-11T09:47:20"/>
    <d v="1899-12-30T00:00:15"/>
    <d v="1899-12-30T00:00:00"/>
    <n v="0"/>
    <n v="1"/>
    <n v="0"/>
    <n v="0.4"/>
    <n v="1"/>
    <n v="0.33333333333333331"/>
    <n v="8.3333333333333329E-2"/>
    <d v="1899-12-30T01:07:57"/>
    <n v="1"/>
    <n v="4"/>
    <n v="0.8"/>
    <n v="0.2"/>
    <n v="1"/>
    <n v="1"/>
    <n v="1"/>
    <n v="0"/>
    <n v="1"/>
    <n v="1"/>
    <n v="1"/>
    <n v="1"/>
    <n v="1"/>
    <n v="7"/>
    <n v="0.875"/>
    <n v="0.13125000000000001"/>
    <n v="80"/>
    <n v="80"/>
    <n v="90"/>
    <n v="90"/>
    <n v="85"/>
    <n v="0.8"/>
    <n v="425"/>
    <n v="0.9882352941176471"/>
    <n v="0.19764705882352943"/>
    <n v="4.2"/>
    <n v="85"/>
    <n v="0.81775766488413548"/>
    <s v="Baik"/>
    <s v="Level Up"/>
    <s v="Senior engineer"/>
  </r>
  <r>
    <n v="118"/>
    <s v="Ahmadi Saputra"/>
    <s v="IDH80029"/>
    <s v="Associate engineer"/>
    <x v="39"/>
    <x v="2"/>
    <s v="IMPACT"/>
    <d v="2023-02-09T00:00:00"/>
    <d v="2024-10-31T00:00:00"/>
    <s v="1 Tahun 11 Bulan 21 Hari "/>
    <n v="630"/>
    <n v="103"/>
    <n v="2"/>
    <n v="733"/>
    <n v="366.5"/>
    <n v="422"/>
    <n v="1"/>
    <n v="5"/>
    <n v="1.1514324693042293"/>
    <n v="0.23028649386084588"/>
    <d v="1971-10-01T14:27:09"/>
    <d v="1980-07-27T11:33:34"/>
    <d v="1974-08-18T13:14:31"/>
    <n v="0"/>
    <n v="0"/>
    <n v="1"/>
    <n v="0.4"/>
    <n v="1"/>
    <n v="0.33333333333333331"/>
    <n v="8.3333333333333329E-2"/>
    <d v="1899-12-30T00:55:12"/>
    <n v="1.25"/>
    <n v="5"/>
    <n v="1"/>
    <n v="0.25"/>
    <n v="1"/>
    <n v="1"/>
    <n v="1"/>
    <n v="0"/>
    <n v="0"/>
    <n v="0"/>
    <n v="0"/>
    <n v="0"/>
    <n v="0.6"/>
    <n v="3"/>
    <n v="0.375"/>
    <n v="5.6249999999999994E-2"/>
    <n v="75"/>
    <n v="75"/>
    <n v="85"/>
    <n v="85"/>
    <n v="85"/>
    <n v="0.8"/>
    <n v="405"/>
    <n v="0.98765432098765427"/>
    <n v="0.19753086419753085"/>
    <n v="4.05"/>
    <n v="81"/>
    <n v="0.81740069139171012"/>
    <s v="Baik"/>
    <s v="Level Up"/>
    <s v="Engineer"/>
  </r>
  <r>
    <n v="119"/>
    <s v="Rizal Zaelani"/>
    <s v="IDH60075"/>
    <s v="Engineer"/>
    <x v="55"/>
    <x v="0"/>
    <s v="CITIUS"/>
    <d v="2022-07-04T00:00:00"/>
    <d v="2024-10-31T00:00:00"/>
    <s v="2 Tahun 6 Bulan 26 Hari "/>
    <n v="850"/>
    <n v="241"/>
    <n v="4"/>
    <n v="1968"/>
    <n v="492"/>
    <n v="484"/>
    <n v="0.8"/>
    <n v="4"/>
    <n v="0.98373983739837401"/>
    <n v="0.19674796747967482"/>
    <d v="1899-12-30T01:58:00"/>
    <d v="1899-12-30T03:30:00"/>
    <d v="1899-12-30T03:49:25"/>
    <n v="1"/>
    <n v="0"/>
    <n v="1"/>
    <n v="0.8"/>
    <n v="2"/>
    <n v="0.66666666666666663"/>
    <n v="0.16666666666666666"/>
    <d v="1899-12-30T01:17:18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90"/>
    <n v="90"/>
    <n v="90"/>
    <n v="0.8"/>
    <n v="420"/>
    <n v="0.98809523809523814"/>
    <n v="0.19761904761904764"/>
    <n v="4"/>
    <n v="84"/>
    <n v="0.81728368176538924"/>
    <s v="Baik"/>
    <s v="Level Up"/>
    <s v="Senior engineer"/>
  </r>
  <r>
    <n v="120"/>
    <s v="Muhammad Fikri Nurhadi"/>
    <s v="IDH60085"/>
    <s v="Engineer"/>
    <x v="34"/>
    <x v="2"/>
    <s v="CITIUS"/>
    <d v="2022-07-04T00:00:00"/>
    <d v="2024-10-31T00:00:00"/>
    <s v="2 Tahun 6 Bulan 26 Hari "/>
    <n v="850"/>
    <n v="684"/>
    <n v="10"/>
    <n v="4972"/>
    <n v="497.2"/>
    <n v="569"/>
    <n v="1"/>
    <n v="5"/>
    <n v="1.1444086886564764"/>
    <n v="0.22888173773129528"/>
    <d v="1956-07-10T15:32:14"/>
    <d v="1976-08-15T03:55:57"/>
    <d v="1982-10-31T19:09:14"/>
    <n v="0"/>
    <n v="0"/>
    <n v="1"/>
    <n v="0.4"/>
    <n v="1"/>
    <n v="0.33333333333333331"/>
    <n v="8.3333333333333329E-2"/>
    <d v="1899-12-30T00:46:03"/>
    <n v="1.25"/>
    <n v="5"/>
    <n v="1"/>
    <n v="0.25"/>
    <n v="1"/>
    <n v="1"/>
    <n v="0"/>
    <n v="0"/>
    <n v="0"/>
    <n v="0"/>
    <n v="0"/>
    <n v="1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4.05"/>
    <n v="78"/>
    <n v="0.81590096850052607"/>
    <s v="Baik"/>
    <s v="Stay"/>
    <s v="Engineer"/>
  </r>
  <r>
    <n v="121"/>
    <s v="Muhammad Faisol"/>
    <s v="IDH90050"/>
    <s v="Associate engineer"/>
    <x v="17"/>
    <x v="2"/>
    <s v="KINARYA"/>
    <d v="2023-11-01T00:00:00"/>
    <d v="2024-10-31T00:00:00"/>
    <s v="1 Tahun 2 Bulan 29 Hari "/>
    <n v="365"/>
    <n v="612"/>
    <n v="11"/>
    <n v="5254"/>
    <n v="477.63636363636363"/>
    <n v="377"/>
    <n v="0.6"/>
    <n v="3"/>
    <n v="0.78930338789493726"/>
    <n v="0.15786067757898747"/>
    <d v="1902-01-15T10:58:55"/>
    <d v="1899-12-30T00:00:31"/>
    <d v="1899-12-30T00:01:11"/>
    <n v="0"/>
    <n v="1"/>
    <n v="1"/>
    <n v="0.8"/>
    <n v="2"/>
    <n v="0.66666666666666663"/>
    <n v="0.16666666666666666"/>
    <d v="1899-12-30T01:56:21"/>
    <n v="1"/>
    <n v="4"/>
    <n v="0.8"/>
    <n v="0.2"/>
    <n v="1"/>
    <n v="1"/>
    <n v="1"/>
    <n v="1"/>
    <n v="0"/>
    <n v="1"/>
    <n v="0"/>
    <n v="0"/>
    <n v="1"/>
    <n v="5"/>
    <n v="0.625"/>
    <n v="9.375E-2"/>
    <n v="75"/>
    <n v="75"/>
    <n v="85"/>
    <n v="90"/>
    <n v="85"/>
    <n v="0.8"/>
    <n v="410"/>
    <n v="0.98780487804878048"/>
    <n v="0.19756097560975611"/>
    <n v="4.2"/>
    <n v="82"/>
    <n v="0.81583831985541022"/>
    <s v="Baik"/>
    <s v="Level Up"/>
    <s v="Engineer"/>
  </r>
  <r>
    <n v="122"/>
    <s v="Akmal Husein Anantya"/>
    <s v="IDH80084"/>
    <s v="Associate engineer"/>
    <x v="4"/>
    <x v="0"/>
    <s v="IMPACT"/>
    <d v="2023-09-04T00:00:00"/>
    <d v="2024-10-31T00:00:00"/>
    <s v="1 Tahun 4 Bulan 26 Hari "/>
    <n v="423"/>
    <n v="625"/>
    <n v="10"/>
    <n v="4149"/>
    <n v="414.9"/>
    <n v="405"/>
    <n v="0.8"/>
    <n v="4"/>
    <n v="0.97613882863340573"/>
    <n v="0.19522776572668116"/>
    <d v="1907-02-13T10:46:54"/>
    <d v="1899-12-30T00:31:35"/>
    <d v="1899-12-30T00:18:00"/>
    <n v="0"/>
    <n v="1"/>
    <n v="1"/>
    <n v="0.8"/>
    <n v="2"/>
    <n v="0.66666666666666663"/>
    <n v="0.16666666666666666"/>
    <d v="1899-12-30T01:29:02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4"/>
    <n v="78"/>
    <n v="0.81558032982924544"/>
    <s v="Baik"/>
    <s v="Stay"/>
    <s v="Associate engineer"/>
  </r>
  <r>
    <n v="123"/>
    <s v="Rizkyellyasa Simon Martin"/>
    <s v="IDH80081"/>
    <s v="Associate engineer"/>
    <x v="22"/>
    <x v="1"/>
    <s v="IMPACT"/>
    <d v="2023-07-24T00:00:00"/>
    <d v="2024-10-31T00:00:00"/>
    <s v="1 Tahun 6 Bulan 6 Hari "/>
    <n v="465"/>
    <n v="760"/>
    <n v="13"/>
    <n v="5863"/>
    <n v="451"/>
    <n v="440"/>
    <n v="0.8"/>
    <n v="4"/>
    <n v="0.97560975609756095"/>
    <n v="0.1951219512195122"/>
    <d v="1918-07-25T00:04:57"/>
    <d v="1899-12-30T00:19:21"/>
    <d v="1899-12-30T01:39:14"/>
    <n v="0"/>
    <n v="1"/>
    <n v="1"/>
    <n v="0.8"/>
    <n v="2"/>
    <n v="0.66666666666666663"/>
    <n v="0.16666666666666666"/>
    <d v="1899-12-30T01:24:49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90"/>
    <n v="85"/>
    <n v="80"/>
    <n v="0.8"/>
    <n v="405"/>
    <n v="0.98765432098765427"/>
    <n v="0.19753086419753085"/>
    <n v="4"/>
    <n v="81"/>
    <n v="0.81556948208370972"/>
    <s v="Baik"/>
    <s v="Level Up"/>
    <s v="Engineer"/>
  </r>
  <r>
    <n v="124"/>
    <s v="Achmad  Affan Awaluddin"/>
    <s v="IDH60087"/>
    <s v="Associate engineer"/>
    <x v="0"/>
    <x v="0"/>
    <s v="CITIUS"/>
    <d v="2022-07-04T00:00:00"/>
    <d v="2024-10-31T00:00:00"/>
    <s v="2 Tahun 6 Bulan 26 Hari "/>
    <n v="850"/>
    <n v="1384"/>
    <n v="22"/>
    <n v="6775"/>
    <n v="307.95454545454544"/>
    <n v="399"/>
    <n v="1"/>
    <n v="5"/>
    <n v="1.2956457564575647"/>
    <n v="0.25912915129151298"/>
    <d v="1903-03-16T07:08:03"/>
    <d v="1899-12-30T00:50:28"/>
    <d v="1899-12-30T00:00:00"/>
    <n v="0"/>
    <n v="1"/>
    <n v="0"/>
    <n v="0.4"/>
    <n v="1"/>
    <n v="0.33333333333333331"/>
    <n v="8.3333333333333329E-2"/>
    <d v="1899-12-30T01:15:03"/>
    <n v="1"/>
    <n v="4"/>
    <n v="0.8"/>
    <n v="0.2"/>
    <n v="1"/>
    <n v="1"/>
    <n v="1"/>
    <n v="1"/>
    <n v="0"/>
    <n v="0"/>
    <n v="0"/>
    <n v="0"/>
    <n v="0.8"/>
    <n v="4"/>
    <n v="0.5"/>
    <n v="7.4999999999999997E-2"/>
    <n v="75"/>
    <n v="75"/>
    <n v="70"/>
    <n v="75"/>
    <n v="70"/>
    <n v="0.8"/>
    <n v="365"/>
    <n v="0.98630136986301364"/>
    <n v="0.19726027397260273"/>
    <n v="4"/>
    <n v="73"/>
    <n v="0.81472275859744892"/>
    <s v="Baik"/>
    <s v="Stay"/>
    <s v="Associate engineer"/>
  </r>
  <r>
    <n v="125"/>
    <s v="Duwi Yulianto"/>
    <s v="IDH80003"/>
    <s v="Associate engineer"/>
    <x v="47"/>
    <x v="0"/>
    <s v="IMPACT"/>
    <d v="2023-01-09T00:00:00"/>
    <d v="2024-10-31T00:00:00"/>
    <s v="2 Tahun 0 Bulan 21 Hari "/>
    <n v="661"/>
    <n v="507"/>
    <n v="10"/>
    <n v="3304"/>
    <n v="330.4"/>
    <n v="313"/>
    <n v="0.8"/>
    <n v="4"/>
    <n v="0.94733656174334147"/>
    <n v="0.18946731234866832"/>
    <d v="1931-02-10T00:36:59"/>
    <d v="1899-12-30T00:00:04"/>
    <d v="1899-12-30T00:00:00"/>
    <n v="0"/>
    <n v="1"/>
    <n v="0"/>
    <n v="0.4"/>
    <n v="1"/>
    <n v="0.33333333333333331"/>
    <n v="8.3333333333333329E-2"/>
    <d v="1899-12-30T00:52:19"/>
    <n v="1.25"/>
    <n v="5"/>
    <n v="1"/>
    <n v="0.25"/>
    <n v="1"/>
    <n v="1"/>
    <n v="1"/>
    <n v="0"/>
    <n v="0"/>
    <n v="1"/>
    <n v="0"/>
    <n v="1"/>
    <n v="1"/>
    <n v="5"/>
    <n v="0.625"/>
    <n v="9.375E-2"/>
    <n v="75"/>
    <n v="75"/>
    <n v="90"/>
    <n v="90"/>
    <n v="85"/>
    <n v="0.8"/>
    <n v="415"/>
    <n v="0.98795180722891562"/>
    <n v="0.19759036144578312"/>
    <n v="4.25"/>
    <n v="83"/>
    <n v="0.8141410071277847"/>
    <s v="Baik"/>
    <s v="Level Up"/>
    <s v="Engineer"/>
  </r>
  <r>
    <n v="126"/>
    <s v="Aditya Tri Saputra"/>
    <s v="IDH80027"/>
    <s v="Associate engineer"/>
    <x v="40"/>
    <x v="2"/>
    <s v="IMPACT"/>
    <d v="2023-02-09T00:00:00"/>
    <d v="2024-10-31T00:00:00"/>
    <s v="1 Tahun 11 Bulan 21 Hari "/>
    <n v="630"/>
    <n v="426"/>
    <n v="2"/>
    <n v="3000"/>
    <n v="1500"/>
    <n v="452"/>
    <n v="0.2"/>
    <n v="1"/>
    <n v="0.30133333333333334"/>
    <n v="6.026666666666667E-2"/>
    <d v="1899-12-30T00:04:26"/>
    <d v="1899-12-30T00:27:24"/>
    <d v="1910-05-14T21:14:44"/>
    <n v="1"/>
    <n v="1"/>
    <n v="1"/>
    <n v="1.25"/>
    <n v="3"/>
    <n v="1"/>
    <n v="0.25"/>
    <d v="1899-12-30T00:36:21"/>
    <n v="1.25"/>
    <n v="5"/>
    <n v="1"/>
    <n v="0.25"/>
    <n v="1"/>
    <n v="1"/>
    <n v="1"/>
    <n v="0"/>
    <n v="0"/>
    <n v="0"/>
    <n v="0"/>
    <n v="0"/>
    <n v="0.6"/>
    <n v="3"/>
    <n v="0.375"/>
    <n v="5.6249999999999994E-2"/>
    <n v="75"/>
    <n v="85"/>
    <n v="85"/>
    <n v="90"/>
    <n v="85"/>
    <n v="0.8"/>
    <n v="420"/>
    <n v="0.98809523809523814"/>
    <n v="0.19761904761904764"/>
    <n v="4.1000000000000005"/>
    <n v="84"/>
    <n v="0.81413571428571441"/>
    <s v="Baik"/>
    <s v="Stay"/>
    <s v="Associate engineer"/>
  </r>
  <r>
    <n v="127"/>
    <s v="Muhammad Alifuddin"/>
    <s v="IDH70023"/>
    <s v="Engineer"/>
    <x v="59"/>
    <x v="2"/>
    <s v="SIPRAMA"/>
    <d v="2022-10-03T00:00:00"/>
    <d v="2024-10-31T00:00:00"/>
    <s v="2 Tahun 3 Bulan 27 Hari "/>
    <n v="759"/>
    <n v="43"/>
    <n v="1"/>
    <n v="277"/>
    <n v="277"/>
    <n v="265"/>
    <n v="0.8"/>
    <n v="4"/>
    <n v="0.95667870036101088"/>
    <n v="0.19133574007220219"/>
    <d v="1915-07-27T10:23:29"/>
    <d v="1899-12-30T00:00:18"/>
    <d v="1913-01-31T00:50:36"/>
    <n v="0"/>
    <n v="1"/>
    <n v="1"/>
    <n v="0.8"/>
    <n v="2"/>
    <n v="0.66666666666666663"/>
    <n v="0.16666666666666666"/>
    <d v="1899-12-30T01:35:21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4"/>
    <n v="78"/>
    <n v="0.81168830417476645"/>
    <s v="Baik"/>
    <s v="Stay"/>
    <s v="Engineer"/>
  </r>
  <r>
    <n v="128"/>
    <s v="Angga Andiana Septian"/>
    <s v="IDH70057"/>
    <s v="Associate engineer"/>
    <x v="17"/>
    <x v="2"/>
    <s v="SIPRAMA"/>
    <d v="2022-11-17T00:00:00"/>
    <d v="2024-10-31T00:00:00"/>
    <s v="2 Tahun 2 Bulan 13 Hari "/>
    <n v="714"/>
    <n v="612"/>
    <n v="11"/>
    <n v="5254"/>
    <n v="477.63636363636363"/>
    <n v="457"/>
    <n v="0.8"/>
    <n v="4"/>
    <n v="0.95679482299200613"/>
    <n v="0.19135896459840124"/>
    <d v="1899-12-30T01:32:00"/>
    <d v="1905-04-13T03:02:40"/>
    <d v="1899-12-30T00:20:51"/>
    <n v="1"/>
    <n v="0"/>
    <n v="1"/>
    <n v="0.8"/>
    <n v="2"/>
    <n v="0.66666666666666663"/>
    <n v="0.16666666666666666"/>
    <d v="1899-12-30T01:31:01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70"/>
    <n v="80"/>
    <n v="80"/>
    <n v="0.8"/>
    <n v="380"/>
    <n v="0.98684210526315785"/>
    <n v="0.19736842105263158"/>
    <n v="4"/>
    <n v="76"/>
    <n v="0.81164405231769954"/>
    <s v="Baik"/>
    <s v="Stay"/>
    <s v="Associate engineer"/>
  </r>
  <r>
    <n v="129"/>
    <s v="Anugrah Aji Pangestu"/>
    <s v="IDH40107"/>
    <s v="Engineer"/>
    <x v="58"/>
    <x v="1"/>
    <s v="SIPRAMA"/>
    <d v="2020-07-24T00:00:00"/>
    <d v="2024-10-31T00:00:00"/>
    <s v="4 Tahun 6 Bulan 6 Hari "/>
    <n v="1560"/>
    <n v="338"/>
    <n v="6"/>
    <n v="2750"/>
    <n v="458.33333333333331"/>
    <n v="467"/>
    <n v="1"/>
    <n v="5"/>
    <n v="1.018909090909091"/>
    <n v="0.2037818181818182"/>
    <d v="1899-12-30T01:02:00"/>
    <d v="2024-04-30T22:29:22"/>
    <d v="1899-12-30T00:00:00"/>
    <n v="1"/>
    <n v="0"/>
    <n v="0"/>
    <n v="0.4"/>
    <n v="1"/>
    <n v="0.33333333333333331"/>
    <n v="8.3333333333333329E-2"/>
    <d v="1899-12-30T00:42:55"/>
    <n v="1.25"/>
    <n v="5"/>
    <n v="1"/>
    <n v="0.25"/>
    <n v="1"/>
    <n v="1"/>
    <n v="1"/>
    <n v="1"/>
    <n v="0"/>
    <n v="0"/>
    <n v="0"/>
    <n v="0"/>
    <n v="0.8"/>
    <n v="4"/>
    <n v="0.5"/>
    <n v="7.4999999999999997E-2"/>
    <n v="75"/>
    <n v="75"/>
    <n v="90"/>
    <n v="90"/>
    <n v="75"/>
    <n v="0.8"/>
    <n v="405"/>
    <n v="0.98765432098765427"/>
    <n v="0.19753086419753085"/>
    <n v="4.25"/>
    <n v="81"/>
    <n v="0.80964601571268235"/>
    <s v="Baik"/>
    <s v="Level Up"/>
    <s v="Senior engineer"/>
  </r>
  <r>
    <n v="130"/>
    <s v="Eko Tomy Hartono"/>
    <s v="IDH10001"/>
    <s v="Associate engineer"/>
    <x v="48"/>
    <x v="1"/>
    <s v="KINARYA"/>
    <d v="2024-01-15T00:00:00"/>
    <d v="2024-10-31T00:00:00"/>
    <s v="1 Tahun 0 Bulan 15 Hari "/>
    <n v="290"/>
    <n v="116"/>
    <n v="3"/>
    <n v="683"/>
    <n v="227.66666666666666"/>
    <n v="151"/>
    <n v="0.6"/>
    <n v="3"/>
    <n v="0.66325036603221088"/>
    <n v="0.13265007320644218"/>
    <d v="1899-12-30T00:21:58"/>
    <d v="1899-12-30T00:00:00"/>
    <d v="1899-12-30T00:08:38"/>
    <n v="1"/>
    <n v="0"/>
    <n v="1"/>
    <n v="0.8"/>
    <n v="2"/>
    <n v="0.66666666666666663"/>
    <n v="0.16666666666666666"/>
    <d v="1899-12-30T01:30:17"/>
    <n v="1"/>
    <n v="4"/>
    <n v="0.8"/>
    <n v="0.2"/>
    <n v="1"/>
    <n v="1"/>
    <n v="0"/>
    <n v="0"/>
    <n v="1"/>
    <n v="1"/>
    <n v="1"/>
    <n v="1"/>
    <n v="1"/>
    <n v="6"/>
    <n v="0.75"/>
    <n v="0.11249999999999999"/>
    <n v="75"/>
    <n v="75"/>
    <n v="90"/>
    <n v="85"/>
    <n v="80"/>
    <n v="0.8"/>
    <n v="405"/>
    <n v="0.98765432098765427"/>
    <n v="0.19753086419753085"/>
    <n v="4.2"/>
    <n v="81"/>
    <n v="0.80934760407063966"/>
    <s v="New CE"/>
    <s v="Stay"/>
    <s v="Associate engineer"/>
  </r>
  <r>
    <n v="131"/>
    <s v="Thaha Tachmid Fadillah"/>
    <s v="IDH70104"/>
    <s v="Associate engineer"/>
    <x v="58"/>
    <x v="1"/>
    <s v="SIPRAMA"/>
    <d v="2023-11-01T00:00:00"/>
    <d v="2024-10-31T00:00:00"/>
    <s v="1 Tahun 2 Bulan 29 Hari "/>
    <n v="365"/>
    <n v="338"/>
    <n v="6"/>
    <n v="2750"/>
    <n v="458.33333333333331"/>
    <n v="432"/>
    <n v="0.8"/>
    <n v="4"/>
    <n v="0.94254545454545458"/>
    <n v="0.18850909090909093"/>
    <d v="1899-12-30T00:41:20"/>
    <d v="1899-12-30T00:30:40"/>
    <d v="1899-12-30T00:00:00"/>
    <n v="1"/>
    <n v="1"/>
    <n v="0"/>
    <n v="0.8"/>
    <n v="2"/>
    <n v="0.66666666666666663"/>
    <n v="0.16666666666666666"/>
    <d v="1899-12-30T01:14:41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90"/>
    <n v="85"/>
    <n v="80"/>
    <n v="0.8"/>
    <n v="405"/>
    <n v="0.98765432098765427"/>
    <n v="0.19753086419753085"/>
    <n v="4"/>
    <n v="81"/>
    <n v="0.80895662177328853"/>
    <s v="Baik"/>
    <s v="Level Up"/>
    <s v="Engineer"/>
  </r>
  <r>
    <n v="132"/>
    <s v="Muhammad Ardhy Riawan"/>
    <s v="IDH20045"/>
    <s v="Engineer"/>
    <x v="12"/>
    <x v="1"/>
    <s v="SIPRAMA"/>
    <d v="2019-06-11T00:00:00"/>
    <d v="2024-10-31T00:00:00"/>
    <s v="5 Tahun 7 Bulan 19 Hari "/>
    <n v="1969"/>
    <n v="1040"/>
    <n v="17"/>
    <n v="7455"/>
    <n v="438.52941176470586"/>
    <n v="445"/>
    <n v="1"/>
    <n v="5"/>
    <n v="1.0147551978537894"/>
    <n v="0.20295103957075789"/>
    <d v="1899-12-30T01:43:00"/>
    <d v="1899-12-30T00:00:00"/>
    <d v="1899-12-30T00:00:00"/>
    <n v="1"/>
    <n v="0"/>
    <n v="0"/>
    <n v="0.4"/>
    <n v="1"/>
    <n v="0.33333333333333331"/>
    <n v="8.3333333333333329E-2"/>
    <d v="1899-12-30T00:47:41"/>
    <n v="1.25"/>
    <n v="5"/>
    <n v="1"/>
    <n v="0.25"/>
    <n v="1"/>
    <n v="1"/>
    <n v="1"/>
    <n v="1"/>
    <n v="0"/>
    <n v="0"/>
    <n v="0"/>
    <n v="0"/>
    <n v="0.8"/>
    <n v="4"/>
    <n v="0.5"/>
    <n v="7.4999999999999997E-2"/>
    <n v="75"/>
    <n v="75"/>
    <n v="90"/>
    <n v="90"/>
    <n v="85"/>
    <n v="0.8"/>
    <n v="415"/>
    <n v="0.98795180722891562"/>
    <n v="0.19759036144578312"/>
    <n v="4.25"/>
    <n v="83"/>
    <n v="0.80887473434987422"/>
    <s v="Baik"/>
    <s v="Level Up"/>
    <s v="Senior engineer"/>
  </r>
  <r>
    <n v="133"/>
    <s v="Dimas Putra Al Diansyah"/>
    <s v="IDH70018"/>
    <s v="Associate engineer"/>
    <x v="24"/>
    <x v="0"/>
    <s v="SIPRAMA"/>
    <d v="2022-10-03T00:00:00"/>
    <d v="2024-10-31T00:00:00"/>
    <s v="2 Tahun 3 Bulan 27 Hari "/>
    <n v="759"/>
    <n v="358"/>
    <n v="7"/>
    <n v="2648"/>
    <n v="378.28571428571428"/>
    <n v="392"/>
    <n v="1"/>
    <n v="5"/>
    <n v="1.0362537764350452"/>
    <n v="0.20725075528700906"/>
    <d v="1899-12-30T00:38:57"/>
    <d v="1899-12-30T00:33:16"/>
    <d v="1899-12-30T00:00:00"/>
    <n v="1"/>
    <n v="1"/>
    <n v="0"/>
    <n v="0.8"/>
    <n v="2"/>
    <n v="0.66666666666666663"/>
    <n v="0.16666666666666666"/>
    <d v="1899-12-30T01:18:02"/>
    <n v="1"/>
    <n v="4"/>
    <n v="0.8"/>
    <n v="0.2"/>
    <n v="1"/>
    <n v="1"/>
    <n v="0"/>
    <n v="0"/>
    <n v="0"/>
    <n v="0"/>
    <n v="0"/>
    <n v="0"/>
    <n v="0.4"/>
    <n v="2"/>
    <n v="0.25"/>
    <n v="3.7499999999999999E-2"/>
    <n v="75"/>
    <n v="75"/>
    <n v="80"/>
    <n v="80"/>
    <n v="80"/>
    <n v="0.8"/>
    <n v="390"/>
    <n v="0.98717948717948723"/>
    <n v="0.19743589743589746"/>
    <n v="4"/>
    <n v="78"/>
    <n v="0.80885331938957328"/>
    <s v="Baik"/>
    <s v="Level Up"/>
    <s v="Engineer"/>
  </r>
  <r>
    <n v="134"/>
    <s v="Bahar"/>
    <s v="IDH60021"/>
    <s v="Engineer"/>
    <x v="12"/>
    <x v="1"/>
    <s v="CITIUS"/>
    <d v="2021-09-27T00:00:00"/>
    <d v="2024-10-31T00:00:00"/>
    <s v="3 Tahun 4 Bulan 3 Hari "/>
    <n v="1130"/>
    <n v="1040"/>
    <n v="17"/>
    <n v="7455"/>
    <n v="438.52941176470586"/>
    <n v="486"/>
    <n v="1"/>
    <n v="5"/>
    <n v="1.1082494969818915"/>
    <n v="0.2216498993963783"/>
    <d v="1899-12-30T01:38:00"/>
    <d v="1899-12-30T00:00:00"/>
    <d v="1899-12-30T00:00:00"/>
    <n v="1"/>
    <n v="0"/>
    <n v="0"/>
    <n v="0.4"/>
    <n v="1"/>
    <n v="0.33333333333333331"/>
    <n v="8.3333333333333329E-2"/>
    <d v="1899-12-30T00:38:57"/>
    <n v="1.25"/>
    <n v="5"/>
    <n v="1"/>
    <n v="0.25"/>
    <n v="1"/>
    <n v="1"/>
    <n v="1"/>
    <n v="0"/>
    <n v="0"/>
    <n v="0"/>
    <n v="0"/>
    <n v="0"/>
    <n v="0.6"/>
    <n v="3"/>
    <n v="0.375"/>
    <n v="5.6249999999999994E-2"/>
    <n v="75"/>
    <n v="75"/>
    <n v="90"/>
    <n v="90"/>
    <n v="85"/>
    <n v="0.8"/>
    <n v="415"/>
    <n v="0.98795180722891562"/>
    <n v="0.19759036144578312"/>
    <n v="4.05"/>
    <n v="83"/>
    <n v="0.80882359417549476"/>
    <s v="Baik"/>
    <s v="Level Up"/>
    <s v="Senior engineer"/>
  </r>
  <r>
    <n v="135"/>
    <s v="Moh. Aidil"/>
    <s v="IDH80017"/>
    <s v="Associate engineer"/>
    <x v="58"/>
    <x v="1"/>
    <s v="IMPACT"/>
    <d v="2023-01-09T00:00:00"/>
    <d v="2024-10-31T00:00:00"/>
    <s v="2 Tahun 0 Bulan 21 Hari "/>
    <n v="661"/>
    <n v="338"/>
    <n v="6"/>
    <n v="2750"/>
    <n v="458.33333333333331"/>
    <n v="465"/>
    <n v="1"/>
    <n v="5"/>
    <n v="1.0145454545454546"/>
    <n v="0.20290909090909093"/>
    <d v="1939-04-23T06:46:35"/>
    <d v="1899-12-30T00:10:21"/>
    <d v="1899-12-30T00:00:00"/>
    <n v="0"/>
    <n v="1"/>
    <n v="0"/>
    <n v="0.4"/>
    <n v="1"/>
    <n v="0.33333333333333331"/>
    <n v="8.3333333333333329E-2"/>
    <d v="1899-12-30T00:50:32"/>
    <n v="1.25"/>
    <n v="5"/>
    <n v="1"/>
    <n v="0.25"/>
    <n v="1"/>
    <n v="1"/>
    <n v="1"/>
    <n v="0"/>
    <n v="0"/>
    <n v="0"/>
    <n v="0"/>
    <n v="1"/>
    <n v="0.8"/>
    <n v="4"/>
    <n v="0.5"/>
    <n v="7.4999999999999997E-2"/>
    <n v="75"/>
    <n v="75"/>
    <n v="90"/>
    <n v="85"/>
    <n v="80"/>
    <n v="0.8"/>
    <n v="405"/>
    <n v="0.98765432098765427"/>
    <n v="0.19753086419753085"/>
    <n v="4.25"/>
    <n v="81"/>
    <n v="0.808773288439955"/>
    <s v="Baik"/>
    <s v="Level Up"/>
    <s v="Engineer"/>
  </r>
  <r>
    <n v="136"/>
    <s v="Eri Septiadi"/>
    <s v="IDH70113"/>
    <s v="Associate engineer"/>
    <x v="55"/>
    <x v="0"/>
    <s v="SIPRAMA"/>
    <d v="2024-01-15T00:00:00"/>
    <d v="2024-10-31T00:00:00"/>
    <s v="1 Tahun 0 Bulan 15 Hari "/>
    <n v="290"/>
    <n v="241"/>
    <n v="4"/>
    <n v="1968"/>
    <n v="492"/>
    <n v="417"/>
    <n v="0.8"/>
    <n v="4"/>
    <n v="0.84756097560975607"/>
    <n v="0.16951219512195123"/>
    <d v="1901-08-19T16:26:45"/>
    <d v="1899-12-30T02:30:28"/>
    <d v="1899-12-30T07:29:31"/>
    <n v="0"/>
    <n v="1"/>
    <n v="1"/>
    <n v="0.8"/>
    <n v="2"/>
    <n v="0.66666666666666663"/>
    <n v="0.16666666666666666"/>
    <d v="1899-12-30T01:55:07"/>
    <n v="1"/>
    <n v="4"/>
    <n v="0.8"/>
    <n v="0.2"/>
    <n v="1"/>
    <n v="1"/>
    <n v="1"/>
    <n v="0"/>
    <n v="0"/>
    <n v="1"/>
    <n v="0"/>
    <n v="0"/>
    <n v="0.8"/>
    <n v="4"/>
    <n v="0.5"/>
    <n v="7.4999999999999997E-2"/>
    <n v="75"/>
    <n v="75"/>
    <n v="80"/>
    <n v="80"/>
    <n v="80"/>
    <n v="0.8"/>
    <n v="390"/>
    <n v="0.98717948717948723"/>
    <n v="0.19743589743589746"/>
    <n v="4.2"/>
    <n v="78"/>
    <n v="0.8086147592245152"/>
    <s v="New CE"/>
    <s v="Stay"/>
    <s v="Associate engineer"/>
  </r>
  <r>
    <n v="137"/>
    <s v="Nelpan Safputra"/>
    <s v="IDH30015"/>
    <s v="Senior engineer"/>
    <x v="60"/>
    <x v="2"/>
    <s v="IMPACT"/>
    <d v="2016-09-05T00:00:00"/>
    <d v="2024-10-31T00:00:00"/>
    <s v="8 Tahun 4 Bulan 25 Hari "/>
    <n v="2978"/>
    <n v="113"/>
    <n v="2"/>
    <n v="829"/>
    <n v="414.5"/>
    <n v="375"/>
    <n v="0.8"/>
    <n v="4"/>
    <n v="0.90470446320868514"/>
    <n v="0.18094089264173704"/>
    <d v="1923-04-23T14:17:38"/>
    <d v="1974-09-27T11:19:05"/>
    <d v="1935-08-02T09:45:51"/>
    <n v="0"/>
    <n v="0"/>
    <n v="1"/>
    <n v="0.4"/>
    <n v="1"/>
    <n v="0.33333333333333331"/>
    <n v="8.3333333333333329E-2"/>
    <d v="1899-12-30T00:48:02"/>
    <n v="1.25"/>
    <n v="5"/>
    <n v="1"/>
    <n v="0.25"/>
    <n v="1"/>
    <n v="1"/>
    <n v="1"/>
    <n v="0"/>
    <n v="0"/>
    <n v="1"/>
    <n v="0"/>
    <n v="1"/>
    <n v="1"/>
    <n v="5"/>
    <n v="0.625"/>
    <n v="9.375E-2"/>
    <n v="75"/>
    <n v="75"/>
    <n v="85"/>
    <n v="90"/>
    <n v="90"/>
    <n v="0.8"/>
    <n v="415"/>
    <n v="0.98795180722891562"/>
    <n v="0.19759036144578312"/>
    <n v="4.25"/>
    <n v="83"/>
    <n v="0.80561458742085346"/>
    <s v="Baik"/>
    <s v="Stay"/>
    <s v="Senior engineer"/>
  </r>
  <r>
    <n v="138"/>
    <s v="Ilham Satrio Wibowo"/>
    <s v="IDH80048"/>
    <s v="Associate engineer"/>
    <x v="47"/>
    <x v="0"/>
    <s v="IMPACT"/>
    <d v="2023-05-29T00:00:00"/>
    <d v="2024-10-31T00:00:00"/>
    <s v="1 Tahun 8 Bulan 1 Hari "/>
    <n v="521"/>
    <n v="507"/>
    <n v="10"/>
    <n v="3304"/>
    <n v="330.4"/>
    <n v="243"/>
    <n v="0.6"/>
    <n v="3"/>
    <n v="0.73547215496368046"/>
    <n v="0.14709443099273609"/>
    <d v="1899-12-30T00:38:06"/>
    <d v="1899-12-30T02:43:30"/>
    <d v="1899-12-30T00:00:00"/>
    <n v="1"/>
    <n v="1"/>
    <n v="0"/>
    <n v="0.8"/>
    <n v="2"/>
    <n v="0.66666666666666663"/>
    <n v="0.16666666666666666"/>
    <d v="1899-12-30T01:14:32"/>
    <n v="1"/>
    <n v="4"/>
    <n v="0.8"/>
    <n v="0.2"/>
    <n v="1"/>
    <n v="1"/>
    <n v="1"/>
    <n v="0"/>
    <n v="0"/>
    <n v="1"/>
    <n v="0"/>
    <n v="1"/>
    <n v="1"/>
    <n v="5"/>
    <n v="0.625"/>
    <n v="9.375E-2"/>
    <n v="75"/>
    <n v="75"/>
    <n v="80"/>
    <n v="80"/>
    <n v="80"/>
    <n v="0.8"/>
    <n v="390"/>
    <n v="0.98717948717948723"/>
    <n v="0.19743589743589746"/>
    <n v="4.2"/>
    <n v="78"/>
    <n v="0.8049469950953001"/>
    <s v="Baik"/>
    <s v="Level Up"/>
    <s v="Engineer"/>
  </r>
  <r>
    <n v="139"/>
    <s v="Ahmad Hoerul Anam"/>
    <s v="IDH70008"/>
    <s v="Engineer"/>
    <x v="31"/>
    <x v="1"/>
    <s v="SIPRAMA"/>
    <d v="2022-08-22T00:00:00"/>
    <d v="2024-10-31T00:00:00"/>
    <s v="2 Tahun 5 Bulan 8 Hari "/>
    <n v="801"/>
    <n v="102"/>
    <n v="3"/>
    <n v="916"/>
    <n v="305.33333333333331"/>
    <n v="380"/>
    <n v="1"/>
    <n v="5"/>
    <n v="1.2445414847161573"/>
    <n v="0.24890829694323147"/>
    <d v="1964-06-12T13:13:17"/>
    <d v="1899-12-30T00:00:00"/>
    <d v="1974-08-13T03:21:27"/>
    <n v="0"/>
    <n v="0"/>
    <n v="1"/>
    <n v="0.75"/>
    <n v="1"/>
    <n v="0.33333333333333331"/>
    <n v="8.3333333333333329E-2"/>
    <d v="1899-12-30T01:04:36"/>
    <n v="1"/>
    <n v="4"/>
    <n v="0.8"/>
    <n v="0.2"/>
    <n v="1"/>
    <n v="1"/>
    <n v="1"/>
    <n v="0"/>
    <n v="0"/>
    <n v="1"/>
    <n v="0"/>
    <n v="0"/>
    <n v="0.8"/>
    <n v="4"/>
    <n v="0.5"/>
    <n v="7.4999999999999997E-2"/>
    <n v="75"/>
    <n v="75"/>
    <n v="90"/>
    <n v="90"/>
    <n v="75"/>
    <n v="0.8"/>
    <n v="405"/>
    <n v="0.98765432098765427"/>
    <n v="0.19753086419753085"/>
    <n v="4.3499999999999996"/>
    <n v="81"/>
    <n v="0.8047724944740956"/>
    <s v="Baik"/>
    <s v="Stay"/>
    <s v="Engineer"/>
  </r>
  <r>
    <n v="140"/>
    <s v="Try Ispandy"/>
    <s v="IDH60086"/>
    <s v="Engineer"/>
    <x v="34"/>
    <x v="2"/>
    <s v="CITIUS"/>
    <d v="2022-07-04T00:00:00"/>
    <d v="2024-10-31T00:00:00"/>
    <s v="2 Tahun 6 Bulan 26 Hari "/>
    <n v="850"/>
    <n v="684"/>
    <n v="10"/>
    <n v="4972"/>
    <n v="497.2"/>
    <n v="503"/>
    <n v="1"/>
    <n v="5"/>
    <n v="1.011665325824618"/>
    <n v="0.20233306516492361"/>
    <d v="1936-10-10T08:22:57"/>
    <d v="1899-12-30T00:04:11"/>
    <d v="1982-10-21T22:11:07"/>
    <n v="0"/>
    <n v="1"/>
    <n v="1"/>
    <n v="0.8"/>
    <n v="2"/>
    <n v="0.66666666666666663"/>
    <n v="0.16666666666666666"/>
    <d v="1899-12-30T01:19:25"/>
    <n v="1"/>
    <n v="4"/>
    <n v="0.8"/>
    <n v="0.2"/>
    <n v="1"/>
    <n v="1"/>
    <n v="0"/>
    <n v="0"/>
    <n v="0"/>
    <n v="0"/>
    <n v="0"/>
    <n v="0"/>
    <n v="0.4"/>
    <n v="2"/>
    <n v="0.25"/>
    <n v="3.7499999999999999E-2"/>
    <n v="75"/>
    <n v="75"/>
    <n v="75"/>
    <n v="80"/>
    <n v="75"/>
    <n v="0.8"/>
    <n v="380"/>
    <n v="0.98684210526315785"/>
    <n v="0.19736842105263158"/>
    <n v="4"/>
    <n v="76"/>
    <n v="0.80386815288422175"/>
    <s v="Baik"/>
    <s v="Stay"/>
    <s v="Engineer"/>
  </r>
  <r>
    <n v="141"/>
    <s v="Ricko Aglis Abdurahman"/>
    <s v="IDH50021"/>
    <s v="Associate engineer"/>
    <x v="3"/>
    <x v="0"/>
    <s v="SIPRAMA"/>
    <d v="2020-12-07T00:00:00"/>
    <d v="2024-10-31T00:00:00"/>
    <s v="4 Tahun 1 Bulan 23 Hari "/>
    <n v="1424"/>
    <n v="872"/>
    <n v="15"/>
    <n v="5975"/>
    <n v="398.33333333333331"/>
    <n v="381"/>
    <n v="0.8"/>
    <n v="4"/>
    <n v="0.95648535564853565"/>
    <n v="0.19129707112970715"/>
    <d v="1903-10-26T13:59:01"/>
    <d v="1899-12-30T00:48:43"/>
    <d v="1899-12-30T00:00:00"/>
    <n v="0"/>
    <n v="1"/>
    <n v="0"/>
    <n v="0.4"/>
    <n v="1"/>
    <n v="0.33333333333333331"/>
    <n v="8.3333333333333329E-2"/>
    <d v="1899-12-30T01:37:58"/>
    <n v="1"/>
    <n v="4"/>
    <n v="0.8"/>
    <n v="0.2"/>
    <n v="1"/>
    <n v="1"/>
    <n v="1"/>
    <n v="1"/>
    <n v="0"/>
    <n v="1"/>
    <n v="1"/>
    <n v="1"/>
    <n v="1"/>
    <n v="7"/>
    <n v="0.875"/>
    <n v="0.13125000000000001"/>
    <n v="75"/>
    <n v="75"/>
    <n v="80"/>
    <n v="80"/>
    <n v="80"/>
    <n v="0.8"/>
    <n v="390"/>
    <n v="0.98717948717948723"/>
    <n v="0.19743589743589746"/>
    <n v="4"/>
    <n v="78"/>
    <n v="0.80331630189893799"/>
    <s v="Baik"/>
    <s v="Stay"/>
    <s v="Associate engineer"/>
  </r>
  <r>
    <n v="142"/>
    <s v="Bayu Ihsan Nugroho"/>
    <s v="IDH60063"/>
    <s v="Associate engineer"/>
    <x v="3"/>
    <x v="0"/>
    <s v="CITIUS"/>
    <d v="2022-05-09T00:00:00"/>
    <d v="2024-10-31T00:00:00"/>
    <s v="2 Tahun 8 Bulan 21 Hari "/>
    <n v="906"/>
    <n v="872"/>
    <n v="15"/>
    <n v="5975"/>
    <n v="398.33333333333331"/>
    <n v="392"/>
    <n v="0.8"/>
    <n v="4"/>
    <n v="0.98410041841004192"/>
    <n v="0.1968200836820084"/>
    <d v="1924-06-15T05:14:24"/>
    <d v="1899-12-30T01:20:21"/>
    <d v="1899-12-30T00:00:00"/>
    <n v="0"/>
    <n v="1"/>
    <n v="0"/>
    <n v="0.4"/>
    <n v="1"/>
    <n v="0.33333333333333331"/>
    <n v="8.3333333333333329E-2"/>
    <d v="1899-12-30T00:59:21"/>
    <n v="1.25"/>
    <n v="5"/>
    <n v="1"/>
    <n v="0.25"/>
    <n v="1"/>
    <n v="1"/>
    <n v="1"/>
    <n v="0"/>
    <n v="0"/>
    <n v="1"/>
    <n v="0"/>
    <n v="0"/>
    <n v="0.8"/>
    <n v="4"/>
    <n v="0.5"/>
    <n v="7.4999999999999997E-2"/>
    <n v="75"/>
    <n v="75"/>
    <n v="85"/>
    <n v="85"/>
    <n v="85"/>
    <n v="0.8"/>
    <n v="405"/>
    <n v="0.98765432098765427"/>
    <n v="0.19753086419753085"/>
    <n v="4.05"/>
    <n v="81"/>
    <n v="0.8026842812128725"/>
    <s v="Baik"/>
    <s v="Level Up"/>
    <s v="Engineer"/>
  </r>
  <r>
    <n v="143"/>
    <s v="Muhammad Adi Prabowo Sutanto"/>
    <s v="IDH60072"/>
    <s v="Associate engineer"/>
    <x v="22"/>
    <x v="1"/>
    <s v="CITIUS"/>
    <d v="2022-05-09T00:00:00"/>
    <d v="2024-10-31T00:00:00"/>
    <s v="2 Tahun 8 Bulan 21 Hari "/>
    <n v="906"/>
    <n v="760"/>
    <n v="13"/>
    <n v="5863"/>
    <n v="451"/>
    <n v="486"/>
    <n v="1"/>
    <n v="5"/>
    <n v="1.0776053215077606"/>
    <n v="0.21552106430155213"/>
    <d v="1899-12-30T01:14:00"/>
    <d v="1899-12-30T00:00:00"/>
    <d v="1899-12-30T00:00:00"/>
    <n v="1"/>
    <n v="0"/>
    <n v="0"/>
    <n v="0.4"/>
    <n v="1"/>
    <n v="0.33333333333333331"/>
    <n v="8.3333333333333329E-2"/>
    <d v="1899-12-30T00:34:43"/>
    <n v="1.25"/>
    <n v="5"/>
    <n v="1"/>
    <n v="0.25"/>
    <n v="1"/>
    <n v="1"/>
    <n v="1"/>
    <n v="0"/>
    <n v="0"/>
    <n v="0"/>
    <n v="0"/>
    <n v="0"/>
    <n v="0.6"/>
    <n v="3"/>
    <n v="0.375"/>
    <n v="5.6249999999999994E-2"/>
    <n v="75"/>
    <n v="75"/>
    <n v="90"/>
    <n v="85"/>
    <n v="80"/>
    <n v="0.8"/>
    <n v="405"/>
    <n v="0.98765432098765427"/>
    <n v="0.19753086419753085"/>
    <n v="4.05"/>
    <n v="81"/>
    <n v="0.80263526183241629"/>
    <s v="Baik"/>
    <s v="Level Up"/>
    <s v="Engineer"/>
  </r>
  <r>
    <n v="144"/>
    <s v="Anggara Fajri Afif"/>
    <s v="IDH70012"/>
    <s v="Associate engineer"/>
    <x v="12"/>
    <x v="1"/>
    <s v="SIPRAMA"/>
    <d v="2022-08-22T00:00:00"/>
    <d v="2024-10-31T00:00:00"/>
    <s v="2 Tahun 5 Bulan 8 Hari "/>
    <n v="801"/>
    <n v="1040"/>
    <n v="17"/>
    <n v="7455"/>
    <n v="438.52941176470586"/>
    <n v="471"/>
    <n v="1"/>
    <n v="5"/>
    <n v="1.0740442655935614"/>
    <n v="0.21480885311871228"/>
    <d v="1899-12-30T01:38:00"/>
    <d v="1899-12-30T00:00:00"/>
    <d v="1899-12-30T00:00:00"/>
    <n v="1"/>
    <n v="0"/>
    <n v="0"/>
    <n v="0.4"/>
    <n v="1"/>
    <n v="0.33333333333333331"/>
    <n v="8.3333333333333329E-2"/>
    <d v="1899-12-30T00:31:27"/>
    <n v="1.25"/>
    <n v="5"/>
    <n v="1"/>
    <n v="0.25"/>
    <n v="1"/>
    <n v="1"/>
    <n v="1"/>
    <n v="0"/>
    <n v="0"/>
    <n v="0"/>
    <n v="0"/>
    <n v="0"/>
    <n v="0.6"/>
    <n v="3"/>
    <n v="0.375"/>
    <n v="5.6249999999999994E-2"/>
    <n v="75"/>
    <n v="75"/>
    <n v="90"/>
    <n v="85"/>
    <n v="80"/>
    <n v="0.8"/>
    <n v="405"/>
    <n v="0.98765432098765427"/>
    <n v="0.19753086419753085"/>
    <n v="4.05"/>
    <n v="81"/>
    <n v="0.80192305064957647"/>
    <s v="Baik"/>
    <s v="Level Up"/>
    <s v="Engineer"/>
  </r>
  <r>
    <n v="145"/>
    <s v="Muh Fadly Jashar"/>
    <s v="IDH70051"/>
    <s v="Engineer"/>
    <x v="8"/>
    <x v="2"/>
    <s v="SIPRAMA"/>
    <d v="2022-11-17T00:00:00"/>
    <d v="2024-10-31T00:00:00"/>
    <s v="2 Tahun 2 Bulan 13 Hari "/>
    <n v="714"/>
    <n v="171"/>
    <n v="4"/>
    <n v="1473"/>
    <n v="368.25"/>
    <n v="393"/>
    <n v="1"/>
    <n v="5"/>
    <n v="1.0672097759674135"/>
    <n v="0.21344195519348272"/>
    <d v="1916-08-01T05:47:52"/>
    <d v="1993-05-13T00:05:02"/>
    <d v="1952-03-27T18:39:18"/>
    <n v="0"/>
    <n v="0"/>
    <n v="1"/>
    <n v="0.4"/>
    <n v="1"/>
    <n v="0.33333333333333331"/>
    <n v="8.3333333333333329E-2"/>
    <d v="1899-12-30T00:58:33"/>
    <n v="1.25"/>
    <n v="5"/>
    <n v="1"/>
    <n v="0.25"/>
    <n v="1"/>
    <n v="1"/>
    <n v="1"/>
    <n v="0"/>
    <n v="0"/>
    <n v="0"/>
    <n v="0"/>
    <n v="0"/>
    <n v="0.6"/>
    <n v="3"/>
    <n v="0.375"/>
    <n v="5.6249999999999994E-2"/>
    <n v="75"/>
    <n v="75"/>
    <n v="85"/>
    <n v="85"/>
    <n v="85"/>
    <n v="0.8"/>
    <n v="405"/>
    <n v="0.98765432098765427"/>
    <n v="0.19753086419753085"/>
    <n v="4.05"/>
    <n v="81"/>
    <n v="0.80055615272434688"/>
    <s v="Baik"/>
    <s v="Stay"/>
    <s v="Engineer"/>
  </r>
  <r>
    <n v="146"/>
    <s v="Fahri"/>
    <s v="IDH70025"/>
    <s v="Associate engineer"/>
    <x v="51"/>
    <x v="2"/>
    <s v="SIPRAMA"/>
    <d v="2022-10-03T00:00:00"/>
    <d v="2024-10-31T00:00:00"/>
    <s v="2 Tahun 3 Bulan 27 Hari "/>
    <n v="759"/>
    <n v="295"/>
    <n v="5"/>
    <n v="2105"/>
    <n v="421"/>
    <n v="414"/>
    <n v="0.8"/>
    <n v="4"/>
    <n v="0.98337292161520184"/>
    <n v="0.19667458432304039"/>
    <d v="1899-12-30T01:30:00"/>
    <d v="1899-12-30T01:05:00"/>
    <d v="1924-11-02T15:04:59"/>
    <n v="1"/>
    <n v="1"/>
    <n v="1"/>
    <n v="1.25"/>
    <n v="3"/>
    <n v="1"/>
    <n v="0.25"/>
    <d v="1899-12-30T03:22:50"/>
    <n v="0.5"/>
    <n v="2"/>
    <n v="0.4"/>
    <n v="0.1"/>
    <n v="1"/>
    <n v="1"/>
    <n v="0"/>
    <n v="0"/>
    <n v="0"/>
    <n v="1"/>
    <n v="0"/>
    <n v="0"/>
    <n v="0.6"/>
    <n v="3"/>
    <n v="0.375"/>
    <n v="5.6249999999999994E-2"/>
    <n v="75"/>
    <n v="75"/>
    <n v="85"/>
    <n v="85"/>
    <n v="85"/>
    <n v="0.8"/>
    <n v="405"/>
    <n v="0.98765432098765427"/>
    <n v="0.19753086419753085"/>
    <n v="3.95"/>
    <n v="81"/>
    <n v="0.80045544852057127"/>
    <s v="Baik"/>
    <s v="Level Up"/>
    <s v="Engineer"/>
  </r>
  <r>
    <n v="147"/>
    <s v="Wiranto Biki"/>
    <s v="IDH80132"/>
    <s v="Associate engineer"/>
    <x v="52"/>
    <x v="2"/>
    <s v="IMPACT"/>
    <d v="2024-02-01T00:00:00"/>
    <d v="2024-10-31T00:00:00"/>
    <s v="0 Tahun 11 Bulan 29 Hari "/>
    <n v="273"/>
    <n v="156"/>
    <n v="4"/>
    <n v="1290"/>
    <n v="322.5"/>
    <n v="226"/>
    <n v="0.6"/>
    <n v="3"/>
    <n v="0.70077519379844966"/>
    <n v="0.14015503875968993"/>
    <d v="1899-12-30T01:15:27"/>
    <d v="1899-12-30T00:00:00"/>
    <d v="1899-12-30T09:40:20"/>
    <n v="1"/>
    <n v="0"/>
    <n v="1"/>
    <n v="0.8"/>
    <n v="2"/>
    <n v="0.66666666666666663"/>
    <n v="0.16666666666666666"/>
    <d v="1899-12-30T01:35:28"/>
    <n v="1"/>
    <n v="4"/>
    <n v="0.8"/>
    <n v="0.2"/>
    <n v="1"/>
    <n v="1"/>
    <n v="1"/>
    <n v="0"/>
    <n v="0"/>
    <n v="1"/>
    <n v="0"/>
    <n v="1"/>
    <n v="1"/>
    <n v="5"/>
    <n v="0.625"/>
    <n v="9.375E-2"/>
    <n v="75"/>
    <n v="75"/>
    <n v="80"/>
    <n v="85"/>
    <n v="80"/>
    <n v="0.8"/>
    <n v="395"/>
    <n v="0.98734177215189878"/>
    <n v="0.19746835443037977"/>
    <n v="4.2"/>
    <n v="79"/>
    <n v="0.79804005985673643"/>
    <s v="New CE"/>
    <s v="Stay"/>
    <s v="Associate engineer"/>
  </r>
  <r>
    <n v="148"/>
    <s v="Muhammad Tri Prijaya"/>
    <s v="IDH90048"/>
    <s v="Associate engineer"/>
    <x v="17"/>
    <x v="2"/>
    <s v="KINARYA"/>
    <d v="2023-11-13T00:00:00"/>
    <d v="2024-10-31T00:00:00"/>
    <s v="1 Tahun 2 Bulan 17 Hari "/>
    <n v="353"/>
    <n v="612"/>
    <n v="11"/>
    <n v="5254"/>
    <n v="477.63636363636363"/>
    <n v="469"/>
    <n v="0.8"/>
    <n v="4"/>
    <n v="0.9819185382565665"/>
    <n v="0.1963837076513133"/>
    <d v="1901-04-03T18:07:45"/>
    <d v="1899-12-30T02:42:12"/>
    <d v="1899-12-30T00:55:42"/>
    <n v="0"/>
    <n v="1"/>
    <n v="1"/>
    <n v="0.8"/>
    <n v="2"/>
    <n v="0.66666666666666663"/>
    <n v="0.16666666666666666"/>
    <d v="1899-12-30T01:16:13"/>
    <n v="1"/>
    <n v="4"/>
    <n v="0.8"/>
    <n v="0.2"/>
    <n v="1"/>
    <n v="1"/>
    <n v="0"/>
    <n v="0"/>
    <n v="0"/>
    <n v="0"/>
    <n v="0"/>
    <n v="0"/>
    <n v="0.4"/>
    <n v="2"/>
    <n v="0.25"/>
    <n v="3.7499999999999999E-2"/>
    <n v="75"/>
    <n v="75"/>
    <n v="85"/>
    <n v="80"/>
    <n v="80"/>
    <n v="0.8"/>
    <n v="395"/>
    <n v="0.98734177215189878"/>
    <n v="0.19746835443037977"/>
    <n v="3.8"/>
    <n v="79"/>
    <n v="0.79801872874835977"/>
    <s v="Lebih Dari Cukup"/>
    <s v="Stay"/>
    <s v="Associate engineer"/>
  </r>
  <r>
    <n v="149"/>
    <s v="Dicky Raychan"/>
    <s v="IDH80127"/>
    <s v="Associate engineer"/>
    <x v="56"/>
    <x v="2"/>
    <s v="IMPACT"/>
    <d v="2024-01-15T00:00:00"/>
    <d v="2024-10-31T00:00:00"/>
    <s v="1 Tahun 0 Bulan 15 Hari "/>
    <n v="290"/>
    <n v="69"/>
    <n v="2"/>
    <n v="514"/>
    <n v="257"/>
    <n v="204"/>
    <n v="0.6"/>
    <n v="3"/>
    <n v="0.79377431906614782"/>
    <n v="0.15875486381322956"/>
    <d v="1924-12-07T23:03:01"/>
    <d v="1899-12-30T00:00:08"/>
    <d v="1899-12-30T00:22:47"/>
    <n v="0"/>
    <n v="1"/>
    <n v="1"/>
    <n v="0.8"/>
    <n v="2"/>
    <n v="0.66666666666666663"/>
    <n v="0.16666666666666666"/>
    <d v="1899-12-30T01:30:05"/>
    <n v="1"/>
    <n v="4"/>
    <n v="0.8"/>
    <n v="0.2"/>
    <n v="1"/>
    <n v="1"/>
    <n v="1"/>
    <n v="0"/>
    <n v="1"/>
    <n v="0"/>
    <n v="0"/>
    <n v="0"/>
    <n v="0.8"/>
    <n v="4"/>
    <n v="0.5"/>
    <n v="7.4999999999999997E-2"/>
    <n v="75"/>
    <n v="75"/>
    <n v="80"/>
    <n v="80"/>
    <n v="80"/>
    <n v="0.8"/>
    <n v="390"/>
    <n v="0.98717948717948723"/>
    <n v="0.19743589743589746"/>
    <n v="4"/>
    <n v="78"/>
    <n v="0.7978574279157935"/>
    <s v="New CE"/>
    <s v="Stay"/>
    <s v="Associate engineer"/>
  </r>
  <r>
    <n v="150"/>
    <s v="Mohammad Aprido Rezkiawan"/>
    <s v="IDH70030"/>
    <s v="Associate engineer"/>
    <x v="61"/>
    <x v="0"/>
    <s v="SIPRAMA"/>
    <d v="2022-10-03T00:00:00"/>
    <d v="2024-10-31T00:00:00"/>
    <s v="2 Tahun 3 Bulan 27 Hari "/>
    <n v="759"/>
    <n v="173"/>
    <n v="3"/>
    <n v="1310"/>
    <n v="436.66666666666669"/>
    <n v="483"/>
    <n v="1"/>
    <n v="5"/>
    <n v="1.1061068702290076"/>
    <n v="0.22122137404580153"/>
    <d v="1924-05-08T12:01:23"/>
    <d v="1921-05-29T18:57:47"/>
    <d v="1899-12-30T00:00:00"/>
    <n v="0"/>
    <n v="0"/>
    <n v="0"/>
    <n v="0.8"/>
    <n v="2"/>
    <n v="0.66666666666666663"/>
    <n v="0.16666666666666666"/>
    <d v="1899-12-30T00:55:49"/>
    <n v="0.5"/>
    <n v="2"/>
    <n v="0.4"/>
    <n v="0.1"/>
    <n v="1"/>
    <n v="1"/>
    <n v="1"/>
    <n v="0"/>
    <n v="1"/>
    <n v="1"/>
    <n v="0"/>
    <n v="1"/>
    <n v="1"/>
    <n v="6"/>
    <n v="0.75"/>
    <n v="0.11249999999999999"/>
    <n v="75"/>
    <n v="75"/>
    <n v="80"/>
    <n v="80"/>
    <n v="80"/>
    <n v="0.8"/>
    <n v="390"/>
    <n v="0.98717948717948723"/>
    <n v="0.19743589743589746"/>
    <n v="4.0999999999999996"/>
    <n v="78"/>
    <n v="0.79782393814836561"/>
    <s v="Lebih Dari Cukup"/>
    <s v="Stay"/>
    <s v="Associate engineer"/>
  </r>
  <r>
    <n v="151"/>
    <s v="M Rifqy Uaisy"/>
    <s v="IDH80073"/>
    <s v="Associate engineer"/>
    <x v="0"/>
    <x v="0"/>
    <s v="IMPACT"/>
    <d v="2023-07-24T00:00:00"/>
    <d v="2024-10-31T00:00:00"/>
    <s v="1 Tahun 6 Bulan 6 Hari "/>
    <n v="465"/>
    <n v="1384"/>
    <n v="22"/>
    <n v="6775"/>
    <n v="307.95454545454544"/>
    <n v="365"/>
    <n v="1"/>
    <n v="5"/>
    <n v="1.1852398523985241"/>
    <n v="0.23704797047970483"/>
    <d v="1902-05-15T02:27:38"/>
    <d v="1899-12-30T00:00:00"/>
    <d v="1899-12-30T00:00:00"/>
    <n v="0"/>
    <n v="0"/>
    <n v="0"/>
    <n v="0"/>
    <n v="0"/>
    <n v="0"/>
    <n v="0"/>
    <d v="1899-12-30T00:39:19"/>
    <n v="1.25"/>
    <n v="5"/>
    <n v="1"/>
    <n v="0.25"/>
    <n v="1"/>
    <n v="1"/>
    <n v="1"/>
    <n v="0"/>
    <n v="1"/>
    <n v="0"/>
    <n v="1"/>
    <n v="1"/>
    <n v="1"/>
    <n v="6"/>
    <n v="0.75"/>
    <n v="0.11249999999999999"/>
    <n v="75"/>
    <n v="75"/>
    <n v="70"/>
    <n v="70"/>
    <n v="75"/>
    <n v="0.8"/>
    <n v="365"/>
    <n v="0.98630136986301364"/>
    <n v="0.19726027397260273"/>
    <n v="4.05"/>
    <n v="73"/>
    <n v="0.79680824445230758"/>
    <s v="Lebih Dari Cukup"/>
    <s v="Stay"/>
    <s v="Associate engineer"/>
  </r>
  <r>
    <n v="152"/>
    <s v="Reza Digusli A Siregar"/>
    <s v="IDH80075"/>
    <s v="Associate engineer"/>
    <x v="62"/>
    <x v="2"/>
    <s v="IMPACT"/>
    <d v="2023-07-24T00:00:00"/>
    <d v="2024-10-31T00:00:00"/>
    <s v="1 Tahun 6 Bulan 6 Hari "/>
    <n v="465"/>
    <n v="47"/>
    <n v="1"/>
    <n v="298"/>
    <n v="298"/>
    <n v="386"/>
    <n v="1"/>
    <n v="5"/>
    <n v="1.2953020134228188"/>
    <n v="0.25906040268456376"/>
    <d v="1904-06-11T23:49:38"/>
    <d v="1899-12-30T00:00:00"/>
    <d v="1910-05-18T08:38:27"/>
    <n v="0"/>
    <n v="0"/>
    <n v="1"/>
    <n v="0.4"/>
    <n v="1"/>
    <n v="0.33333333333333331"/>
    <n v="8.3333333333333329E-2"/>
    <d v="1899-12-30T01:08:36"/>
    <n v="1"/>
    <n v="4"/>
    <n v="0.8"/>
    <n v="0.2"/>
    <n v="1"/>
    <n v="1"/>
    <n v="0"/>
    <n v="0"/>
    <n v="0"/>
    <n v="1"/>
    <n v="0"/>
    <n v="0"/>
    <n v="0.6"/>
    <n v="3"/>
    <n v="0.375"/>
    <n v="5.6249999999999994E-2"/>
    <n v="75"/>
    <n v="75"/>
    <n v="85"/>
    <n v="85"/>
    <n v="85"/>
    <n v="0.8"/>
    <n v="405"/>
    <n v="0.98765432098765427"/>
    <n v="0.19753086419753085"/>
    <n v="3.8"/>
    <n v="81"/>
    <n v="0.79617460021542796"/>
    <s v="Lebih Dari Cukup"/>
    <s v="Stay"/>
    <s v="Associate engineer"/>
  </r>
  <r>
    <n v="153"/>
    <s v="Ilham Rusdiyono"/>
    <s v="IDH70073"/>
    <s v="Engineer"/>
    <x v="20"/>
    <x v="0"/>
    <s v="SIPRAMA"/>
    <d v="2021-02-01T00:00:00"/>
    <d v="2024-10-31T00:00:00"/>
    <s v="3 Tahun 11 Bulan 29 Hari "/>
    <n v="1368"/>
    <n v="213"/>
    <n v="3"/>
    <n v="1330"/>
    <n v="443.33333333333331"/>
    <n v="385"/>
    <n v="0.8"/>
    <n v="4"/>
    <n v="0.86842105263157898"/>
    <n v="0.1736842105263158"/>
    <d v="1905-08-22T06:20:15"/>
    <d v="1899-12-30T01:36:29"/>
    <d v="1920-09-06T15:54:35"/>
    <n v="0"/>
    <n v="1"/>
    <n v="1"/>
    <n v="0.8"/>
    <n v="2"/>
    <n v="0.66666666666666663"/>
    <n v="0.16666666666666666"/>
    <d v="1899-12-30T01:11:53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4"/>
    <n v="78"/>
    <n v="0.79403677462887989"/>
    <s v="Lebih Dari Cukup"/>
    <s v="Stay"/>
    <s v="Engineer"/>
  </r>
  <r>
    <n v="154"/>
    <s v="Herizal Kuswardana"/>
    <s v="IDH70022"/>
    <s v="Senior engineer"/>
    <x v="47"/>
    <x v="0"/>
    <s v="SIPRAMA"/>
    <d v="2022-10-03T00:00:00"/>
    <d v="2024-10-31T00:00:00"/>
    <s v="2 Tahun 3 Bulan 27 Hari "/>
    <n v="759"/>
    <n v="507"/>
    <n v="10"/>
    <n v="3304"/>
    <n v="330.4"/>
    <n v="499"/>
    <n v="1"/>
    <n v="5"/>
    <n v="1.5102905569007266"/>
    <n v="0.30205811138014532"/>
    <d v="1944-04-28T03:09:23"/>
    <d v="1945-08-01T15:57:57"/>
    <d v="1899-12-30T00:00:00"/>
    <n v="0"/>
    <n v="0"/>
    <n v="0"/>
    <n v="0"/>
    <n v="0"/>
    <n v="0"/>
    <n v="0"/>
    <d v="1899-12-30T01:44:22"/>
    <n v="1"/>
    <n v="4"/>
    <n v="0.8"/>
    <n v="0.2"/>
    <n v="1"/>
    <n v="1"/>
    <n v="1"/>
    <n v="0"/>
    <n v="0"/>
    <n v="1"/>
    <n v="0"/>
    <n v="1"/>
    <n v="1"/>
    <n v="5"/>
    <n v="0.625"/>
    <n v="9.375E-2"/>
    <n v="75"/>
    <n v="75"/>
    <n v="90"/>
    <n v="90"/>
    <n v="85"/>
    <n v="0.8"/>
    <n v="415"/>
    <n v="0.98795180722891562"/>
    <n v="0.19759036144578312"/>
    <n v="3.8"/>
    <n v="83"/>
    <n v="0.79339847282592846"/>
    <s v="Lebih Dari Cukup"/>
    <s v="Stay"/>
    <s v="Senior engineer"/>
  </r>
  <r>
    <n v="155"/>
    <s v="Andriana Navulani"/>
    <s v="IDH60046"/>
    <s v="Engineer"/>
    <x v="42"/>
    <x v="0"/>
    <s v="CITIUS"/>
    <d v="2022-01-24T00:00:00"/>
    <d v="2024-10-31T00:00:00"/>
    <s v="3 Tahun 0 Bulan 6 Hari "/>
    <n v="1011"/>
    <n v="332"/>
    <n v="6"/>
    <n v="2281"/>
    <n v="380.16666666666669"/>
    <n v="416"/>
    <n v="1"/>
    <n v="5"/>
    <n v="1.0942569048662867"/>
    <n v="0.21885138097325735"/>
    <d v="1902-09-25T20:28:39"/>
    <d v="1899-12-30T01:23:24"/>
    <d v="1899-12-30T00:00:00"/>
    <n v="0"/>
    <n v="1"/>
    <n v="0"/>
    <n v="0.4"/>
    <n v="1"/>
    <n v="0.33333333333333331"/>
    <n v="8.3333333333333329E-2"/>
    <d v="1899-12-30T01:49:11"/>
    <n v="1"/>
    <n v="4"/>
    <n v="0.8"/>
    <n v="0.2"/>
    <n v="1"/>
    <n v="1"/>
    <n v="1"/>
    <n v="0"/>
    <n v="0"/>
    <n v="1"/>
    <n v="0"/>
    <n v="1"/>
    <n v="1"/>
    <n v="5"/>
    <n v="0.625"/>
    <n v="9.375E-2"/>
    <n v="75"/>
    <n v="75"/>
    <n v="80"/>
    <n v="80"/>
    <n v="80"/>
    <n v="0.8"/>
    <n v="390"/>
    <n v="0.98717948717948723"/>
    <n v="0.19743589743589746"/>
    <n v="4.2"/>
    <n v="78"/>
    <n v="0.79337061174248813"/>
    <s v="Lebih Dari Cukup"/>
    <s v="Stay"/>
    <s v="Engineer"/>
  </r>
  <r>
    <n v="156"/>
    <s v="Rifqy Adrian"/>
    <s v="IDH60088"/>
    <s v="Associate engineer"/>
    <x v="60"/>
    <x v="2"/>
    <s v="CITIUS"/>
    <d v="2022-07-04T00:00:00"/>
    <d v="2024-10-31T00:00:00"/>
    <s v="2 Tahun 6 Bulan 26 Hari "/>
    <n v="850"/>
    <n v="113"/>
    <n v="2"/>
    <n v="829"/>
    <n v="414.5"/>
    <n v="375"/>
    <n v="0.8"/>
    <n v="4"/>
    <n v="0.90470446320868514"/>
    <n v="0.18094089264173704"/>
    <d v="1914-08-29T20:33:08"/>
    <d v="1928-09-29T03:20:56"/>
    <d v="1924-11-29T07:38:57"/>
    <n v="0"/>
    <n v="0"/>
    <n v="1"/>
    <n v="0.4"/>
    <n v="1"/>
    <n v="0.33333333333333331"/>
    <n v="8.3333333333333329E-2"/>
    <d v="1899-12-30T01:54:01"/>
    <n v="1"/>
    <n v="4"/>
    <n v="0.8"/>
    <n v="0.2"/>
    <n v="1"/>
    <n v="1"/>
    <n v="1"/>
    <n v="1"/>
    <n v="1"/>
    <n v="1"/>
    <n v="0"/>
    <n v="1"/>
    <n v="1"/>
    <n v="7"/>
    <n v="0.875"/>
    <n v="0.13125000000000001"/>
    <n v="75"/>
    <n v="75"/>
    <n v="65"/>
    <n v="80"/>
    <n v="65"/>
    <n v="0.8"/>
    <n v="360"/>
    <n v="0.98611111111111116"/>
    <n v="0.19722222222222224"/>
    <n v="4"/>
    <n v="72"/>
    <n v="0.79274644819729256"/>
    <s v="Lebih Dari Cukup"/>
    <s v="Stay"/>
    <s v="Associate engineer"/>
  </r>
  <r>
    <n v="157"/>
    <s v="Hafi Maulana Ridwan"/>
    <s v="IDH40130"/>
    <s v="Engineer"/>
    <x v="0"/>
    <x v="0"/>
    <s v="GSS"/>
    <d v="2021-04-05T00:00:00"/>
    <d v="2024-10-31T00:00:00"/>
    <s v="3 Tahun 9 Bulan 25 Hari "/>
    <n v="1305"/>
    <n v="1384"/>
    <n v="22"/>
    <n v="6775"/>
    <n v="307.95454545454544"/>
    <n v="521"/>
    <n v="1"/>
    <n v="5"/>
    <n v="1.6918081180811808"/>
    <n v="0.33836162361623617"/>
    <d v="1902-10-29T21:24:43"/>
    <d v="1899-12-30T03:30:28"/>
    <d v="1899-12-30T00:00:00"/>
    <n v="0"/>
    <n v="0"/>
    <n v="0"/>
    <n v="0"/>
    <n v="0"/>
    <n v="0"/>
    <n v="0"/>
    <d v="1899-12-30T01:21:03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90"/>
    <n v="90"/>
    <n v="90"/>
    <n v="0.8"/>
    <n v="420"/>
    <n v="0.98809523809523814"/>
    <n v="0.19761904761904764"/>
    <n v="3.4000000000000004"/>
    <n v="84"/>
    <n v="0.79223067123528379"/>
    <s v="Lebih Dari Cukup"/>
    <s v="Stay"/>
    <s v="Engineer"/>
  </r>
  <r>
    <n v="158"/>
    <s v="Mokhamad Burhanudin"/>
    <s v="IDH40007"/>
    <s v="Senior engineer"/>
    <x v="24"/>
    <x v="0"/>
    <s v="GSS"/>
    <d v="2017-08-21T00:00:00"/>
    <d v="2024-10-31T00:00:00"/>
    <s v="7 Tahun 5 Bulan 9 Hari "/>
    <n v="2628"/>
    <n v="358"/>
    <n v="7"/>
    <n v="2648"/>
    <n v="378.28571428571428"/>
    <n v="386"/>
    <n v="1"/>
    <n v="5"/>
    <n v="1.0203927492447129"/>
    <n v="0.20407854984894258"/>
    <d v="1916-01-17T19:47:22"/>
    <d v="1899-12-30T00:00:00"/>
    <d v="1899-12-30T00:12:50"/>
    <n v="0"/>
    <n v="0"/>
    <n v="1"/>
    <n v="0.4"/>
    <n v="1"/>
    <n v="0.33333333333333331"/>
    <n v="8.3333333333333329E-2"/>
    <d v="1899-12-30T00:45:39"/>
    <n v="1.25"/>
    <n v="5"/>
    <n v="1"/>
    <n v="0.25"/>
    <n v="1"/>
    <n v="1"/>
    <n v="1"/>
    <n v="0"/>
    <n v="0"/>
    <n v="0"/>
    <n v="0"/>
    <n v="0"/>
    <n v="0.6"/>
    <n v="3"/>
    <n v="0.375"/>
    <n v="5.6249999999999994E-2"/>
    <n v="75"/>
    <n v="75"/>
    <n v="90"/>
    <n v="85"/>
    <n v="85"/>
    <n v="0.8"/>
    <n v="410"/>
    <n v="0.98780487804878048"/>
    <n v="0.19756097560975611"/>
    <n v="4.05"/>
    <n v="82"/>
    <n v="0.79122285879203202"/>
    <s v="Lebih Dari Cukup"/>
    <s v="Stay"/>
    <s v="Senior engineer"/>
  </r>
  <r>
    <n v="159"/>
    <s v="Raka Widharma Kartika"/>
    <s v="IDH80088"/>
    <s v="Associate engineer"/>
    <x v="5"/>
    <x v="1"/>
    <s v="IMPACT"/>
    <d v="2023-09-04T00:00:00"/>
    <d v="2024-10-31T00:00:00"/>
    <s v="1 Tahun 4 Bulan 26 Hari "/>
    <n v="423"/>
    <n v="329"/>
    <n v="6"/>
    <n v="1945"/>
    <n v="324.16666666666669"/>
    <n v="242"/>
    <n v="0.6"/>
    <n v="3"/>
    <n v="0.74652956298200512"/>
    <n v="0.14930591259640102"/>
    <d v="1899-12-30T01:03:40"/>
    <d v="1899-12-30T00:49:43"/>
    <d v="1899-12-30T01:09:18"/>
    <n v="1"/>
    <n v="1"/>
    <n v="1"/>
    <n v="1.25"/>
    <n v="3"/>
    <n v="1"/>
    <n v="0.25"/>
    <d v="1899-12-30T03:24:28"/>
    <n v="0.5"/>
    <n v="2"/>
    <n v="0.4"/>
    <n v="0.1"/>
    <n v="1"/>
    <n v="1"/>
    <n v="1"/>
    <n v="0"/>
    <n v="0"/>
    <n v="1"/>
    <n v="0"/>
    <n v="1"/>
    <n v="1"/>
    <n v="5"/>
    <n v="0.625"/>
    <n v="9.375E-2"/>
    <n v="75"/>
    <n v="75"/>
    <n v="90"/>
    <n v="85"/>
    <n v="80"/>
    <n v="0.8"/>
    <n v="405"/>
    <n v="0.98765432098765427"/>
    <n v="0.19753086419753085"/>
    <n v="4.1500000000000004"/>
    <n v="81"/>
    <n v="0.79058677679393186"/>
    <s v="Lebih Dari Cukup"/>
    <s v="Stay"/>
    <s v="Associate engineer"/>
  </r>
  <r>
    <n v="160"/>
    <s v="Doni Ari Pradana"/>
    <s v="IDH40083"/>
    <s v="Engineer"/>
    <x v="4"/>
    <x v="0"/>
    <s v="GSS"/>
    <d v="2019-10-02T00:00:00"/>
    <d v="2024-10-31T00:00:00"/>
    <s v="5 Tahun 3 Bulan 28 Hari "/>
    <n v="1856"/>
    <n v="625"/>
    <n v="10"/>
    <n v="4149"/>
    <n v="414.9"/>
    <n v="351"/>
    <n v="0.8"/>
    <n v="4"/>
    <n v="0.84598698481561829"/>
    <n v="0.16919739696312366"/>
    <d v="1906-01-24T06:24:11"/>
    <d v="1899-12-30T01:34:40"/>
    <d v="1899-12-30T00:00:08"/>
    <n v="0"/>
    <n v="1"/>
    <n v="1"/>
    <n v="0.8"/>
    <n v="2"/>
    <n v="0.66666666666666663"/>
    <n v="0.16666666666666666"/>
    <d v="1899-12-30T01:02:17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75"/>
    <n v="70"/>
    <n v="70"/>
    <n v="0.8"/>
    <n v="365"/>
    <n v="0.98630136986301364"/>
    <n v="0.19726027397260273"/>
    <n v="4"/>
    <n v="73"/>
    <n v="0.78937433760239306"/>
    <s v="Lebih Dari Cukup"/>
    <s v="Stay"/>
    <s v="Engineer"/>
  </r>
  <r>
    <n v="161"/>
    <s v="Munawir Usman"/>
    <s v="IDH80008"/>
    <s v="Associate engineer"/>
    <x v="17"/>
    <x v="2"/>
    <s v="IMPACT"/>
    <d v="2023-01-09T00:00:00"/>
    <d v="2024-10-31T00:00:00"/>
    <s v="2 Tahun 0 Bulan 21 Hari "/>
    <n v="661"/>
    <n v="612"/>
    <n v="11"/>
    <n v="5254"/>
    <n v="477.63636363636363"/>
    <n v="433"/>
    <n v="0.8"/>
    <n v="4"/>
    <n v="0.9065473924628854"/>
    <n v="0.18130947849257709"/>
    <d v="1901-12-27T18:56:50"/>
    <d v="1899-12-30T00:13:45"/>
    <d v="1899-12-30T02:24:53"/>
    <n v="0"/>
    <n v="1"/>
    <n v="1"/>
    <n v="0.8"/>
    <n v="2"/>
    <n v="0.66666666666666663"/>
    <n v="0.16666666666666666"/>
    <d v="1899-12-30T02:35:46"/>
    <n v="0.75"/>
    <n v="3"/>
    <n v="0.6"/>
    <n v="0.15"/>
    <n v="1"/>
    <n v="1"/>
    <n v="1"/>
    <n v="1"/>
    <n v="1"/>
    <n v="0"/>
    <n v="0"/>
    <n v="0"/>
    <n v="1"/>
    <n v="5"/>
    <n v="0.625"/>
    <n v="9.375E-2"/>
    <n v="75"/>
    <n v="60"/>
    <n v="75"/>
    <n v="80"/>
    <n v="75"/>
    <n v="0.8"/>
    <n v="365"/>
    <n v="0.98630136986301364"/>
    <n v="0.19726027397260273"/>
    <n v="4.1500000000000004"/>
    <n v="73"/>
    <n v="0.78898641913184642"/>
    <s v="Lebih Dari Cukup"/>
    <s v="Stay"/>
    <s v="Associate engineer"/>
  </r>
  <r>
    <n v="162"/>
    <s v="Galih Syahri Romadoni"/>
    <s v="IDH30041"/>
    <s v="Senior engineer"/>
    <x v="18"/>
    <x v="2"/>
    <s v="IMPACT"/>
    <d v="2019-06-11T00:00:00"/>
    <d v="2024-10-31T00:00:00"/>
    <s v="5 Tahun 7 Bulan 19 Hari "/>
    <n v="1969"/>
    <n v="401"/>
    <n v="7"/>
    <n v="2754"/>
    <n v="393.42857142857144"/>
    <n v="284"/>
    <n v="0.6"/>
    <n v="3"/>
    <n v="0.72185911401597669"/>
    <n v="0.14437182280319535"/>
    <d v="1974-01-17T09:53:16"/>
    <d v="2024-10-24T21:57:00"/>
    <d v="2024-01-08T10:11:31"/>
    <n v="0"/>
    <n v="0"/>
    <n v="1"/>
    <n v="0.4"/>
    <n v="1"/>
    <n v="0.33333333333333331"/>
    <n v="8.3333333333333329E-2"/>
    <d v="1899-12-30T00:29:38"/>
    <n v="1.25"/>
    <n v="5"/>
    <n v="1"/>
    <n v="0.25"/>
    <n v="1"/>
    <n v="1"/>
    <n v="1"/>
    <n v="0"/>
    <n v="1"/>
    <n v="1"/>
    <n v="0"/>
    <n v="1"/>
    <n v="1"/>
    <n v="6"/>
    <n v="0.75"/>
    <n v="0.11249999999999999"/>
    <n v="75"/>
    <n v="75"/>
    <n v="90"/>
    <n v="90"/>
    <n v="85"/>
    <n v="0.8"/>
    <n v="415"/>
    <n v="0.98795180722891562"/>
    <n v="0.19759036144578312"/>
    <n v="4.05"/>
    <n v="83"/>
    <n v="0.78779551758231181"/>
    <s v="Lebih Dari Cukup"/>
    <s v="Stay"/>
    <s v="Senior engineer"/>
  </r>
  <r>
    <n v="163"/>
    <s v="Muhammad Ilham PLG"/>
    <s v="IDH40068"/>
    <s v="Engineer"/>
    <x v="40"/>
    <x v="2"/>
    <s v="IMPACT"/>
    <d v="2019-06-11T00:00:00"/>
    <d v="2024-10-31T00:00:00"/>
    <s v="5 Tahun 7 Bulan 19 Hari "/>
    <n v="1969"/>
    <n v="426"/>
    <n v="6"/>
    <n v="3000"/>
    <n v="500"/>
    <n v="361"/>
    <n v="0.6"/>
    <n v="3"/>
    <n v="0.72199999999999998"/>
    <n v="0.1444"/>
    <d v="1923-12-02T18:27:34"/>
    <d v="1927-09-06T08:11:53"/>
    <d v="1938-11-03T22:10:21"/>
    <n v="0"/>
    <n v="0"/>
    <n v="1"/>
    <n v="0.4"/>
    <n v="1"/>
    <n v="0.33333333333333331"/>
    <n v="8.3333333333333329E-2"/>
    <d v="1899-12-30T00:55:04"/>
    <n v="1.25"/>
    <n v="5"/>
    <n v="1"/>
    <n v="0.25"/>
    <n v="1"/>
    <n v="1"/>
    <n v="1"/>
    <n v="1"/>
    <n v="0"/>
    <n v="1"/>
    <n v="0"/>
    <n v="1"/>
    <n v="1"/>
    <n v="6"/>
    <n v="0.75"/>
    <n v="0.11249999999999999"/>
    <n v="75"/>
    <n v="75"/>
    <n v="80"/>
    <n v="85"/>
    <n v="85"/>
    <n v="0.8"/>
    <n v="400"/>
    <n v="0.98750000000000004"/>
    <n v="0.19750000000000001"/>
    <n v="4.05"/>
    <n v="80"/>
    <n v="0.7877333333333334"/>
    <s v="Lebih Dari Cukup"/>
    <s v="Stay"/>
    <s v="Engineer"/>
  </r>
  <r>
    <n v="164"/>
    <s v="Arifianto Refani"/>
    <s v="IDH90010"/>
    <s v="Associate engineer"/>
    <x v="63"/>
    <x v="0"/>
    <s v="GSS"/>
    <d v="2023-09-11T00:00:00"/>
    <d v="2024-10-31T00:00:00"/>
    <s v="1 Tahun 4 Bulan 19 Hari "/>
    <n v="416"/>
    <n v="305"/>
    <n v="6"/>
    <n v="2018"/>
    <n v="336.33333333333331"/>
    <n v="301"/>
    <n v="0.8"/>
    <n v="4"/>
    <n v="0.89494549058473738"/>
    <n v="0.17898909811694749"/>
    <d v="1899-12-30T00:26:30"/>
    <d v="1899-12-30T00:39:07"/>
    <d v="1899-12-30T00:00:00"/>
    <n v="1"/>
    <n v="1"/>
    <n v="0"/>
    <n v="0.8"/>
    <n v="2"/>
    <n v="0.66666666666666663"/>
    <n v="0.16666666666666666"/>
    <d v="1899-12-30T02:18:52"/>
    <n v="0.75"/>
    <n v="3"/>
    <n v="0.6"/>
    <n v="0.15"/>
    <n v="1"/>
    <n v="1"/>
    <n v="1"/>
    <n v="0"/>
    <n v="0"/>
    <n v="1"/>
    <n v="0"/>
    <n v="1"/>
    <n v="1"/>
    <n v="5"/>
    <n v="0.625"/>
    <n v="9.375E-2"/>
    <n v="75"/>
    <n v="75"/>
    <n v="65"/>
    <n v="70"/>
    <n v="70"/>
    <n v="0.8"/>
    <n v="355"/>
    <n v="0.9859154929577465"/>
    <n v="0.19718309859154931"/>
    <n v="4.1500000000000004"/>
    <n v="71"/>
    <n v="0.78658886337516343"/>
    <s v="Lebih Dari Cukup"/>
    <s v="Stay"/>
    <s v="Associate engineer"/>
  </r>
  <r>
    <n v="165"/>
    <s v="Prasetio Nugroho"/>
    <s v="IDH60034"/>
    <s v="Engineer"/>
    <x v="5"/>
    <x v="1"/>
    <s v="CITIUS"/>
    <d v="2021-11-02T00:00:00"/>
    <d v="2024-10-31T00:00:00"/>
    <s v="3 Tahun 2 Bulan 28 Hari "/>
    <n v="1094"/>
    <n v="329"/>
    <n v="6"/>
    <n v="1945"/>
    <n v="324.16666666666669"/>
    <n v="319"/>
    <n v="0.8"/>
    <n v="4"/>
    <n v="0.98406169665809762"/>
    <n v="0.19681233933161954"/>
    <d v="1909-10-24T03:30:26"/>
    <d v="1899-12-30T00:00:14"/>
    <d v="1899-12-30T00:22:31"/>
    <n v="0"/>
    <n v="1"/>
    <n v="1"/>
    <n v="0.8"/>
    <n v="2"/>
    <n v="0.66666666666666663"/>
    <n v="0.16666666666666666"/>
    <d v="1899-12-30T02:17:52"/>
    <n v="0.75"/>
    <n v="3"/>
    <n v="0.6"/>
    <n v="0.15"/>
    <n v="1"/>
    <n v="1"/>
    <n v="0"/>
    <n v="0"/>
    <n v="1"/>
    <n v="1"/>
    <n v="0"/>
    <n v="0"/>
    <n v="0.8"/>
    <n v="4"/>
    <n v="0.5"/>
    <n v="7.4999999999999997E-2"/>
    <n v="75"/>
    <n v="75"/>
    <n v="90"/>
    <n v="90"/>
    <n v="85"/>
    <n v="0.8"/>
    <n v="415"/>
    <n v="0.98795180722891562"/>
    <n v="0.19759036144578312"/>
    <n v="3.95"/>
    <n v="83"/>
    <n v="0.7860693674440693"/>
    <s v="Lebih Dari Cukup"/>
    <s v="Stay"/>
    <s v="Engineer"/>
  </r>
  <r>
    <n v="166"/>
    <s v="Fahri Husaini"/>
    <s v="IDH60040"/>
    <s v="Engineer"/>
    <x v="51"/>
    <x v="2"/>
    <s v="CITIUS"/>
    <d v="2021-11-02T00:00:00"/>
    <d v="2024-10-31T00:00:00"/>
    <s v="3 Tahun 2 Bulan 28 Hari "/>
    <n v="1094"/>
    <n v="295"/>
    <n v="5"/>
    <n v="2105"/>
    <n v="421"/>
    <n v="379"/>
    <n v="0.8"/>
    <n v="4"/>
    <n v="0.9002375296912114"/>
    <n v="0.18004750593824229"/>
    <d v="1936-12-24T22:16:01"/>
    <d v="1962-04-09T04:43:58"/>
    <d v="1933-02-20T12:07:28"/>
    <n v="0"/>
    <n v="0"/>
    <n v="1"/>
    <n v="0.4"/>
    <n v="1"/>
    <n v="0.33333333333333331"/>
    <n v="8.3333333333333329E-2"/>
    <d v="1899-12-30T00:28:10"/>
    <n v="1.25"/>
    <n v="5"/>
    <n v="1"/>
    <n v="0.25"/>
    <n v="1"/>
    <n v="1"/>
    <n v="1"/>
    <n v="0"/>
    <n v="1"/>
    <n v="0"/>
    <n v="0"/>
    <n v="0"/>
    <n v="0.8"/>
    <n v="4"/>
    <n v="0.5"/>
    <n v="7.4999999999999997E-2"/>
    <n v="75"/>
    <n v="75"/>
    <n v="85"/>
    <n v="85"/>
    <n v="85"/>
    <n v="0.8"/>
    <n v="405"/>
    <n v="0.98765432098765427"/>
    <n v="0.19753086419753085"/>
    <n v="4.05"/>
    <n v="81"/>
    <n v="0.78591170346910644"/>
    <s v="Lebih Dari Cukup"/>
    <s v="Stay"/>
    <s v="Engineer"/>
  </r>
  <r>
    <n v="167"/>
    <s v="Lukman Pradita"/>
    <s v="IDH40123"/>
    <s v="Engineer"/>
    <x v="5"/>
    <x v="1"/>
    <s v="GSS"/>
    <d v="2021-04-05T00:00:00"/>
    <d v="2024-10-31T00:00:00"/>
    <s v="3 Tahun 9 Bulan 25 Hari "/>
    <n v="1305"/>
    <n v="329"/>
    <n v="6"/>
    <n v="1945"/>
    <n v="324.16666666666669"/>
    <n v="261"/>
    <n v="0.8"/>
    <n v="4"/>
    <n v="0.80514138817480718"/>
    <n v="0.16102827763496144"/>
    <d v="1920-09-27T02:16:41"/>
    <d v="1912-05-28T17:18:14"/>
    <d v="1899-12-30T00:00:12"/>
    <n v="0"/>
    <n v="0"/>
    <n v="1"/>
    <n v="0.4"/>
    <n v="1"/>
    <n v="0.33333333333333331"/>
    <n v="8.3333333333333329E-2"/>
    <d v="1899-12-30T00:55:15"/>
    <n v="1.25"/>
    <n v="5"/>
    <n v="1"/>
    <n v="0.25"/>
    <n v="1"/>
    <n v="1"/>
    <n v="1"/>
    <n v="0"/>
    <n v="1"/>
    <n v="0"/>
    <n v="0"/>
    <n v="1"/>
    <n v="1"/>
    <n v="5"/>
    <n v="0.625"/>
    <n v="9.375E-2"/>
    <n v="75"/>
    <n v="75"/>
    <n v="90"/>
    <n v="90"/>
    <n v="80"/>
    <n v="0.8"/>
    <n v="410"/>
    <n v="0.98780487804878048"/>
    <n v="0.19756097560975611"/>
    <n v="4.25"/>
    <n v="82"/>
    <n v="0.78567258657805095"/>
    <s v="Lebih Dari Cukup"/>
    <s v="Stay"/>
    <s v="Engineer"/>
  </r>
  <r>
    <n v="168"/>
    <s v="Prakoso Anung Pamuji"/>
    <s v="IDH40057"/>
    <s v="Senior engineer"/>
    <x v="23"/>
    <x v="0"/>
    <s v="GSS"/>
    <d v="2019-01-07T00:00:00"/>
    <d v="2024-10-31T00:00:00"/>
    <s v="6 Tahun 0 Bulan 23 Hari "/>
    <n v="2124"/>
    <n v="305"/>
    <n v="6"/>
    <n v="2074"/>
    <n v="345.66666666666669"/>
    <n v="341"/>
    <n v="0.8"/>
    <n v="4"/>
    <n v="0.98649951783992285"/>
    <n v="0.19729990356798457"/>
    <d v="1923-11-17T23:06:28"/>
    <d v="1899-12-30T00:00:03"/>
    <d v="1899-12-30T00:00:00"/>
    <n v="0"/>
    <n v="1"/>
    <n v="0"/>
    <n v="0.4"/>
    <n v="1"/>
    <n v="0.33333333333333331"/>
    <n v="8.3333333333333329E-2"/>
    <d v="1899-12-30T00:42:20"/>
    <n v="1.25"/>
    <n v="5"/>
    <n v="1"/>
    <n v="0.25"/>
    <n v="1"/>
    <n v="1"/>
    <n v="1"/>
    <n v="0"/>
    <n v="0"/>
    <n v="0"/>
    <n v="0"/>
    <n v="0"/>
    <n v="0.6"/>
    <n v="3"/>
    <n v="0.375"/>
    <n v="5.6249999999999994E-2"/>
    <n v="75"/>
    <n v="75"/>
    <n v="85"/>
    <n v="85"/>
    <n v="80"/>
    <n v="0.8"/>
    <n v="400"/>
    <n v="0.98750000000000004"/>
    <n v="0.19750000000000001"/>
    <n v="3.8500000000000005"/>
    <n v="80"/>
    <n v="0.78438323690131795"/>
    <s v="Lebih Dari Cukup"/>
    <s v="Stay"/>
    <s v="Senior engineer"/>
  </r>
  <r>
    <n v="169"/>
    <s v="Hery Kurniawan"/>
    <s v="IDH40064"/>
    <s v="Engineer"/>
    <x v="64"/>
    <x v="0"/>
    <s v="GSS"/>
    <d v="2019-02-18T00:00:00"/>
    <d v="2024-10-31T00:00:00"/>
    <s v="5 Tahun 11 Bulan 12 Hari "/>
    <n v="2082"/>
    <n v="211"/>
    <n v="4"/>
    <n v="1615"/>
    <n v="403.75"/>
    <n v="383"/>
    <n v="0.8"/>
    <n v="4"/>
    <n v="0.94860681114551082"/>
    <n v="0.18972136222910219"/>
    <d v="1931-07-18T17:12:40"/>
    <d v="1899-12-30T00:28:15"/>
    <d v="1899-12-30T00:00:00"/>
    <n v="0"/>
    <n v="1"/>
    <n v="0"/>
    <n v="0.4"/>
    <n v="1"/>
    <n v="0.33333333333333331"/>
    <n v="8.3333333333333329E-2"/>
    <d v="1899-12-30T01:55:26"/>
    <n v="1"/>
    <n v="4"/>
    <n v="0.8"/>
    <n v="0.2"/>
    <n v="1"/>
    <n v="1"/>
    <n v="1"/>
    <n v="1"/>
    <n v="0"/>
    <n v="1"/>
    <n v="0"/>
    <n v="1"/>
    <n v="1"/>
    <n v="6"/>
    <n v="0.75"/>
    <n v="0.11249999999999999"/>
    <n v="75"/>
    <n v="75"/>
    <n v="80"/>
    <n v="80"/>
    <n v="75"/>
    <n v="0.8"/>
    <n v="385"/>
    <n v="0.98701298701298701"/>
    <n v="0.19740259740259741"/>
    <n v="4"/>
    <n v="77"/>
    <n v="0.78295729296503302"/>
    <s v="Lebih Dari Cukup"/>
    <s v="Stay"/>
    <s v="Engineer"/>
  </r>
  <r>
    <n v="170"/>
    <s v="Faldy Agung Nugraha Koleba"/>
    <s v="IDH90004"/>
    <s v="Associate engineer"/>
    <x v="44"/>
    <x v="2"/>
    <s v="GSS"/>
    <d v="2023-09-04T00:00:00"/>
    <d v="2024-10-31T00:00:00"/>
    <s v="1 Tahun 4 Bulan 26 Hari "/>
    <n v="423"/>
    <n v="134"/>
    <n v="3"/>
    <n v="1306"/>
    <n v="435.33333333333331"/>
    <n v="354"/>
    <n v="0.8"/>
    <n v="4"/>
    <n v="0.81316998468606438"/>
    <n v="0.16263399693721289"/>
    <d v="1905-01-20T19:31:27"/>
    <d v="1899-12-30T00:08:17"/>
    <d v="1906-07-19T06:26:46"/>
    <n v="0"/>
    <n v="1"/>
    <n v="1"/>
    <n v="0.8"/>
    <n v="2"/>
    <n v="0.66666666666666663"/>
    <n v="0.16666666666666666"/>
    <d v="1899-12-30T01:11:14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75"/>
    <n v="70"/>
    <n v="75"/>
    <n v="0.8"/>
    <n v="370"/>
    <n v="0.98648648648648651"/>
    <n v="0.19729729729729731"/>
    <n v="4"/>
    <n v="74"/>
    <n v="0.78284796090117681"/>
    <s v="Lebih Dari Cukup"/>
    <s v="Stay"/>
    <s v="Associate engineer"/>
  </r>
  <r>
    <n v="171"/>
    <s v="Andito Wahyu"/>
    <s v="IDH90006"/>
    <s v="Associate engineer"/>
    <x v="65"/>
    <x v="0"/>
    <s v="GSS"/>
    <d v="2023-09-04T00:00:00"/>
    <d v="2024-10-31T00:00:00"/>
    <s v="1 Tahun 4 Bulan 26 Hari "/>
    <n v="423"/>
    <n v="104"/>
    <n v="2"/>
    <n v="763"/>
    <n v="381.5"/>
    <n v="397"/>
    <n v="1"/>
    <n v="5"/>
    <n v="1.0406290956749673"/>
    <n v="0.20812581913499348"/>
    <d v="1901-07-26T09:15:35"/>
    <d v="1899-12-30T00:03:27"/>
    <d v="1899-12-30T00:00:00"/>
    <n v="0"/>
    <n v="1"/>
    <n v="0"/>
    <n v="0.4"/>
    <n v="1"/>
    <n v="0.33333333333333331"/>
    <n v="8.3333333333333329E-2"/>
    <d v="1899-12-30T01:54:29"/>
    <n v="1"/>
    <n v="4"/>
    <n v="0.8"/>
    <n v="0.2"/>
    <n v="1"/>
    <n v="1"/>
    <n v="1"/>
    <n v="0"/>
    <n v="1"/>
    <n v="0"/>
    <n v="0"/>
    <n v="1"/>
    <n v="1"/>
    <n v="5"/>
    <n v="0.625"/>
    <n v="9.375E-2"/>
    <n v="75"/>
    <n v="75"/>
    <n v="80"/>
    <n v="80"/>
    <n v="80"/>
    <n v="0.8"/>
    <n v="390"/>
    <n v="0.98717948717948723"/>
    <n v="0.19743589743589746"/>
    <n v="4.2"/>
    <n v="78"/>
    <n v="0.78264504990422434"/>
    <s v="Lebih Dari Cukup"/>
    <s v="Stay"/>
    <s v="Associate engineer"/>
  </r>
  <r>
    <n v="172"/>
    <s v="Yogi Kurniawan"/>
    <s v="IDH40046"/>
    <s v="Senior engineer"/>
    <x v="0"/>
    <x v="0"/>
    <s v="GSS"/>
    <d v="2018-11-14T00:00:00"/>
    <d v="2024-10-31T00:00:00"/>
    <s v="6 Tahun 2 Bulan 16 Hari "/>
    <n v="2178"/>
    <n v="1384"/>
    <n v="22"/>
    <n v="6775"/>
    <n v="307.95454545454544"/>
    <n v="400"/>
    <n v="1"/>
    <n v="5"/>
    <n v="1.2988929889298895"/>
    <n v="0.25977859778597789"/>
    <d v="1952-01-20T21:53:59"/>
    <d v="1962-03-08T12:54:22"/>
    <d v="1899-12-30T00:00:00"/>
    <n v="0"/>
    <n v="0"/>
    <n v="0"/>
    <n v="0"/>
    <n v="0"/>
    <n v="0"/>
    <n v="0"/>
    <d v="1899-12-30T00:43:48"/>
    <n v="1.25"/>
    <n v="5"/>
    <n v="1"/>
    <n v="0.25"/>
    <n v="1"/>
    <n v="1"/>
    <n v="1"/>
    <n v="1"/>
    <n v="0"/>
    <n v="0"/>
    <n v="0"/>
    <n v="0"/>
    <n v="0.8"/>
    <n v="4"/>
    <n v="0.5"/>
    <n v="7.4999999999999997E-2"/>
    <n v="75"/>
    <n v="75"/>
    <n v="80"/>
    <n v="85"/>
    <n v="80"/>
    <n v="0.8"/>
    <n v="395"/>
    <n v="0.98734177215189878"/>
    <n v="0.19746835443037977"/>
    <n v="3.8499999999999996"/>
    <n v="79"/>
    <n v="0.78224695221635765"/>
    <s v="Lebih Dari Cukup"/>
    <s v="Stay"/>
    <s v="Senior engineer"/>
  </r>
  <r>
    <n v="173"/>
    <s v="Afri Yunaldo"/>
    <s v="IDH80069"/>
    <s v="Associate engineer"/>
    <x v="16"/>
    <x v="2"/>
    <s v="IMPACT"/>
    <d v="2023-07-24T00:00:00"/>
    <d v="2024-10-31T00:00:00"/>
    <s v="1 Tahun 6 Bulan 6 Hari "/>
    <n v="465"/>
    <n v="211"/>
    <n v="4"/>
    <n v="1415"/>
    <n v="353.75"/>
    <n v="319"/>
    <n v="0.8"/>
    <n v="4"/>
    <n v="0.90176678445229685"/>
    <n v="0.18035335689045939"/>
    <d v="1904-01-08T11:10:52"/>
    <d v="1899-12-30T02:27:13"/>
    <d v="1899-12-30T01:56:45"/>
    <n v="0"/>
    <n v="1"/>
    <n v="1"/>
    <n v="0.8"/>
    <n v="2"/>
    <n v="0.66666666666666663"/>
    <n v="0.16666666666666666"/>
    <d v="1899-12-30T01:21:58"/>
    <n v="1"/>
    <n v="4"/>
    <n v="0.8"/>
    <n v="0.2"/>
    <n v="1"/>
    <n v="1"/>
    <n v="0"/>
    <n v="0"/>
    <n v="0"/>
    <n v="0"/>
    <n v="0"/>
    <n v="0"/>
    <n v="0.4"/>
    <n v="2"/>
    <n v="0.25"/>
    <n v="3.7499999999999999E-2"/>
    <n v="75"/>
    <n v="75"/>
    <n v="80"/>
    <n v="80"/>
    <n v="80"/>
    <n v="0.8"/>
    <n v="390"/>
    <n v="0.98717948717948723"/>
    <n v="0.19743589743589746"/>
    <n v="3.8"/>
    <n v="78"/>
    <n v="0.78195592099302358"/>
    <s v="Lebih Dari Cukup"/>
    <s v="Stay"/>
    <s v="Associate engineer"/>
  </r>
  <r>
    <n v="174"/>
    <s v="Puri Herdiansyah"/>
    <s v="IDH40074"/>
    <s v="Senior engineer"/>
    <x v="46"/>
    <x v="0"/>
    <s v="GSS"/>
    <d v="2019-06-24T00:00:00"/>
    <d v="2024-10-31T00:00:00"/>
    <s v="5 Tahun 7 Bulan 6 Hari "/>
    <n v="1956"/>
    <n v="313"/>
    <n v="6"/>
    <n v="2164"/>
    <n v="360.66666666666669"/>
    <n v="385"/>
    <n v="1"/>
    <n v="5"/>
    <n v="1.0674676524953788"/>
    <n v="0.21349353049907577"/>
    <d v="1969-09-03T20:40:16"/>
    <d v="2024-08-09T20:33:58"/>
    <d v="1899-12-30T01:47:01"/>
    <n v="0"/>
    <n v="0"/>
    <n v="1"/>
    <n v="0.4"/>
    <n v="1"/>
    <n v="0.33333333333333331"/>
    <n v="8.3333333333333329E-2"/>
    <d v="1899-12-30T00:30:14"/>
    <n v="1.25"/>
    <n v="5"/>
    <n v="1"/>
    <n v="0.25"/>
    <n v="1"/>
    <n v="1"/>
    <n v="0"/>
    <n v="0"/>
    <n v="0"/>
    <n v="0"/>
    <n v="0"/>
    <n v="0"/>
    <n v="0.4"/>
    <n v="2"/>
    <n v="0.25"/>
    <n v="3.7499999999999999E-2"/>
    <n v="75"/>
    <n v="75"/>
    <n v="90"/>
    <n v="80"/>
    <n v="85"/>
    <n v="0.8"/>
    <n v="405"/>
    <n v="0.98765432098765427"/>
    <n v="0.19753086419753085"/>
    <n v="3.8499999999999996"/>
    <n v="81"/>
    <n v="0.78185772802993991"/>
    <s v="Lebih Dari Cukup"/>
    <s v="Stay"/>
    <s v="Senior engineer"/>
  </r>
  <r>
    <n v="175"/>
    <s v="Odik Sulasdika"/>
    <s v="IDH20026"/>
    <s v="Senior engineer"/>
    <x v="22"/>
    <x v="1"/>
    <s v="GSS"/>
    <d v="2017-01-16T00:00:00"/>
    <d v="2024-10-31T00:00:00"/>
    <s v="8 Tahun 0 Bulan 14 Hari "/>
    <n v="2845"/>
    <n v="760"/>
    <n v="13"/>
    <n v="5863"/>
    <n v="451"/>
    <n v="396"/>
    <n v="0.8"/>
    <n v="4"/>
    <n v="0.87804878048780488"/>
    <n v="0.17560975609756099"/>
    <d v="1926-12-30T08:01:15"/>
    <d v="1899-12-30T00:28:43"/>
    <d v="1899-12-30T00:00:00"/>
    <n v="0"/>
    <n v="1"/>
    <n v="0"/>
    <n v="0.4"/>
    <n v="1"/>
    <n v="0.33333333333333331"/>
    <n v="8.3333333333333329E-2"/>
    <d v="1899-12-30T00:42:37"/>
    <n v="1.25"/>
    <n v="5"/>
    <n v="1"/>
    <n v="0.25"/>
    <n v="1"/>
    <n v="1"/>
    <n v="1"/>
    <n v="0"/>
    <n v="0"/>
    <n v="0"/>
    <n v="1"/>
    <n v="0"/>
    <n v="0.8"/>
    <n v="4"/>
    <n v="0.5"/>
    <n v="7.4999999999999997E-2"/>
    <n v="75"/>
    <n v="75"/>
    <n v="90"/>
    <n v="90"/>
    <n v="90"/>
    <n v="0.8"/>
    <n v="420"/>
    <n v="0.98809523809523814"/>
    <n v="0.19761904761904764"/>
    <n v="4.05"/>
    <n v="84"/>
    <n v="0.78156213704994193"/>
    <s v="Lebih Dari Cukup"/>
    <s v="Stay"/>
    <s v="Senior engineer"/>
  </r>
  <r>
    <n v="176"/>
    <s v="Yogi Duta Hartas"/>
    <s v="IDH50020"/>
    <s v="Engineer"/>
    <x v="29"/>
    <x v="2"/>
    <s v="SIPRAMA"/>
    <d v="2020-12-07T00:00:00"/>
    <d v="2024-10-31T00:00:00"/>
    <s v="4 Tahun 1 Bulan 23 Hari "/>
    <n v="1424"/>
    <n v="126"/>
    <n v="3"/>
    <n v="985"/>
    <n v="328.33333333333331"/>
    <n v="366"/>
    <n v="1"/>
    <n v="5"/>
    <n v="1.1147208121827412"/>
    <n v="0.22294416243654824"/>
    <d v="1929-06-06T18:17:06"/>
    <d v="1934-07-14T14:54:02"/>
    <d v="1899-12-30T03:45:04"/>
    <n v="0"/>
    <n v="0"/>
    <n v="1"/>
    <n v="0.4"/>
    <n v="1"/>
    <n v="0.33333333333333331"/>
    <n v="8.3333333333333329E-2"/>
    <d v="1899-12-30T01:39:34"/>
    <n v="1"/>
    <n v="4"/>
    <n v="0.8"/>
    <n v="0.2"/>
    <n v="1"/>
    <n v="1"/>
    <n v="1"/>
    <n v="0"/>
    <n v="0"/>
    <n v="1"/>
    <n v="0"/>
    <n v="0"/>
    <n v="0.8"/>
    <n v="4"/>
    <n v="0.5"/>
    <n v="7.4999999999999997E-2"/>
    <n v="75"/>
    <n v="75"/>
    <n v="85"/>
    <n v="80"/>
    <n v="80"/>
    <n v="0.8"/>
    <n v="395"/>
    <n v="0.98734177215189878"/>
    <n v="0.19746835443037977"/>
    <n v="4"/>
    <n v="79"/>
    <n v="0.77874585020026132"/>
    <s v="Lebih Dari Cukup"/>
    <s v="Stay"/>
    <s v="Engineer"/>
  </r>
  <r>
    <n v="177"/>
    <s v="Achmad Angga Pradana"/>
    <s v="IDH70024"/>
    <s v="Engineer"/>
    <x v="66"/>
    <x v="2"/>
    <s v="SIPRAMA"/>
    <d v="2022-10-03T00:00:00"/>
    <d v="2024-10-31T00:00:00"/>
    <s v="2 Tahun 3 Bulan 27 Hari "/>
    <n v="759"/>
    <n v="62"/>
    <n v="1"/>
    <n v="381"/>
    <n v="381"/>
    <n v="364"/>
    <n v="0.8"/>
    <n v="4"/>
    <n v="0.95538057742782156"/>
    <n v="0.19107611548556433"/>
    <d v="1920-10-01T21:42:46"/>
    <d v="1899-12-30T00:00:00"/>
    <d v="1913-04-23T12:41:48"/>
    <n v="0"/>
    <n v="0"/>
    <n v="1"/>
    <n v="0.4"/>
    <n v="1"/>
    <n v="0.33333333333333331"/>
    <n v="8.3333333333333329E-2"/>
    <d v="1899-12-30T00:59:04"/>
    <n v="1.25"/>
    <n v="5"/>
    <n v="1"/>
    <n v="0.25"/>
    <n v="1"/>
    <n v="1"/>
    <n v="0"/>
    <n v="0"/>
    <n v="0"/>
    <n v="0"/>
    <n v="0"/>
    <n v="1"/>
    <n v="0.6"/>
    <n v="3"/>
    <n v="0.375"/>
    <n v="5.6249999999999994E-2"/>
    <n v="75"/>
    <n v="75"/>
    <n v="75"/>
    <n v="85"/>
    <n v="80"/>
    <n v="0.8"/>
    <n v="390"/>
    <n v="0.98717948717948723"/>
    <n v="0.19743589743589746"/>
    <n v="3.8500000000000005"/>
    <n v="78"/>
    <n v="0.77809534625479526"/>
    <s v="Lebih Dari Cukup"/>
    <s v="Stay"/>
    <s v="Engineer"/>
  </r>
  <r>
    <n v="178"/>
    <s v="Ridho Dwi Prakoso"/>
    <s v="IDH70019"/>
    <s v="Associate engineer"/>
    <x v="34"/>
    <x v="2"/>
    <s v="SIPRAMA"/>
    <d v="2022-10-03T00:00:00"/>
    <d v="2024-10-31T00:00:00"/>
    <s v="2 Tahun 3 Bulan 27 Hari "/>
    <n v="759"/>
    <n v="684"/>
    <n v="10"/>
    <n v="4972"/>
    <n v="497.2"/>
    <n v="437"/>
    <n v="0.8"/>
    <n v="4"/>
    <n v="0.87892196299275949"/>
    <n v="0.17578439259855191"/>
    <d v="1902-10-07T20:25:27"/>
    <d v="1899-12-30T00:00:12"/>
    <d v="1899-12-30T00:00:03"/>
    <n v="0"/>
    <n v="1"/>
    <n v="1"/>
    <n v="0.8"/>
    <n v="2"/>
    <n v="0.66666666666666663"/>
    <n v="0.16666666666666666"/>
    <d v="1899-12-30T01:58:34"/>
    <n v="1"/>
    <n v="4"/>
    <n v="0.8"/>
    <n v="0.2"/>
    <n v="1"/>
    <n v="1"/>
    <n v="0"/>
    <n v="0"/>
    <n v="0"/>
    <n v="0"/>
    <n v="0"/>
    <n v="0"/>
    <n v="0.4"/>
    <n v="2"/>
    <n v="0.25"/>
    <n v="3.7499999999999999E-2"/>
    <n v="75"/>
    <n v="75"/>
    <n v="80"/>
    <n v="80"/>
    <n v="80"/>
    <n v="0.8"/>
    <n v="390"/>
    <n v="0.98717948717948723"/>
    <n v="0.19743589743589746"/>
    <n v="3.8"/>
    <n v="78"/>
    <n v="0.77738695670111602"/>
    <s v="Lebih Dari Cukup"/>
    <s v="Stay"/>
    <s v="Associate engineer"/>
  </r>
  <r>
    <n v="179"/>
    <s v="Azkoni Gumlaya"/>
    <s v="IDH90057"/>
    <s v="Associate engineer"/>
    <x v="67"/>
    <x v="2"/>
    <s v="GSS"/>
    <d v="2024-01-01T00:00:00"/>
    <d v="2024-10-31T00:00:00"/>
    <s v="1 Tahun 0 Bulan 29 Hari "/>
    <n v="304"/>
    <n v="54"/>
    <n v="2"/>
    <n v="546"/>
    <n v="273"/>
    <n v="214"/>
    <n v="0.6"/>
    <n v="3"/>
    <n v="0.78388278388278387"/>
    <n v="0.15677655677655677"/>
    <d v="1904-04-15T17:09:29"/>
    <d v="1899-12-30T02:27:04"/>
    <d v="1899-12-30T02:00:14"/>
    <n v="0"/>
    <n v="1"/>
    <n v="1"/>
    <n v="0.8"/>
    <n v="2"/>
    <n v="0.66666666666666663"/>
    <n v="0.16666666666666666"/>
    <d v="1899-12-30T01:15:01"/>
    <n v="1"/>
    <n v="4"/>
    <n v="0.8"/>
    <n v="0.2"/>
    <n v="1"/>
    <n v="1"/>
    <n v="0"/>
    <n v="0"/>
    <n v="0"/>
    <n v="0"/>
    <n v="0"/>
    <n v="1"/>
    <n v="0.6"/>
    <n v="3"/>
    <n v="0.375"/>
    <n v="5.6249999999999994E-2"/>
    <n v="75"/>
    <n v="75"/>
    <n v="75"/>
    <n v="85"/>
    <n v="85"/>
    <n v="0.8"/>
    <n v="395"/>
    <n v="0.98734177215189878"/>
    <n v="0.19746835443037977"/>
    <n v="3.8"/>
    <n v="79"/>
    <n v="0.77716157787360318"/>
    <s v="New CE"/>
    <s v="Stay"/>
    <s v="Associate engineer"/>
  </r>
  <r>
    <n v="180"/>
    <s v="Rahmat Hidayatullah"/>
    <s v="IDH40127"/>
    <s v="Engineer"/>
    <x v="3"/>
    <x v="0"/>
    <s v="GSS"/>
    <d v="2021-04-05T00:00:00"/>
    <d v="2024-10-31T00:00:00"/>
    <s v="3 Tahun 9 Bulan 25 Hari "/>
    <n v="1305"/>
    <n v="313"/>
    <n v="6"/>
    <n v="2164"/>
    <n v="360.66666666666669"/>
    <n v="307"/>
    <n v="0.8"/>
    <n v="4"/>
    <n v="0.8512014787430684"/>
    <n v="0.17024029574861368"/>
    <d v="1921-12-30T00:12:03"/>
    <d v="1899-12-30T01:37:33"/>
    <d v="1899-12-30T00:00:00"/>
    <n v="0"/>
    <n v="1"/>
    <n v="0"/>
    <n v="0.4"/>
    <n v="1"/>
    <n v="0.33333333333333331"/>
    <n v="8.3333333333333329E-2"/>
    <d v="1899-12-30T00:48:27"/>
    <n v="1.25"/>
    <n v="5"/>
    <n v="1"/>
    <n v="0.25"/>
    <n v="1"/>
    <n v="1"/>
    <n v="1"/>
    <n v="0"/>
    <n v="0"/>
    <n v="1"/>
    <n v="0"/>
    <n v="0"/>
    <n v="0.8"/>
    <n v="4"/>
    <n v="0.5"/>
    <n v="7.4999999999999997E-2"/>
    <n v="75"/>
    <n v="75"/>
    <n v="85"/>
    <n v="85"/>
    <n v="85"/>
    <n v="0.8"/>
    <n v="405"/>
    <n v="0.98765432098765427"/>
    <n v="0.19753086419753085"/>
    <n v="4.05"/>
    <n v="81"/>
    <n v="0.77610449327947784"/>
    <s v="Lebih Dari Cukup"/>
    <s v="Stay"/>
    <s v="Engineer"/>
  </r>
  <r>
    <n v="181"/>
    <s v="I Gde Wahyu Aditya Dharma"/>
    <s v="IDH70056"/>
    <s v="Associate engineer"/>
    <x v="17"/>
    <x v="2"/>
    <s v="SIPRAMA"/>
    <d v="2022-11-17T00:00:00"/>
    <d v="2024-10-31T00:00:00"/>
    <s v="2 Tahun 2 Bulan 13 Hari "/>
    <n v="714"/>
    <n v="612"/>
    <n v="11"/>
    <n v="5254"/>
    <n v="477.63636363636363"/>
    <n v="372"/>
    <n v="0.6"/>
    <n v="3"/>
    <n v="0.77883517320137041"/>
    <n v="0.15576703464027408"/>
    <d v="1899-12-30T09:18:00"/>
    <d v="1899-12-30T00:33:09"/>
    <d v="1899-12-30T00:00:00"/>
    <n v="1"/>
    <n v="1"/>
    <n v="0"/>
    <n v="0.8"/>
    <n v="2"/>
    <n v="0.66666666666666663"/>
    <n v="0.16666666666666666"/>
    <d v="1899-12-30T01:31:40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80"/>
    <n v="75"/>
    <n v="75"/>
    <n v="0.8"/>
    <n v="380"/>
    <n v="0.98684210526315785"/>
    <n v="0.19736842105263158"/>
    <n v="3.8"/>
    <n v="76"/>
    <n v="0.77605212235957222"/>
    <s v="Lebih Dari Cukup"/>
    <s v="Stay"/>
    <s v="Associate engineer"/>
  </r>
  <r>
    <n v="182"/>
    <s v="Muhammad Oktanto D"/>
    <s v="IDH40053"/>
    <s v="Senior engineer"/>
    <x v="51"/>
    <x v="2"/>
    <s v="IMPACT"/>
    <d v="2018-11-14T00:00:00"/>
    <d v="2024-10-31T00:00:00"/>
    <s v="6 Tahun 2 Bulan 16 Hari "/>
    <n v="2178"/>
    <n v="295"/>
    <n v="5"/>
    <n v="2105"/>
    <n v="421"/>
    <n v="357"/>
    <n v="0.8"/>
    <n v="4"/>
    <n v="0.84798099762470314"/>
    <n v="0.16959619952494065"/>
    <d v="1955-08-03T17:19:55"/>
    <d v="2024-06-28T21:15:38"/>
    <d v="1974-08-23T08:02:22"/>
    <n v="0"/>
    <n v="0"/>
    <n v="1"/>
    <n v="0.4"/>
    <n v="1"/>
    <n v="0.33333333333333331"/>
    <n v="8.3333333333333329E-2"/>
    <d v="1899-12-30T00:34:04"/>
    <n v="1.25"/>
    <n v="5"/>
    <n v="1"/>
    <n v="0.25"/>
    <n v="1"/>
    <n v="1"/>
    <n v="1"/>
    <n v="0"/>
    <n v="1"/>
    <n v="0"/>
    <n v="0"/>
    <n v="0"/>
    <n v="0.8"/>
    <n v="4"/>
    <n v="0.5"/>
    <n v="7.4999999999999997E-2"/>
    <n v="75"/>
    <n v="75"/>
    <n v="85"/>
    <n v="85"/>
    <n v="85"/>
    <n v="0.8"/>
    <n v="405"/>
    <n v="0.98765432098765427"/>
    <n v="0.19753086419753085"/>
    <n v="4.05"/>
    <n v="81"/>
    <n v="0.77546039705580472"/>
    <s v="Lebih Dari Cukup"/>
    <s v="Stay"/>
    <s v="Senior engineer"/>
  </r>
  <r>
    <n v="183"/>
    <s v="Irshad Primambudi"/>
    <s v="IDH70063"/>
    <s v="Engineer"/>
    <x v="63"/>
    <x v="0"/>
    <s v="SIPRAMA"/>
    <d v="2022-11-17T00:00:00"/>
    <d v="2024-10-31T00:00:00"/>
    <s v="2 Tahun 2 Bulan 13 Hari "/>
    <n v="714"/>
    <n v="305"/>
    <n v="6"/>
    <n v="2018"/>
    <n v="336.33333333333331"/>
    <n v="337"/>
    <n v="1"/>
    <n v="5"/>
    <n v="1.001982160555005"/>
    <n v="0.200396432111001"/>
    <d v="1907-10-03T18:35:16"/>
    <d v="1899-12-30T00:58:26"/>
    <d v="1899-12-30T00:00:00"/>
    <n v="0"/>
    <n v="1"/>
    <n v="0"/>
    <n v="0.4"/>
    <n v="1"/>
    <n v="0.33333333333333331"/>
    <n v="8.3333333333333329E-2"/>
    <d v="1899-12-30T01:10:55"/>
    <n v="1"/>
    <n v="4"/>
    <n v="0.8"/>
    <n v="0.2"/>
    <n v="1"/>
    <n v="1"/>
    <n v="1"/>
    <n v="0"/>
    <n v="0"/>
    <n v="1"/>
    <n v="0"/>
    <n v="1"/>
    <n v="1"/>
    <n v="5"/>
    <n v="0.625"/>
    <n v="9.375E-2"/>
    <n v="75"/>
    <n v="75"/>
    <n v="80"/>
    <n v="85"/>
    <n v="85"/>
    <n v="0.8"/>
    <n v="400"/>
    <n v="0.98750000000000004"/>
    <n v="0.19750000000000001"/>
    <n v="4.2"/>
    <n v="80"/>
    <n v="0.77497976544433433"/>
    <s v="Lebih Dari Cukup"/>
    <s v="Stay"/>
    <s v="Engineer"/>
  </r>
  <r>
    <n v="184"/>
    <s v="Syafrudin"/>
    <s v="IDH30039"/>
    <s v="Engineer"/>
    <x v="16"/>
    <x v="2"/>
    <s v="IMPACT"/>
    <d v="2019-02-18T00:00:00"/>
    <d v="2024-10-31T00:00:00"/>
    <s v="5 Tahun 11 Bulan 12 Hari "/>
    <n v="2082"/>
    <n v="211"/>
    <n v="4"/>
    <n v="1415"/>
    <n v="353.75"/>
    <n v="331"/>
    <n v="0.8"/>
    <n v="4"/>
    <n v="0.93568904593639579"/>
    <n v="0.18713780918727918"/>
    <d v="1962-03-19T00:57:22"/>
    <d v="1946-09-02T19:00:58"/>
    <d v="1909-08-03T18:32:39"/>
    <n v="0"/>
    <n v="0"/>
    <n v="1"/>
    <n v="0.4"/>
    <n v="1"/>
    <n v="0.33333333333333331"/>
    <n v="8.3333333333333329E-2"/>
    <d v="1899-12-30T00:29:28"/>
    <n v="1.25"/>
    <n v="5"/>
    <n v="1"/>
    <n v="0.25"/>
    <n v="1"/>
    <n v="1"/>
    <n v="1"/>
    <n v="0"/>
    <n v="0"/>
    <n v="0"/>
    <n v="0"/>
    <n v="0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3.8500000000000005"/>
    <n v="78"/>
    <n v="0.77415703995651008"/>
    <s v="Lebih Dari Cukup"/>
    <s v="Stay"/>
    <s v="Engineer"/>
  </r>
  <r>
    <n v="185"/>
    <s v="Adi Wicaksono"/>
    <s v="IDH90052"/>
    <s v="Associate engineer"/>
    <x v="23"/>
    <x v="0"/>
    <s v="GSS"/>
    <d v="2023-11-13T00:00:00"/>
    <d v="2024-10-31T00:00:00"/>
    <s v="1 Tahun 2 Bulan 17 Hari "/>
    <n v="353"/>
    <n v="305"/>
    <n v="6"/>
    <n v="2074"/>
    <n v="345.66666666666669"/>
    <n v="370"/>
    <n v="1"/>
    <n v="5"/>
    <n v="1.0703953712632595"/>
    <n v="0.21407907425265191"/>
    <d v="1908-10-13T05:47:42"/>
    <d v="1941-06-26T14:24:54"/>
    <d v="1899-12-30T00:00:00"/>
    <n v="0"/>
    <n v="0"/>
    <n v="0"/>
    <n v="0"/>
    <n v="0"/>
    <n v="0"/>
    <n v="0"/>
    <d v="1899-12-30T00:38:59"/>
    <n v="1.25"/>
    <n v="5"/>
    <n v="1"/>
    <n v="0.25"/>
    <n v="1"/>
    <n v="1"/>
    <n v="1"/>
    <n v="0"/>
    <n v="1"/>
    <n v="1"/>
    <n v="0"/>
    <n v="1"/>
    <n v="1"/>
    <n v="6"/>
    <n v="0.75"/>
    <n v="0.11249999999999999"/>
    <n v="75"/>
    <n v="75"/>
    <n v="80"/>
    <n v="80"/>
    <n v="80"/>
    <n v="0.8"/>
    <n v="390"/>
    <n v="0.98717948717948723"/>
    <n v="0.19743589743589746"/>
    <n v="4.05"/>
    <n v="78"/>
    <n v="0.77401497168854938"/>
    <s v="New CE"/>
    <s v="Stay"/>
    <s v="Associate engineer"/>
  </r>
  <r>
    <n v="186"/>
    <s v="Agung Mega Nanda"/>
    <s v="IDH70114"/>
    <s v="Associate engineer"/>
    <x v="0"/>
    <x v="0"/>
    <s v="SIPRAMA"/>
    <d v="2024-05-01T00:00:00"/>
    <d v="2024-10-31T00:00:00"/>
    <s v="0 Tahun 8 Bulan 29 Hari "/>
    <n v="183"/>
    <n v="1384"/>
    <n v="22"/>
    <n v="6775"/>
    <n v="307.95454545454544"/>
    <n v="333"/>
    <n v="1"/>
    <n v="5"/>
    <n v="1.081328413284133"/>
    <n v="0.21626568265682661"/>
    <d v="1915-02-03T19:07:23"/>
    <d v="1910-05-15T15:39:09"/>
    <d v="1899-12-30T00:32:45"/>
    <n v="0"/>
    <n v="0"/>
    <n v="1"/>
    <n v="0.4"/>
    <n v="1"/>
    <n v="0.33333333333333331"/>
    <n v="8.3333333333333329E-2"/>
    <d v="1899-12-30T01:13:54"/>
    <n v="1"/>
    <n v="4"/>
    <n v="0.8"/>
    <n v="0.2"/>
    <n v="1"/>
    <n v="1"/>
    <n v="1"/>
    <n v="0"/>
    <n v="0"/>
    <n v="0"/>
    <n v="0"/>
    <n v="1"/>
    <n v="0.8"/>
    <n v="4"/>
    <n v="0.5"/>
    <n v="7.4999999999999997E-2"/>
    <n v="75"/>
    <n v="75"/>
    <n v="80"/>
    <n v="75"/>
    <n v="80"/>
    <n v="0.8"/>
    <n v="385"/>
    <n v="0.98701298701298701"/>
    <n v="0.19740259740259741"/>
    <n v="4"/>
    <n v="77"/>
    <n v="0.77200161339275741"/>
    <s v="New CE"/>
    <s v="Stay"/>
    <s v="Associate engineer"/>
  </r>
  <r>
    <n v="187"/>
    <s v="Yudha Satria Guntoro"/>
    <s v="IDH60032"/>
    <s v="Engineer"/>
    <x v="9"/>
    <x v="2"/>
    <s v="CITIUS"/>
    <d v="2021-11-02T00:00:00"/>
    <d v="2024-10-31T00:00:00"/>
    <s v="3 Tahun 2 Bulan 28 Hari "/>
    <n v="1094"/>
    <n v="448"/>
    <n v="7"/>
    <n v="2614"/>
    <n v="373.42857142857144"/>
    <n v="360"/>
    <n v="0.8"/>
    <n v="4"/>
    <n v="0.96403978576893645"/>
    <n v="0.19280795715378729"/>
    <d v="1910-12-13T18:02:50"/>
    <d v="1899-12-30T00:00:00"/>
    <d v="1899-12-30T00:00:00"/>
    <n v="0"/>
    <n v="0"/>
    <n v="0"/>
    <n v="0"/>
    <n v="0"/>
    <n v="0"/>
    <n v="0"/>
    <d v="1899-12-30T00:53:01"/>
    <n v="1.25"/>
    <n v="5"/>
    <n v="1"/>
    <n v="0.25"/>
    <n v="1"/>
    <n v="1"/>
    <n v="1"/>
    <n v="1"/>
    <n v="1"/>
    <n v="1"/>
    <n v="0"/>
    <n v="1"/>
    <n v="1"/>
    <n v="7"/>
    <n v="0.875"/>
    <n v="0.13125000000000001"/>
    <n v="75"/>
    <n v="75"/>
    <n v="80"/>
    <n v="80"/>
    <n v="80"/>
    <n v="0.8"/>
    <n v="390"/>
    <n v="0.98717948717948723"/>
    <n v="0.19743589743589746"/>
    <n v="3.8499999999999996"/>
    <n v="78"/>
    <n v="0.77149385458968478"/>
    <s v="Lebih Dari Cukup"/>
    <s v="Stay"/>
    <s v="Engineer"/>
  </r>
  <r>
    <n v="188"/>
    <s v="Zihni Zein"/>
    <s v="IDH40120"/>
    <s v="Associate engineer"/>
    <x v="1"/>
    <x v="1"/>
    <s v="SIPRAMA"/>
    <d v="2021-04-05T00:00:00"/>
    <d v="2024-10-31T00:00:00"/>
    <s v="3 Tahun 9 Bulan 25 Hari "/>
    <n v="1305"/>
    <n v="893"/>
    <n v="14"/>
    <n v="6172"/>
    <n v="440.85714285714283"/>
    <n v="614"/>
    <n v="1"/>
    <n v="5"/>
    <n v="1.3927414128321451"/>
    <n v="0.27854828256642905"/>
    <d v="1986-10-02T16:07:01"/>
    <d v="1899-12-30T00:00:00"/>
    <d v="1899-12-30T00:00:00"/>
    <n v="0"/>
    <n v="0"/>
    <n v="0"/>
    <n v="0"/>
    <n v="0"/>
    <n v="0"/>
    <n v="0"/>
    <d v="1899-12-30T00:57:37"/>
    <n v="1"/>
    <n v="4"/>
    <n v="0.8"/>
    <n v="0.2"/>
    <n v="1"/>
    <n v="1"/>
    <n v="1"/>
    <n v="0"/>
    <n v="0"/>
    <n v="1"/>
    <n v="0"/>
    <n v="1"/>
    <n v="1"/>
    <n v="5"/>
    <n v="0.625"/>
    <n v="9.375E-2"/>
    <n v="75"/>
    <n v="75"/>
    <n v="90"/>
    <n v="85"/>
    <n v="80"/>
    <n v="0.8"/>
    <n v="405"/>
    <n v="0.98765432098765427"/>
    <n v="0.19753086419753085"/>
    <n v="3.8"/>
    <n v="81"/>
    <n v="0.76982914676395997"/>
    <s v="Lebih Dari Cukup"/>
    <s v="Stay"/>
    <s v="Associate engineer"/>
  </r>
  <r>
    <n v="189"/>
    <s v="Irfan Ramadhan"/>
    <s v="IDH80056"/>
    <s v="Associate engineer"/>
    <x v="11"/>
    <x v="1"/>
    <s v="IMPACT"/>
    <d v="2023-05-29T00:00:00"/>
    <d v="2024-10-31T00:00:00"/>
    <s v="1 Tahun 8 Bulan 1 Hari "/>
    <n v="521"/>
    <n v="897"/>
    <n v="13"/>
    <n v="6212"/>
    <n v="477.84615384615387"/>
    <n v="351"/>
    <n v="0.6"/>
    <n v="3"/>
    <n v="0.73454603992273015"/>
    <n v="0.14690920798454604"/>
    <d v="1899-12-30T00:23:16"/>
    <d v="1899-12-30T00:36:02"/>
    <d v="1899-12-30T00:00:00"/>
    <n v="1"/>
    <n v="1"/>
    <n v="0"/>
    <n v="0.8"/>
    <n v="2"/>
    <n v="0.66666666666666663"/>
    <n v="0.16666666666666666"/>
    <d v="1899-12-30T01:15:44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90"/>
    <n v="85"/>
    <n v="80"/>
    <n v="0.8"/>
    <n v="405"/>
    <n v="0.98765432098765427"/>
    <n v="0.19753086419753085"/>
    <n v="3.8"/>
    <n v="81"/>
    <n v="0.76735673884874356"/>
    <s v="Lebih Dari Cukup"/>
    <s v="Stay"/>
    <s v="Associate engineer"/>
  </r>
  <r>
    <n v="190"/>
    <s v="Giri Dwi Prasetya"/>
    <s v="IDH80065"/>
    <s v="Associate engineer"/>
    <x v="33"/>
    <x v="0"/>
    <s v="IMPACT"/>
    <d v="2023-07-24T00:00:00"/>
    <d v="2024-10-31T00:00:00"/>
    <s v="1 Tahun 6 Bulan 6 Hari "/>
    <n v="465"/>
    <n v="304"/>
    <n v="5"/>
    <n v="2111"/>
    <n v="422.2"/>
    <n v="406"/>
    <n v="0.8"/>
    <n v="4"/>
    <n v="0.96162955945049744"/>
    <n v="0.19232591189009951"/>
    <d v="1913-03-11T17:24:02"/>
    <d v="1899-12-30T02:34:15"/>
    <d v="1899-12-30T00:00:00"/>
    <n v="0"/>
    <n v="1"/>
    <n v="0"/>
    <n v="0.4"/>
    <n v="1"/>
    <n v="0.33333333333333331"/>
    <n v="8.3333333333333329E-2"/>
    <d v="1899-12-30T01:47:20"/>
    <n v="1"/>
    <n v="4"/>
    <n v="0.8"/>
    <n v="0.2"/>
    <n v="1"/>
    <n v="1"/>
    <n v="1"/>
    <n v="0"/>
    <n v="1"/>
    <n v="1"/>
    <n v="0"/>
    <n v="0"/>
    <n v="1"/>
    <n v="5"/>
    <n v="0.625"/>
    <n v="9.375E-2"/>
    <n v="75"/>
    <n v="75"/>
    <n v="80"/>
    <n v="80"/>
    <n v="80"/>
    <n v="0.8"/>
    <n v="390"/>
    <n v="0.98717948717948723"/>
    <n v="0.19743589743589746"/>
    <n v="4"/>
    <n v="78"/>
    <n v="0.76684514265933035"/>
    <s v="Lebih Dari Cukup"/>
    <s v="Stay"/>
    <s v="Associate engineer"/>
  </r>
  <r>
    <n v="191"/>
    <s v="Wahyu Dwi Vebyannto"/>
    <s v="IDH10015"/>
    <s v="Associate engineer"/>
    <x v="20"/>
    <x v="0"/>
    <s v="KINARYA"/>
    <d v="2024-03-01T00:00:00"/>
    <d v="2024-10-31T00:00:00"/>
    <s v="0 Tahun 10 Bulan 29 Hari "/>
    <n v="244"/>
    <n v="213"/>
    <n v="3"/>
    <n v="1330"/>
    <n v="443.33333333333331"/>
    <n v="207"/>
    <n v="0.4"/>
    <n v="2"/>
    <n v="0.46691729323308273"/>
    <n v="9.3383458646616554E-2"/>
    <d v="1899-12-30T00:30:16"/>
    <d v="1899-12-30T00:19:22"/>
    <d v="1899-12-30T00:15:32"/>
    <n v="1"/>
    <n v="1"/>
    <n v="1"/>
    <n v="1.25"/>
    <n v="3"/>
    <n v="1"/>
    <n v="0.25"/>
    <d v="1899-12-30T02:02:05"/>
    <n v="0.75"/>
    <n v="3"/>
    <n v="0.6"/>
    <n v="0.15"/>
    <n v="1"/>
    <n v="1"/>
    <n v="1"/>
    <n v="0"/>
    <n v="1"/>
    <n v="0"/>
    <n v="0"/>
    <n v="0"/>
    <n v="0.8"/>
    <n v="4"/>
    <n v="0.5"/>
    <n v="7.4999999999999997E-2"/>
    <n v="75"/>
    <n v="75"/>
    <n v="80"/>
    <n v="80"/>
    <n v="80"/>
    <n v="0.8"/>
    <n v="390"/>
    <n v="0.98717948717948723"/>
    <n v="0.19743589743589746"/>
    <n v="4"/>
    <n v="78"/>
    <n v="0.76581935608251395"/>
    <s v="New CE"/>
    <s v="Stay"/>
    <s v="Associate engineer"/>
  </r>
  <r>
    <n v="192"/>
    <s v="Rizki Pratama"/>
    <s v="IDH80022"/>
    <s v="Associate engineer"/>
    <x v="46"/>
    <x v="0"/>
    <s v="IMPACT"/>
    <d v="2023-02-09T00:00:00"/>
    <d v="2024-10-31T00:00:00"/>
    <s v="1 Tahun 11 Bulan 21 Hari "/>
    <n v="630"/>
    <n v="313"/>
    <n v="6"/>
    <n v="2164"/>
    <n v="360.66666666666669"/>
    <n v="446"/>
    <n v="1"/>
    <n v="5"/>
    <n v="1.2365988909426986"/>
    <n v="0.24731977818853973"/>
    <d v="1913-02-05T09:13:38"/>
    <d v="1899-12-30T02:15:14"/>
    <d v="1899-12-30T00:00:00"/>
    <n v="0"/>
    <n v="1"/>
    <n v="0"/>
    <n v="0.4"/>
    <n v="1"/>
    <n v="0.33333333333333331"/>
    <n v="8.3333333333333329E-2"/>
    <d v="1899-12-30T01:22:14"/>
    <n v="1"/>
    <n v="4"/>
    <n v="0.8"/>
    <n v="0.2"/>
    <n v="1"/>
    <n v="1"/>
    <n v="0"/>
    <n v="0"/>
    <n v="0"/>
    <n v="0"/>
    <n v="0"/>
    <n v="0"/>
    <n v="0.4"/>
    <n v="2"/>
    <n v="0.25"/>
    <n v="3.7499999999999999E-2"/>
    <n v="75"/>
    <n v="75"/>
    <n v="80"/>
    <n v="85"/>
    <n v="85"/>
    <n v="0.8"/>
    <n v="400"/>
    <n v="0.98750000000000004"/>
    <n v="0.19750000000000001"/>
    <n v="3.5999999999999996"/>
    <n v="80"/>
    <n v="0.7656531115218731"/>
    <s v="Lebih Dari Cukup"/>
    <s v="Stay"/>
    <s v="Associate engineer"/>
  </r>
  <r>
    <n v="193"/>
    <s v="William Oka Pratama"/>
    <s v="IDH50016"/>
    <s v="Engineer"/>
    <x v="65"/>
    <x v="0"/>
    <s v="SIPRAMA"/>
    <d v="2020-12-07T00:00:00"/>
    <d v="2024-10-31T00:00:00"/>
    <s v="4 Tahun 1 Bulan 23 Hari "/>
    <n v="1424"/>
    <n v="104"/>
    <n v="2"/>
    <n v="763"/>
    <n v="381.5"/>
    <n v="360"/>
    <n v="0.8"/>
    <n v="4"/>
    <n v="0.94364351245085187"/>
    <n v="0.18872870249017037"/>
    <d v="1910-12-28T19:52:10"/>
    <d v="1899-12-30T00:00:00"/>
    <d v="1899-12-30T00:00:06"/>
    <n v="0"/>
    <n v="0"/>
    <n v="1"/>
    <n v="0.4"/>
    <n v="1"/>
    <n v="0.33333333333333331"/>
    <n v="8.3333333333333329E-2"/>
    <d v="1899-12-30T01:33:20"/>
    <n v="1"/>
    <n v="4"/>
    <n v="0.8"/>
    <n v="0.2"/>
    <n v="1"/>
    <n v="1"/>
    <n v="1"/>
    <n v="0"/>
    <n v="0"/>
    <n v="1"/>
    <n v="0"/>
    <n v="1"/>
    <n v="1"/>
    <n v="5"/>
    <n v="0.625"/>
    <n v="9.375E-2"/>
    <n v="75"/>
    <n v="75"/>
    <n v="90"/>
    <n v="90"/>
    <n v="90"/>
    <n v="0.8"/>
    <n v="420"/>
    <n v="0.98809523809523814"/>
    <n v="0.19761904761904764"/>
    <n v="4"/>
    <n v="84"/>
    <n v="0.76343108344255128"/>
    <s v="Lebih Dari Cukup"/>
    <s v="Stay"/>
    <s v="Engineer"/>
  </r>
  <r>
    <n v="194"/>
    <s v="M Dicky Syahputra"/>
    <s v="IDH80125"/>
    <s v="Associate engineer"/>
    <x v="18"/>
    <x v="2"/>
    <s v="IMPACT"/>
    <d v="2023-11-13T00:00:00"/>
    <d v="2024-10-31T00:00:00"/>
    <s v="1 Tahun 2 Bulan 17 Hari "/>
    <n v="353"/>
    <n v="401"/>
    <n v="7"/>
    <n v="2754"/>
    <n v="393.42857142857144"/>
    <n v="415"/>
    <n v="1"/>
    <n v="5"/>
    <n v="1.0548293391430645"/>
    <n v="0.21096586782861293"/>
    <d v="1906-03-24T16:19:54"/>
    <d v="1899-12-30T00:56:20"/>
    <d v="1905-03-04T14:31:37"/>
    <n v="0"/>
    <n v="1"/>
    <n v="1"/>
    <n v="0.8"/>
    <n v="2"/>
    <n v="0.66666666666666663"/>
    <n v="0.16666666666666666"/>
    <d v="1899-12-30T02:23:37"/>
    <n v="0.75"/>
    <n v="3"/>
    <n v="0.6"/>
    <n v="0.15"/>
    <n v="1"/>
    <n v="1"/>
    <n v="0"/>
    <n v="0"/>
    <n v="0"/>
    <n v="0"/>
    <n v="0"/>
    <n v="0"/>
    <n v="0.4"/>
    <n v="2"/>
    <n v="0.25"/>
    <n v="3.7499999999999999E-2"/>
    <n v="75"/>
    <n v="75"/>
    <n v="80"/>
    <n v="80"/>
    <n v="80"/>
    <n v="0.8"/>
    <n v="390"/>
    <n v="0.98717948717948723"/>
    <n v="0.19743589743589746"/>
    <n v="3.75"/>
    <n v="78"/>
    <n v="0.76256843193117696"/>
    <s v="New CE"/>
    <s v="Stay"/>
    <s v="Associate engineer"/>
  </r>
  <r>
    <n v="195"/>
    <s v="Dimas Anda Pratama"/>
    <s v="IDH60010"/>
    <s v="Engineer"/>
    <x v="40"/>
    <x v="2"/>
    <s v="CITIUS"/>
    <d v="2021-08-23T00:00:00"/>
    <d v="2024-10-31T00:00:00"/>
    <s v="3 Tahun 5 Bulan 7 Hari "/>
    <n v="1165"/>
    <n v="426"/>
    <n v="6"/>
    <n v="3000"/>
    <n v="500"/>
    <n v="469"/>
    <n v="0.8"/>
    <n v="4"/>
    <n v="0.93799999999999994"/>
    <n v="0.18759999999999999"/>
    <d v="1924-08-19T02:47:38"/>
    <d v="1922-07-30T20:17:13"/>
    <d v="1911-04-19T08:25:15"/>
    <n v="0"/>
    <n v="0"/>
    <n v="1"/>
    <n v="0.4"/>
    <n v="1"/>
    <n v="0.33333333333333331"/>
    <n v="8.3333333333333329E-2"/>
    <d v="1899-12-30T01:31:13"/>
    <n v="1"/>
    <n v="4"/>
    <n v="0.8"/>
    <n v="0.2"/>
    <n v="1"/>
    <n v="1"/>
    <n v="1"/>
    <n v="0"/>
    <n v="0"/>
    <n v="1"/>
    <n v="0"/>
    <n v="1"/>
    <n v="1"/>
    <n v="5"/>
    <n v="0.625"/>
    <n v="9.375E-2"/>
    <n v="75"/>
    <n v="75"/>
    <n v="80"/>
    <n v="85"/>
    <n v="80"/>
    <n v="0.8"/>
    <n v="395"/>
    <n v="0.98734177215189878"/>
    <n v="0.19746835443037977"/>
    <n v="4"/>
    <n v="79"/>
    <n v="0.76215168776371311"/>
    <s v="Lebih Dari Cukup"/>
    <s v="Stay"/>
    <s v="Engineer"/>
  </r>
  <r>
    <n v="196"/>
    <s v="Fakhri Rahmatullah"/>
    <s v="IDH80042"/>
    <s v="Associate engineer"/>
    <x v="12"/>
    <x v="1"/>
    <s v="IMPACT"/>
    <d v="2023-02-09T00:00:00"/>
    <d v="2024-10-31T00:00:00"/>
    <s v="1 Tahun 11 Bulan 21 Hari "/>
    <n v="630"/>
    <n v="1040"/>
    <n v="17"/>
    <n v="7455"/>
    <n v="438.52941176470586"/>
    <n v="491"/>
    <n v="1"/>
    <n v="5"/>
    <n v="1.1196512407780015"/>
    <n v="0.22393024815560031"/>
    <d v="1899-12-30T00:17:22"/>
    <d v="1899-12-30T00:00:00"/>
    <d v="1899-12-30T00:00:00"/>
    <n v="1"/>
    <n v="0"/>
    <n v="0"/>
    <n v="0.4"/>
    <n v="1"/>
    <n v="0.33333333333333331"/>
    <n v="8.3333333333333329E-2"/>
    <d v="1899-12-30T01:30:32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90"/>
    <n v="85"/>
    <n v="80"/>
    <n v="0.8"/>
    <n v="405"/>
    <n v="0.98765432098765427"/>
    <n v="0.19753086419753085"/>
    <n v="3.8"/>
    <n v="81"/>
    <n v="0.76104444568646457"/>
    <s v="Lebih Dari Cukup"/>
    <s v="Stay"/>
    <s v="Associate engineer"/>
  </r>
  <r>
    <n v="197"/>
    <s v="Roby Kurniawan"/>
    <s v="IDH60008"/>
    <s v="Engineer"/>
    <x v="68"/>
    <x v="2"/>
    <s v="CITIUS"/>
    <d v="2021-08-23T00:00:00"/>
    <d v="2024-10-31T00:00:00"/>
    <s v="3 Tahun 5 Bulan 7 Hari "/>
    <n v="1165"/>
    <n v="185"/>
    <n v="3"/>
    <n v="1462"/>
    <n v="487.33333333333331"/>
    <n v="374"/>
    <n v="0.6"/>
    <n v="3"/>
    <n v="0.76744186046511631"/>
    <n v="0.15348837209302327"/>
    <d v="1910-05-16T08:59:38"/>
    <d v="1899-12-30T00:00:00"/>
    <d v="1899-12-30T04:10:54"/>
    <n v="0"/>
    <n v="0"/>
    <n v="1"/>
    <n v="0.4"/>
    <n v="1"/>
    <n v="0.33333333333333331"/>
    <n v="8.3333333333333329E-2"/>
    <d v="1899-12-30T00:43:03"/>
    <n v="1.25"/>
    <n v="5"/>
    <n v="1"/>
    <n v="0.25"/>
    <n v="1"/>
    <n v="1"/>
    <n v="1"/>
    <n v="0"/>
    <n v="0"/>
    <n v="1"/>
    <n v="0"/>
    <n v="0"/>
    <n v="0.8"/>
    <n v="4"/>
    <n v="0.5"/>
    <n v="7.4999999999999997E-2"/>
    <n v="75"/>
    <n v="75"/>
    <n v="80"/>
    <n v="80"/>
    <n v="80"/>
    <n v="0.8"/>
    <n v="390"/>
    <n v="0.98717948717948723"/>
    <n v="0.19743589743589746"/>
    <n v="3.8499999999999996"/>
    <n v="78"/>
    <n v="0.75925760286225397"/>
    <s v="Lebih Dari Cukup"/>
    <s v="Stay"/>
    <s v="Engineer"/>
  </r>
  <r>
    <n v="198"/>
    <s v="Alyan Elman Sumintoro"/>
    <s v="IDH80095"/>
    <s v="Associate engineer"/>
    <x v="48"/>
    <x v="1"/>
    <s v="IMPACT"/>
    <d v="2023-09-04T00:00:00"/>
    <d v="2024-10-31T00:00:00"/>
    <s v="1 Tahun 4 Bulan 26 Hari "/>
    <n v="423"/>
    <n v="116"/>
    <n v="3"/>
    <n v="683"/>
    <n v="227.66666666666666"/>
    <n v="251"/>
    <n v="1"/>
    <n v="5"/>
    <n v="1.1024890190336749"/>
    <n v="0.220497803806735"/>
    <d v="1903-05-12T18:41:27"/>
    <d v="1899-12-30T00:00:00"/>
    <d v="1899-12-30T00:01:31"/>
    <n v="0"/>
    <n v="0"/>
    <n v="1"/>
    <n v="0.4"/>
    <n v="1"/>
    <n v="0.33333333333333331"/>
    <n v="8.3333333333333329E-2"/>
    <d v="1899-12-30T01:33:31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90"/>
    <n v="85"/>
    <n v="80"/>
    <n v="0.8"/>
    <n v="405"/>
    <n v="0.98765432098765427"/>
    <n v="0.19753086419753085"/>
    <n v="3.8"/>
    <n v="81"/>
    <n v="0.75761200133759921"/>
    <s v="Lebih Dari Cukup"/>
    <s v="Stay"/>
    <s v="Associate engineer"/>
  </r>
  <r>
    <n v="199"/>
    <s v="Awang Reza Al Chabir"/>
    <s v="IDH60011"/>
    <s v="Engineer"/>
    <x v="40"/>
    <x v="2"/>
    <s v="CITIUS"/>
    <d v="2021-08-23T00:00:00"/>
    <d v="2024-10-31T00:00:00"/>
    <s v="3 Tahun 5 Bulan 7 Hari "/>
    <n v="1165"/>
    <n v="426"/>
    <n v="6"/>
    <n v="3000"/>
    <n v="500"/>
    <n v="425"/>
    <n v="0.8"/>
    <n v="4"/>
    <n v="0.85"/>
    <n v="0.17"/>
    <d v="1934-01-15T18:18:19"/>
    <d v="1920-09-27T02:45:22"/>
    <d v="1937-11-10T16:02:19"/>
    <n v="0"/>
    <n v="0"/>
    <n v="1"/>
    <n v="0.4"/>
    <n v="1"/>
    <n v="0.33333333333333331"/>
    <n v="8.3333333333333329E-2"/>
    <d v="1899-12-30T00:57:37"/>
    <n v="1.25"/>
    <n v="5"/>
    <n v="1"/>
    <n v="0.25"/>
    <n v="1"/>
    <n v="1"/>
    <n v="1"/>
    <n v="0"/>
    <n v="0"/>
    <n v="0"/>
    <n v="0"/>
    <n v="0"/>
    <n v="0.6"/>
    <n v="3"/>
    <n v="0.375"/>
    <n v="5.6249999999999994E-2"/>
    <n v="75"/>
    <n v="75"/>
    <n v="80"/>
    <n v="85"/>
    <n v="80"/>
    <n v="0.8"/>
    <n v="395"/>
    <n v="0.98734177215189878"/>
    <n v="0.19746835443037977"/>
    <n v="3.8500000000000005"/>
    <n v="79"/>
    <n v="0.75705168776371323"/>
    <s v="Lebih Dari Cukup"/>
    <s v="Stay"/>
    <s v="Engineer"/>
  </r>
  <r>
    <n v="200"/>
    <s v="Rifqi Muarifa"/>
    <s v="IDH70014"/>
    <s v="Engineer"/>
    <x v="3"/>
    <x v="0"/>
    <s v="SIPRAMA"/>
    <d v="2022-10-03T00:00:00"/>
    <d v="2024-10-31T00:00:00"/>
    <s v="2 Tahun 3 Bulan 27 Hari "/>
    <n v="759"/>
    <n v="872"/>
    <n v="15"/>
    <n v="5975"/>
    <n v="398.33333333333331"/>
    <n v="362"/>
    <n v="0.8"/>
    <n v="4"/>
    <n v="0.90878661087866108"/>
    <n v="0.18175732217573223"/>
    <d v="1909-09-11T14:04:13"/>
    <d v="1899-12-30T00:18:18"/>
    <d v="1899-12-30T00:00:00"/>
    <n v="0"/>
    <n v="1"/>
    <n v="0"/>
    <n v="0.4"/>
    <n v="1"/>
    <n v="0.33333333333333331"/>
    <n v="8.3333333333333329E-2"/>
    <d v="1899-12-30T01:03:06"/>
    <n v="1"/>
    <n v="4"/>
    <n v="0.8"/>
    <n v="0.2"/>
    <n v="1"/>
    <n v="1"/>
    <n v="1"/>
    <n v="0"/>
    <n v="1"/>
    <n v="1"/>
    <n v="0"/>
    <n v="0"/>
    <n v="1"/>
    <n v="5"/>
    <n v="0.625"/>
    <n v="9.375E-2"/>
    <n v="75"/>
    <n v="75"/>
    <n v="85"/>
    <n v="80"/>
    <n v="80"/>
    <n v="0.8"/>
    <n v="395"/>
    <n v="0.98734177215189878"/>
    <n v="0.19746835443037977"/>
    <n v="4"/>
    <n v="79"/>
    <n v="0.75630900993944539"/>
    <s v="Lebih Dari Cukup"/>
    <s v="Stay"/>
    <s v="Engineer"/>
  </r>
  <r>
    <n v="201"/>
    <s v="Abdimas Pasa"/>
    <s v="IDH40085"/>
    <s v="Senior engineer"/>
    <x v="34"/>
    <x v="2"/>
    <s v="GSS"/>
    <d v="2019-10-02T00:00:00"/>
    <d v="2024-10-31T00:00:00"/>
    <s v="5 Tahun 3 Bulan 28 Hari "/>
    <n v="1856"/>
    <n v="684"/>
    <n v="10"/>
    <n v="4972"/>
    <n v="497.2"/>
    <n v="402"/>
    <n v="0.8"/>
    <n v="4"/>
    <n v="0.80852775543041033"/>
    <n v="0.16170555108608209"/>
    <d v="1952-06-16T17:21:03"/>
    <d v="1965-11-07T18:15:27"/>
    <d v="1998-02-10T03:18:27"/>
    <n v="0"/>
    <n v="0"/>
    <n v="1"/>
    <n v="0.4"/>
    <n v="1"/>
    <n v="0.33333333333333331"/>
    <n v="8.3333333333333329E-2"/>
    <d v="1899-12-30T01:31:20"/>
    <n v="1"/>
    <n v="4"/>
    <n v="0.8"/>
    <n v="0.2"/>
    <n v="1"/>
    <n v="1"/>
    <n v="1"/>
    <n v="1"/>
    <n v="0"/>
    <n v="1"/>
    <n v="0"/>
    <n v="1"/>
    <n v="1"/>
    <n v="6"/>
    <n v="0.75"/>
    <n v="0.11249999999999999"/>
    <n v="75"/>
    <n v="75"/>
    <n v="80"/>
    <n v="90"/>
    <n v="80"/>
    <n v="0.8"/>
    <n v="400"/>
    <n v="0.98750000000000004"/>
    <n v="0.19750000000000001"/>
    <n v="4"/>
    <n v="80"/>
    <n v="0.75503888441941536"/>
    <s v="Lebih Dari Cukup"/>
    <s v="Stay"/>
    <s v="Senior engineer"/>
  </r>
  <r>
    <n v="202"/>
    <s v="Ibnu Malik Al Hamas"/>
    <s v="IDH30050"/>
    <s v="Senior engineer"/>
    <x v="33"/>
    <x v="0"/>
    <s v="GSS"/>
    <d v="2020-08-03T00:00:00"/>
    <d v="2024-10-31T00:00:00"/>
    <s v="4 Tahun 5 Bulan 27 Hari "/>
    <n v="1550"/>
    <n v="304"/>
    <n v="5"/>
    <n v="2111"/>
    <n v="422.2"/>
    <n v="379"/>
    <n v="0.8"/>
    <n v="4"/>
    <n v="0.89767882520132636"/>
    <n v="0.17953576504026528"/>
    <d v="1914-11-24T19:53:00"/>
    <d v="1899-12-30T00:35:36"/>
    <d v="1899-12-30T00:00:00"/>
    <n v="0"/>
    <n v="1"/>
    <n v="0"/>
    <n v="0.4"/>
    <n v="1"/>
    <n v="0.33333333333333331"/>
    <n v="8.3333333333333329E-2"/>
    <d v="1899-12-30T01:18:53"/>
    <n v="1"/>
    <n v="4"/>
    <n v="0.8"/>
    <n v="0.2"/>
    <n v="1"/>
    <n v="1"/>
    <n v="1"/>
    <n v="1"/>
    <n v="0"/>
    <n v="1"/>
    <n v="0"/>
    <n v="0"/>
    <n v="1"/>
    <n v="5"/>
    <n v="0.625"/>
    <n v="9.375E-2"/>
    <n v="75"/>
    <n v="75"/>
    <n v="80"/>
    <n v="80"/>
    <n v="80"/>
    <n v="0.8"/>
    <n v="390"/>
    <n v="0.98717948717948723"/>
    <n v="0.19743589743589746"/>
    <n v="4"/>
    <n v="78"/>
    <n v="0.75405499580949598"/>
    <s v="Lebih Dari Cukup"/>
    <s v="Stay"/>
    <s v="Senior engineer"/>
  </r>
  <r>
    <n v="203"/>
    <s v="Muhammad Azhar"/>
    <s v="IDH70006"/>
    <s v="Engineer"/>
    <x v="68"/>
    <x v="2"/>
    <s v="SIPRAMA"/>
    <d v="2022-08-22T00:00:00"/>
    <d v="2024-10-31T00:00:00"/>
    <s v="2 Tahun 5 Bulan 8 Hari "/>
    <n v="801"/>
    <n v="185"/>
    <n v="3"/>
    <n v="1462"/>
    <n v="487.33333333333331"/>
    <n v="444"/>
    <n v="0.8"/>
    <n v="4"/>
    <n v="0.91108071135430924"/>
    <n v="0.18221614227086186"/>
    <d v="1901-09-24T05:05:29"/>
    <d v="1899-12-30T00:10:46"/>
    <d v="1907-10-02T12:24:11"/>
    <n v="0"/>
    <n v="1"/>
    <n v="1"/>
    <n v="0.8"/>
    <n v="2"/>
    <n v="0.66666666666666663"/>
    <n v="0.16666666666666666"/>
    <d v="1899-12-30T02:22:20"/>
    <n v="0.75"/>
    <n v="3"/>
    <n v="0.6"/>
    <n v="0.15"/>
    <n v="1"/>
    <n v="1"/>
    <n v="1"/>
    <n v="0"/>
    <n v="0"/>
    <n v="0"/>
    <n v="0"/>
    <n v="0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3.75"/>
    <n v="78"/>
    <n v="0.7525687063734261"/>
    <s v="Lebih Dari Cukup"/>
    <s v="Stay"/>
    <s v="Engineer"/>
  </r>
  <r>
    <n v="204"/>
    <s v="M Triwahyudi Damanik"/>
    <s v="IDH90054"/>
    <s v="Associate engineer"/>
    <x v="69"/>
    <x v="2"/>
    <s v="GSS"/>
    <d v="2024-03-01T00:00:00"/>
    <d v="2024-10-31T00:00:00"/>
    <s v="0 Tahun 10 Bulan 29 Hari "/>
    <n v="244"/>
    <n v="235"/>
    <n v="4"/>
    <n v="1697"/>
    <n v="424.25"/>
    <n v="377"/>
    <n v="0.8"/>
    <n v="4"/>
    <n v="0.88862698880377133"/>
    <n v="0.17772539776075427"/>
    <d v="1907-10-13T17:44:34"/>
    <d v="1903-11-19T02:38:44"/>
    <d v="1899-12-30T03:11:45"/>
    <n v="0"/>
    <n v="0"/>
    <n v="1"/>
    <n v="0.4"/>
    <n v="1"/>
    <n v="0.33333333333333331"/>
    <n v="8.3333333333333329E-2"/>
    <d v="1899-12-30T01:17:32"/>
    <n v="1"/>
    <n v="4"/>
    <n v="0.8"/>
    <n v="0.2"/>
    <n v="1"/>
    <n v="1"/>
    <n v="1"/>
    <n v="0"/>
    <n v="1"/>
    <n v="1"/>
    <n v="0"/>
    <n v="0"/>
    <n v="1"/>
    <n v="5"/>
    <n v="0.625"/>
    <n v="9.375E-2"/>
    <n v="75"/>
    <n v="75"/>
    <n v="80"/>
    <n v="80"/>
    <n v="80"/>
    <n v="0.8"/>
    <n v="390"/>
    <n v="0.98717948717948723"/>
    <n v="0.19743589743589746"/>
    <n v="4"/>
    <n v="78"/>
    <n v="0.75224462852998508"/>
    <s v="New CE"/>
    <s v="Stay"/>
    <s v="Associate engineer"/>
  </r>
  <r>
    <n v="205"/>
    <s v="Ali Mukti"/>
    <s v="IDH40096"/>
    <s v="Engineer"/>
    <x v="51"/>
    <x v="2"/>
    <s v="IMPACT"/>
    <d v="2020-01-06T00:00:00"/>
    <d v="2024-10-31T00:00:00"/>
    <s v="5 Tahun 0 Bulan 24 Hari "/>
    <n v="1760"/>
    <n v="295"/>
    <n v="5"/>
    <n v="2105"/>
    <n v="421"/>
    <n v="413"/>
    <n v="0.8"/>
    <n v="4"/>
    <n v="0.98099762470308793"/>
    <n v="0.1961995249406176"/>
    <d v="1932-10-04T02:57:25"/>
    <d v="2024-09-19T14:49:14"/>
    <d v="1977-09-18T17:38:36"/>
    <n v="0"/>
    <n v="0"/>
    <n v="1"/>
    <n v="0.4"/>
    <n v="1"/>
    <n v="0.33333333333333331"/>
    <n v="8.3333333333333329E-2"/>
    <d v="1899-12-30T01:05:11"/>
    <n v="1"/>
    <n v="4"/>
    <n v="0.8"/>
    <n v="0.2"/>
    <n v="1"/>
    <n v="1"/>
    <n v="1"/>
    <n v="0"/>
    <n v="1"/>
    <n v="0"/>
    <n v="0"/>
    <n v="0"/>
    <n v="0.8"/>
    <n v="4"/>
    <n v="0.5"/>
    <n v="7.4999999999999997E-2"/>
    <n v="75"/>
    <n v="75"/>
    <n v="80"/>
    <n v="75"/>
    <n v="80"/>
    <n v="0.8"/>
    <n v="385"/>
    <n v="0.98701298701298701"/>
    <n v="0.19740259740259741"/>
    <n v="3.8"/>
    <n v="77"/>
    <n v="0.75193545567654829"/>
    <s v="Lebih Dari Cukup"/>
    <s v="Stay"/>
    <s v="Engineer"/>
  </r>
  <r>
    <n v="206"/>
    <s v="Ardian Syafrizal"/>
    <s v="IDH80077"/>
    <s v="Associate engineer"/>
    <x v="70"/>
    <x v="1"/>
    <s v="IMPACT"/>
    <d v="2023-07-24T00:00:00"/>
    <d v="2024-10-31T00:00:00"/>
    <s v="1 Tahun 6 Bulan 6 Hari "/>
    <n v="465"/>
    <n v="34"/>
    <n v="1"/>
    <n v="290"/>
    <n v="290"/>
    <n v="284"/>
    <n v="0.8"/>
    <n v="4"/>
    <n v="0.97931034482758617"/>
    <n v="0.19586206896551725"/>
    <d v="1906-07-21T05:17:48"/>
    <d v="1899-12-30T00:00:00"/>
    <d v="1965-08-02T21:45:53"/>
    <n v="0"/>
    <n v="0"/>
    <n v="1"/>
    <n v="0.4"/>
    <n v="1"/>
    <n v="0.33333333333333331"/>
    <n v="8.3333333333333329E-2"/>
    <d v="1899-12-30T01:50:46"/>
    <n v="1"/>
    <n v="4"/>
    <n v="0.8"/>
    <n v="0.2"/>
    <n v="1"/>
    <n v="1"/>
    <n v="1"/>
    <n v="0"/>
    <n v="0"/>
    <n v="1"/>
    <n v="0"/>
    <n v="0"/>
    <n v="0.8"/>
    <n v="4"/>
    <n v="0.5"/>
    <n v="7.4999999999999997E-2"/>
    <n v="75"/>
    <n v="75"/>
    <n v="90"/>
    <n v="85"/>
    <n v="80"/>
    <n v="0.8"/>
    <n v="405"/>
    <n v="0.98765432098765427"/>
    <n v="0.19753086419753085"/>
    <n v="3.8"/>
    <n v="81"/>
    <n v="0.75172626649638141"/>
    <s v="Lebih Dari Cukup"/>
    <s v="Stay"/>
    <s v="Associate engineer"/>
  </r>
  <r>
    <n v="207"/>
    <s v="Satiadi Yoga Nandiko"/>
    <s v="IDH80016"/>
    <s v="Associate engineer"/>
    <x v="58"/>
    <x v="1"/>
    <s v="IMPACT"/>
    <d v="2023-01-09T00:00:00"/>
    <d v="2024-10-31T00:00:00"/>
    <s v="2 Tahun 0 Bulan 21 Hari "/>
    <n v="661"/>
    <n v="338"/>
    <n v="6"/>
    <n v="2750"/>
    <n v="458.33333333333331"/>
    <n v="446"/>
    <n v="0.8"/>
    <n v="4"/>
    <n v="0.97309090909090912"/>
    <n v="0.19461818181818183"/>
    <d v="1905-10-16T18:50:25"/>
    <d v="1899-12-30T00:43:40"/>
    <d v="1899-12-30T00:00:00"/>
    <n v="0"/>
    <n v="1"/>
    <n v="0"/>
    <n v="0.4"/>
    <n v="1"/>
    <n v="0.33333333333333331"/>
    <n v="8.3333333333333329E-2"/>
    <d v="1899-12-30T01:03:40"/>
    <n v="1"/>
    <n v="4"/>
    <n v="0.8"/>
    <n v="0.2"/>
    <n v="1"/>
    <n v="1"/>
    <n v="1"/>
    <n v="0"/>
    <n v="0"/>
    <n v="1"/>
    <n v="0"/>
    <n v="0"/>
    <n v="0.8"/>
    <n v="4"/>
    <n v="0.5"/>
    <n v="7.4999999999999997E-2"/>
    <n v="75"/>
    <n v="75"/>
    <n v="90"/>
    <n v="80"/>
    <n v="80"/>
    <n v="0.8"/>
    <n v="400"/>
    <n v="0.98750000000000004"/>
    <n v="0.19750000000000001"/>
    <n v="3.8"/>
    <n v="80"/>
    <n v="0.7504515151515152"/>
    <s v="Lebih Dari Cukup"/>
    <s v="Stay"/>
    <s v="Associate engineer"/>
  </r>
  <r>
    <n v="208"/>
    <s v="Refky Hidayat"/>
    <s v="IDH50019"/>
    <s v="Engineer"/>
    <x v="40"/>
    <x v="2"/>
    <s v="SIPRAMA"/>
    <d v="2020-12-07T00:00:00"/>
    <d v="2024-10-31T00:00:00"/>
    <s v="4 Tahun 1 Bulan 23 Hari "/>
    <n v="1424"/>
    <n v="426"/>
    <n v="6"/>
    <n v="3000"/>
    <n v="500"/>
    <n v="437"/>
    <n v="0.8"/>
    <n v="4"/>
    <n v="0.874"/>
    <n v="0.17480000000000001"/>
    <d v="1968-01-03T05:12:05"/>
    <d v="1944-06-16T07:11:27"/>
    <d v="1941-06-30T05:41:18"/>
    <n v="0"/>
    <n v="0"/>
    <n v="1"/>
    <n v="0.4"/>
    <n v="1"/>
    <n v="0.33333333333333331"/>
    <n v="8.3333333333333329E-2"/>
    <d v="1899-12-30T01:46:55"/>
    <n v="1"/>
    <n v="4"/>
    <n v="0.8"/>
    <n v="0.2"/>
    <n v="1"/>
    <n v="1"/>
    <n v="1"/>
    <n v="0"/>
    <n v="0"/>
    <n v="1"/>
    <n v="0"/>
    <n v="1"/>
    <n v="1"/>
    <n v="5"/>
    <n v="0.625"/>
    <n v="9.375E-2"/>
    <n v="75"/>
    <n v="75"/>
    <n v="80"/>
    <n v="85"/>
    <n v="80"/>
    <n v="0.8"/>
    <n v="395"/>
    <n v="0.98734177215189878"/>
    <n v="0.19746835443037977"/>
    <n v="4"/>
    <n v="79"/>
    <n v="0.74935168776371308"/>
    <s v="Lebih Dari Cukup"/>
    <s v="Stay"/>
    <s v="Engineer"/>
  </r>
  <r>
    <n v="209"/>
    <s v="Dika Febri Andreansyah"/>
    <s v="IDH80124"/>
    <s v="Associate engineer"/>
    <x v="64"/>
    <x v="0"/>
    <s v="IMPACT"/>
    <d v="2023-11-13T00:00:00"/>
    <d v="2024-10-31T00:00:00"/>
    <s v="1 Tahun 2 Bulan 17 Hari "/>
    <n v="353"/>
    <n v="211"/>
    <n v="4"/>
    <n v="1615"/>
    <n v="403.75"/>
    <n v="342"/>
    <n v="0.8"/>
    <n v="4"/>
    <n v="0.84705882352941175"/>
    <n v="0.16941176470588237"/>
    <d v="1905-12-02T21:54:05"/>
    <d v="1899-12-30T00:06:46"/>
    <d v="1899-12-30T00:00:00"/>
    <n v="0"/>
    <n v="1"/>
    <n v="0"/>
    <n v="0.4"/>
    <n v="1"/>
    <n v="0.33333333333333331"/>
    <n v="8.3333333333333329E-2"/>
    <d v="1899-12-30T01:31:20"/>
    <n v="1"/>
    <n v="4"/>
    <n v="0.8"/>
    <n v="0.2"/>
    <n v="1"/>
    <n v="1"/>
    <n v="1"/>
    <n v="0"/>
    <n v="1"/>
    <n v="0"/>
    <n v="0"/>
    <n v="1"/>
    <n v="1"/>
    <n v="5"/>
    <n v="0.625"/>
    <n v="9.375E-2"/>
    <n v="75"/>
    <n v="75"/>
    <n v="80"/>
    <n v="80"/>
    <n v="80"/>
    <n v="0.8"/>
    <n v="390"/>
    <n v="0.98717948717948723"/>
    <n v="0.19743589743589746"/>
    <n v="4"/>
    <n v="78"/>
    <n v="0.74393099547511321"/>
    <s v="New CE"/>
    <s v="Stay"/>
    <s v="Associate engineer"/>
  </r>
  <r>
    <n v="210"/>
    <s v="Willy Buana"/>
    <s v="IDH80040"/>
    <s v="Associate engineer"/>
    <x v="11"/>
    <x v="1"/>
    <s v="IMPACT"/>
    <d v="2023-02-09T00:00:00"/>
    <d v="2024-10-31T00:00:00"/>
    <s v="1 Tahun 11 Bulan 21 Hari "/>
    <n v="630"/>
    <n v="897"/>
    <n v="13"/>
    <n v="6212"/>
    <n v="477.84615384615387"/>
    <n v="491"/>
    <n v="1"/>
    <n v="5"/>
    <n v="1.0275273663876368"/>
    <n v="0.20550547327752736"/>
    <d v="1899-12-30T00:22:42"/>
    <d v="1899-12-30T00:00:00"/>
    <d v="1899-12-30T00:00:00"/>
    <n v="1"/>
    <n v="0"/>
    <n v="0"/>
    <n v="0.4"/>
    <n v="1"/>
    <n v="0.33333333333333331"/>
    <n v="8.3333333333333329E-2"/>
    <d v="1899-12-30T01:07:03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90"/>
    <n v="80"/>
    <n v="80"/>
    <n v="0.8"/>
    <n v="400"/>
    <n v="0.98750000000000004"/>
    <n v="0.19750000000000001"/>
    <n v="3.8"/>
    <n v="80"/>
    <n v="0.74258880661086069"/>
    <s v="Lebih Dari Cukup"/>
    <s v="Stay"/>
    <s v="Associate engineer"/>
  </r>
  <r>
    <n v="211"/>
    <s v="Gideon Arinata"/>
    <s v="IDH40077"/>
    <s v="Senior engineer"/>
    <x v="1"/>
    <x v="1"/>
    <s v="SIPRAMA"/>
    <d v="2019-06-24T00:00:00"/>
    <d v="2024-10-31T00:00:00"/>
    <s v="5 Tahun 7 Bulan 6 Hari "/>
    <n v="1956"/>
    <n v="893"/>
    <n v="14"/>
    <n v="6172"/>
    <n v="440.85714285714283"/>
    <n v="316"/>
    <n v="0.6"/>
    <n v="3"/>
    <n v="0.71678548282566434"/>
    <n v="0.14335709656513287"/>
    <d v="1921-10-31T05:09:05"/>
    <d v="1899-12-30T00:00:00"/>
    <d v="1899-12-30T00:00:00"/>
    <n v="0"/>
    <n v="0"/>
    <n v="0"/>
    <n v="0"/>
    <n v="0"/>
    <n v="0"/>
    <n v="0"/>
    <d v="1899-12-30T00:41:14"/>
    <n v="1.25"/>
    <n v="5"/>
    <n v="1"/>
    <n v="0.25"/>
    <n v="1"/>
    <n v="1"/>
    <n v="1"/>
    <n v="1"/>
    <n v="1"/>
    <n v="1"/>
    <n v="1"/>
    <n v="1"/>
    <n v="1"/>
    <n v="8"/>
    <n v="1"/>
    <n v="0.15"/>
    <n v="75"/>
    <n v="75"/>
    <n v="90"/>
    <n v="90"/>
    <n v="90"/>
    <n v="0.8"/>
    <n v="420"/>
    <n v="0.98809523809523814"/>
    <n v="0.19761904761904764"/>
    <n v="3.6500000000000004"/>
    <n v="84"/>
    <n v="0.74097614418418045"/>
    <s v="Lebih Dari Cukup"/>
    <s v="Stay"/>
    <s v="Senior engineer"/>
  </r>
  <r>
    <n v="212"/>
    <s v="Rhizky Sheplia Prananda"/>
    <s v="IDH80015"/>
    <s v="Associate engineer"/>
    <x v="22"/>
    <x v="1"/>
    <s v="IMPACT"/>
    <d v="2023-01-09T00:00:00"/>
    <d v="2024-10-31T00:00:00"/>
    <s v="2 Tahun 0 Bulan 21 Hari "/>
    <n v="661"/>
    <n v="760"/>
    <n v="13"/>
    <n v="5863"/>
    <n v="451"/>
    <n v="459"/>
    <n v="1"/>
    <n v="5"/>
    <n v="1.0177383592017739"/>
    <n v="0.2035476718403548"/>
    <d v="1899-12-30T00:53:23"/>
    <d v="2024-04-14T20:56:46"/>
    <d v="1899-12-30T00:00:00"/>
    <n v="1"/>
    <n v="0"/>
    <n v="0"/>
    <n v="0.4"/>
    <n v="1"/>
    <n v="0.33333333333333331"/>
    <n v="8.3333333333333329E-2"/>
    <d v="1899-12-30T01:34:49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90"/>
    <n v="85"/>
    <n v="80"/>
    <n v="0.8"/>
    <n v="405"/>
    <n v="0.98765432098765427"/>
    <n v="0.19753086419753085"/>
    <n v="3.8"/>
    <n v="81"/>
    <n v="0.74066186937121903"/>
    <s v="Lebih Dari Cukup"/>
    <s v="Stay"/>
    <s v="Associate engineer"/>
  </r>
  <r>
    <n v="213"/>
    <s v="Muhamad Ikhwanus Syafa"/>
    <s v="IDH70028"/>
    <s v="Engineer"/>
    <x v="71"/>
    <x v="2"/>
    <s v="SIPRAMA"/>
    <d v="2022-10-03T00:00:00"/>
    <d v="2024-10-31T00:00:00"/>
    <s v="2 Tahun 3 Bulan 27 Hari "/>
    <n v="759"/>
    <n v="81"/>
    <n v="2"/>
    <n v="677"/>
    <n v="338.5"/>
    <n v="307"/>
    <n v="0.8"/>
    <n v="4"/>
    <n v="0.90694239290989664"/>
    <n v="0.18138847858197935"/>
    <d v="1921-08-31T15:15:58"/>
    <d v="1899-12-30T00:00:00"/>
    <d v="1910-05-11T10:14:00"/>
    <n v="0"/>
    <n v="0"/>
    <n v="1"/>
    <n v="0.4"/>
    <n v="1"/>
    <n v="0.33333333333333331"/>
    <n v="8.3333333333333329E-2"/>
    <d v="1899-12-30T01:20:34"/>
    <n v="1"/>
    <n v="4"/>
    <n v="0.8"/>
    <n v="0.2"/>
    <n v="1"/>
    <n v="1"/>
    <n v="1"/>
    <n v="0"/>
    <n v="0"/>
    <n v="0"/>
    <n v="0"/>
    <n v="1"/>
    <n v="0.8"/>
    <n v="4"/>
    <n v="0.5"/>
    <n v="7.4999999999999997E-2"/>
    <n v="75"/>
    <n v="75"/>
    <n v="80"/>
    <n v="80"/>
    <n v="80"/>
    <n v="0.8"/>
    <n v="390"/>
    <n v="0.98717948717948723"/>
    <n v="0.19743589743589746"/>
    <n v="3.8"/>
    <n v="78"/>
    <n v="0.73715770935121006"/>
    <s v="Lebih Dari Cukup"/>
    <s v="Stay"/>
    <s v="Engineer"/>
  </r>
  <r>
    <n v="214"/>
    <s v="Tanto Rusdwiano"/>
    <s v="IDH40001"/>
    <s v="Senior engineer"/>
    <x v="3"/>
    <x v="0"/>
    <s v="SIPRAMA"/>
    <d v="2017-01-16T00:00:00"/>
    <d v="2024-10-31T00:00:00"/>
    <s v="8 Tahun 0 Bulan 14 Hari "/>
    <n v="2845"/>
    <n v="872"/>
    <n v="15"/>
    <n v="5975"/>
    <n v="398.33333333333331"/>
    <n v="388"/>
    <n v="0.8"/>
    <n v="4"/>
    <n v="0.97405857740585777"/>
    <n v="0.19481171548117157"/>
    <d v="1963-08-09T18:51:07"/>
    <d v="1899-12-30T00:00:00"/>
    <d v="1899-12-30T00:00:00"/>
    <n v="0"/>
    <n v="0"/>
    <n v="0"/>
    <n v="0"/>
    <n v="0"/>
    <n v="0"/>
    <n v="0"/>
    <d v="1899-12-30T00:52:00"/>
    <n v="1.25"/>
    <n v="5"/>
    <n v="1"/>
    <n v="0.25"/>
    <n v="1"/>
    <n v="1"/>
    <n v="1"/>
    <n v="0"/>
    <n v="1"/>
    <n v="1"/>
    <n v="0"/>
    <n v="0"/>
    <n v="1"/>
    <n v="5"/>
    <n v="0.625"/>
    <n v="9.375E-2"/>
    <n v="75"/>
    <n v="75"/>
    <n v="90"/>
    <n v="90"/>
    <n v="90"/>
    <n v="0.8"/>
    <n v="420"/>
    <n v="0.98809523809523814"/>
    <n v="0.19761904761904764"/>
    <n v="3.8499999999999996"/>
    <n v="84"/>
    <n v="0.73618076310021929"/>
    <s v="Lebih Dari Cukup"/>
    <s v="Stay"/>
    <s v="Senior engineer"/>
  </r>
  <r>
    <n v="215"/>
    <s v="Muhammad Alpin"/>
    <s v="IDH60039"/>
    <s v="Engineer"/>
    <x v="69"/>
    <x v="2"/>
    <s v="CITIUS"/>
    <d v="2021-11-02T00:00:00"/>
    <d v="2024-10-31T00:00:00"/>
    <s v="3 Tahun 2 Bulan 28 Hari "/>
    <n v="1094"/>
    <n v="235"/>
    <n v="4"/>
    <n v="1697"/>
    <n v="424.25"/>
    <n v="342"/>
    <n v="0.8"/>
    <n v="4"/>
    <n v="0.80612846199175014"/>
    <n v="0.16122569239835005"/>
    <d v="1936-08-08T07:22:57"/>
    <d v="1920-09-30T17:06:00"/>
    <d v="1913-11-01T05:21:31"/>
    <n v="0"/>
    <n v="0"/>
    <n v="1"/>
    <n v="0.4"/>
    <n v="1"/>
    <n v="0.33333333333333331"/>
    <n v="8.3333333333333329E-2"/>
    <d v="1899-12-30T01:02:00"/>
    <n v="1"/>
    <n v="4"/>
    <n v="0.8"/>
    <n v="0.2"/>
    <n v="1"/>
    <n v="1"/>
    <n v="0"/>
    <n v="0"/>
    <n v="1"/>
    <n v="1"/>
    <n v="1"/>
    <n v="0"/>
    <n v="1"/>
    <n v="5"/>
    <n v="0.625"/>
    <n v="9.375E-2"/>
    <n v="75"/>
    <n v="75"/>
    <n v="85"/>
    <n v="85"/>
    <n v="85"/>
    <n v="0.8"/>
    <n v="405"/>
    <n v="0.98765432098765427"/>
    <n v="0.19753086419753085"/>
    <n v="4"/>
    <n v="81"/>
    <n v="0.73583988992921423"/>
    <s v="Lebih Dari Cukup"/>
    <s v="Stay"/>
    <s v="Engineer"/>
  </r>
  <r>
    <n v="216"/>
    <s v="Yayang Liona"/>
    <s v="IDH70117"/>
    <s v="Associate engineer"/>
    <x v="24"/>
    <x v="0"/>
    <s v="SIPRAMA"/>
    <d v="2024-02-01T00:00:00"/>
    <d v="2024-10-31T00:00:00"/>
    <s v="0 Tahun 11 Bulan 29 Hari "/>
    <n v="273"/>
    <n v="358"/>
    <n v="7"/>
    <n v="2648"/>
    <n v="378.28571428571428"/>
    <n v="304"/>
    <n v="0.8"/>
    <n v="4"/>
    <n v="0.8036253776435045"/>
    <n v="0.16072507552870091"/>
    <d v="1901-09-05T19:53:27"/>
    <d v="1899-12-30T00:42:19"/>
    <d v="1899-12-30T00:00:00"/>
    <n v="0"/>
    <n v="1"/>
    <n v="0"/>
    <n v="0.4"/>
    <n v="1"/>
    <n v="0.33333333333333331"/>
    <n v="8.3333333333333329E-2"/>
    <d v="1899-12-30T01:09:41"/>
    <n v="1"/>
    <n v="4"/>
    <n v="0.8"/>
    <n v="0.2"/>
    <n v="1"/>
    <n v="1"/>
    <n v="1"/>
    <n v="0"/>
    <n v="0"/>
    <n v="1"/>
    <n v="0"/>
    <n v="1"/>
    <n v="1"/>
    <n v="5"/>
    <n v="0.625"/>
    <n v="9.375E-2"/>
    <n v="75"/>
    <n v="75"/>
    <n v="80"/>
    <n v="80"/>
    <n v="80"/>
    <n v="0.8"/>
    <n v="390"/>
    <n v="0.98717948717948723"/>
    <n v="0.19743589743589746"/>
    <n v="4"/>
    <n v="78"/>
    <n v="0.73524430629793169"/>
    <s v="New CE"/>
    <s v="Stay"/>
    <s v="Associate engineer"/>
  </r>
  <r>
    <n v="217"/>
    <s v="Alfi Syahri Fatahilah"/>
    <s v="IDH30043"/>
    <s v="Engineer"/>
    <x v="12"/>
    <x v="1"/>
    <s v="SIPRAMA"/>
    <d v="2019-10-02T00:00:00"/>
    <d v="2024-10-31T00:00:00"/>
    <s v="5 Tahun 3 Bulan 28 Hari "/>
    <n v="1856"/>
    <n v="1040"/>
    <n v="17"/>
    <n v="7455"/>
    <n v="438.52941176470586"/>
    <n v="609"/>
    <n v="1"/>
    <n v="5"/>
    <n v="1.3887323943661973"/>
    <n v="0.2777464788732395"/>
    <d v="1926-06-24T08:04:05"/>
    <d v="1899-12-30T00:00:00"/>
    <d v="1899-12-30T00:00:00"/>
    <n v="0"/>
    <n v="0"/>
    <n v="0"/>
    <n v="0"/>
    <n v="0"/>
    <n v="0"/>
    <n v="0"/>
    <d v="1899-12-30T01:20:28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90"/>
    <n v="90"/>
    <n v="75"/>
    <n v="0.8"/>
    <n v="405"/>
    <n v="0.98765432098765427"/>
    <n v="0.19753086419753085"/>
    <n v="3.4000000000000004"/>
    <n v="81"/>
    <n v="0.73152734307077039"/>
    <s v="Lebih Dari Cukup"/>
    <s v="Stay"/>
    <s v="Engineer"/>
  </r>
  <r>
    <n v="218"/>
    <s v="Graldi Firson Sualang"/>
    <s v="IDH40015"/>
    <s v="Senior engineer"/>
    <x v="52"/>
    <x v="2"/>
    <s v="IMPACT"/>
    <d v="2017-10-02T00:00:00"/>
    <d v="2024-10-31T00:00:00"/>
    <s v="7 Tahun 3 Bulan 28 Hari "/>
    <n v="2586"/>
    <n v="156"/>
    <n v="4"/>
    <n v="1290"/>
    <n v="322.5"/>
    <n v="231"/>
    <n v="0.6"/>
    <n v="3"/>
    <n v="0.71627906976744182"/>
    <n v="0.14325581395348838"/>
    <d v="1913-06-05T01:37:57"/>
    <d v="1899-12-30T00:00:00"/>
    <d v="1931-01-12T06:08:33"/>
    <n v="0"/>
    <n v="0"/>
    <n v="1"/>
    <n v="0.4"/>
    <n v="1"/>
    <n v="0.33333333333333331"/>
    <n v="8.3333333333333329E-2"/>
    <d v="1899-12-30T00:55:47"/>
    <n v="1.25"/>
    <n v="5"/>
    <n v="1"/>
    <n v="0.25"/>
    <n v="1"/>
    <n v="1"/>
    <n v="1"/>
    <n v="0"/>
    <n v="0"/>
    <n v="0"/>
    <n v="0"/>
    <n v="0"/>
    <n v="0.6"/>
    <n v="3"/>
    <n v="0.375"/>
    <n v="5.6249999999999994E-2"/>
    <n v="75"/>
    <n v="75"/>
    <n v="85"/>
    <n v="90"/>
    <n v="85"/>
    <n v="0.8"/>
    <n v="410"/>
    <n v="0.98780487804878048"/>
    <n v="0.19756097560975611"/>
    <n v="3.6500000000000004"/>
    <n v="82"/>
    <n v="0.73040012289657774"/>
    <s v="Lebih Dari Cukup"/>
    <s v="Stay"/>
    <s v="Senior engineer"/>
  </r>
  <r>
    <n v="219"/>
    <s v="Muh. Amri Irianto"/>
    <s v="IDH80093"/>
    <s v="Associate engineer"/>
    <x v="8"/>
    <x v="2"/>
    <s v="IMPACT"/>
    <d v="2023-09-04T00:00:00"/>
    <d v="2024-10-31T00:00:00"/>
    <s v="1 Tahun 4 Bulan 26 Hari "/>
    <n v="423"/>
    <n v="171"/>
    <n v="4"/>
    <n v="1473"/>
    <n v="368.25"/>
    <n v="356"/>
    <n v="0.8"/>
    <n v="4"/>
    <n v="0.96673455532926"/>
    <n v="0.193346911065852"/>
    <d v="1920-01-29T10:15:25"/>
    <d v="1915-07-27T18:19:11"/>
    <d v="1924-11-30T10:05:24"/>
    <n v="0"/>
    <n v="0"/>
    <n v="1"/>
    <n v="0.4"/>
    <n v="1"/>
    <n v="0.33333333333333331"/>
    <n v="8.3333333333333329E-2"/>
    <d v="1899-12-30T01:36:01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3.6000000000000005"/>
    <n v="78"/>
    <n v="0.73036614183508286"/>
    <s v="Lebih Dari Cukup"/>
    <s v="Stay"/>
    <s v="Associate engineer"/>
  </r>
  <r>
    <n v="220"/>
    <s v="Eko Febian Wijaksana"/>
    <s v="IDH70107"/>
    <s v="Associate engineer"/>
    <x v="12"/>
    <x v="1"/>
    <s v="SIPRAMA"/>
    <d v="2024-01-15T00:00:00"/>
    <d v="2024-10-31T00:00:00"/>
    <s v="1 Tahun 0 Bulan 15 Hari "/>
    <n v="290"/>
    <n v="1040"/>
    <n v="17"/>
    <n v="7455"/>
    <n v="438.52941176470586"/>
    <n v="299"/>
    <n v="0.6"/>
    <n v="3"/>
    <n v="0.68182427900737763"/>
    <n v="0.13636485580147553"/>
    <d v="1899-12-30T00:30:00"/>
    <d v="1899-12-30T00:00:00"/>
    <d v="1899-12-30T00:00:00"/>
    <n v="1"/>
    <n v="0"/>
    <n v="0"/>
    <n v="0.4"/>
    <n v="1"/>
    <n v="0.33333333333333331"/>
    <n v="8.3333333333333329E-2"/>
    <d v="1899-12-30T01:29:42"/>
    <n v="1"/>
    <n v="4"/>
    <n v="0.8"/>
    <n v="0.2"/>
    <n v="1"/>
    <n v="1"/>
    <n v="1"/>
    <n v="1"/>
    <n v="1"/>
    <n v="0"/>
    <n v="0"/>
    <n v="1"/>
    <n v="1"/>
    <n v="6"/>
    <n v="0.75"/>
    <n v="0.11249999999999999"/>
    <n v="75"/>
    <n v="75"/>
    <n v="90"/>
    <n v="85"/>
    <n v="80"/>
    <n v="0.8"/>
    <n v="405"/>
    <n v="0.98765432098765427"/>
    <n v="0.19753086419753085"/>
    <n v="3.8"/>
    <n v="81"/>
    <n v="0.72972905333233973"/>
    <s v="New CE"/>
    <s v="Stay"/>
    <s v="Associate engineer"/>
  </r>
  <r>
    <n v="221"/>
    <s v="Remondo Extrada Simanjuntak"/>
    <s v="IDH40054"/>
    <s v="Engineer"/>
    <x v="12"/>
    <x v="1"/>
    <s v="IMPACT"/>
    <d v="2018-11-14T00:00:00"/>
    <d v="2024-10-31T00:00:00"/>
    <s v="6 Tahun 2 Bulan 16 Hari "/>
    <n v="2178"/>
    <n v="221"/>
    <n v="4"/>
    <n v="1669"/>
    <n v="417.25"/>
    <n v="412"/>
    <n v="0.8"/>
    <n v="4"/>
    <n v="0.98741761533852601"/>
    <n v="0.19748352306770522"/>
    <d v="1930-02-26T20:19:05"/>
    <d v="1899-12-30T03:04:00"/>
    <d v="1962-02-10T23:08:27"/>
    <n v="0"/>
    <n v="0"/>
    <n v="1"/>
    <n v="0.4"/>
    <n v="1"/>
    <n v="0.33333333333333331"/>
    <n v="8.3333333333333329E-2"/>
    <d v="1899-12-30T03:45:35"/>
    <n v="0.5"/>
    <n v="2"/>
    <n v="0.4"/>
    <n v="0.1"/>
    <n v="1"/>
    <n v="1"/>
    <n v="1"/>
    <n v="1"/>
    <n v="1"/>
    <n v="1"/>
    <n v="1"/>
    <n v="1"/>
    <n v="1"/>
    <n v="8"/>
    <n v="1"/>
    <n v="0.15"/>
    <n v="75"/>
    <n v="65"/>
    <n v="80"/>
    <n v="70"/>
    <n v="75"/>
    <n v="0.8"/>
    <n v="365"/>
    <n v="0.98630136986301364"/>
    <n v="0.19726027397260273"/>
    <n v="3.5"/>
    <n v="73"/>
    <n v="0.7280771303736413"/>
    <s v="Lebih Dari Cukup"/>
    <s v="Stay"/>
    <s v="Engineer"/>
  </r>
  <r>
    <n v="222"/>
    <s v="Saoki Firdaus"/>
    <s v="IDH80083"/>
    <s v="Associate engineer"/>
    <x v="11"/>
    <x v="1"/>
    <s v="IMPACT"/>
    <d v="2023-09-04T00:00:00"/>
    <d v="2024-10-31T00:00:00"/>
    <s v="1 Tahun 4 Bulan 26 Hari "/>
    <n v="423"/>
    <n v="897"/>
    <n v="13"/>
    <n v="6212"/>
    <n v="477.84615384615387"/>
    <n v="456"/>
    <n v="0.8"/>
    <n v="4"/>
    <n v="0.95428203477141016"/>
    <n v="0.19085640695428205"/>
    <d v="1899-12-30T00:47:23"/>
    <d v="1899-12-30T00:00:00"/>
    <d v="1899-12-30T00:00:00"/>
    <n v="1"/>
    <n v="0"/>
    <n v="0"/>
    <n v="0.4"/>
    <n v="1"/>
    <n v="0.33333333333333331"/>
    <n v="8.3333333333333329E-2"/>
    <d v="1899-12-30T01:35:35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90"/>
    <n v="85"/>
    <n v="80"/>
    <n v="0.8"/>
    <n v="405"/>
    <n v="0.98765432098765427"/>
    <n v="0.19753086419753085"/>
    <n v="3.6000000000000005"/>
    <n v="81"/>
    <n v="0.72797060448514628"/>
    <s v="Lebih Dari Cukup"/>
    <s v="Stay"/>
    <s v="Associate engineer"/>
  </r>
  <r>
    <n v="223"/>
    <s v="Muhammad Arfan Lesmana"/>
    <s v="IDH80080"/>
    <s v="Associate engineer"/>
    <x v="3"/>
    <x v="0"/>
    <s v="IMPACT"/>
    <d v="2023-07-24T00:00:00"/>
    <d v="2024-10-31T00:00:00"/>
    <s v="1 Tahun 6 Bulan 6 Hari "/>
    <n v="465"/>
    <n v="872"/>
    <n v="15"/>
    <n v="5975"/>
    <n v="398.33333333333331"/>
    <n v="380"/>
    <n v="0.8"/>
    <n v="4"/>
    <n v="0.95397489539748959"/>
    <n v="0.19079497907949794"/>
    <d v="1902-06-27T18:48:08"/>
    <d v="1899-12-30T00:13:45"/>
    <d v="1899-12-30T00:00:00"/>
    <n v="0"/>
    <n v="1"/>
    <n v="0"/>
    <n v="0.4"/>
    <n v="1"/>
    <n v="0.33333333333333331"/>
    <n v="8.3333333333333329E-2"/>
    <d v="1899-12-30T01:39:03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3.6000000000000005"/>
    <n v="78"/>
    <n v="0.7278142098487288"/>
    <s v="Lebih Dari Cukup"/>
    <s v="Stay"/>
    <s v="Associate engineer"/>
  </r>
  <r>
    <n v="224"/>
    <s v="Mohamad Nursamsi Adiwiranto"/>
    <s v="IDH60077"/>
    <s v="Engineer"/>
    <x v="47"/>
    <x v="0"/>
    <s v="CITIUS"/>
    <d v="2022-07-04T00:00:00"/>
    <d v="2024-10-31T00:00:00"/>
    <s v="2 Tahun 6 Bulan 26 Hari "/>
    <n v="850"/>
    <n v="507"/>
    <n v="10"/>
    <n v="3304"/>
    <n v="330.4"/>
    <n v="315"/>
    <n v="0.8"/>
    <n v="4"/>
    <n v="0.95338983050847459"/>
    <n v="0.19067796610169493"/>
    <d v="1907-05-30T20:00:08"/>
    <d v="1899-12-30T01:57:35"/>
    <d v="1899-12-30T00:00:00"/>
    <n v="0"/>
    <n v="1"/>
    <n v="0"/>
    <n v="0.4"/>
    <n v="1"/>
    <n v="0.33333333333333331"/>
    <n v="8.3333333333333329E-2"/>
    <d v="1899-12-30T01:16:15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3.6000000000000005"/>
    <n v="78"/>
    <n v="0.72769719687092582"/>
    <s v="Down Grade"/>
    <s v="Down Grade"/>
    <s v="Engineer"/>
  </r>
  <r>
    <n v="225"/>
    <s v="Rizaldi"/>
    <s v="IDH60082"/>
    <s v="Engineer"/>
    <x v="9"/>
    <x v="2"/>
    <s v="CITIUS"/>
    <d v="2022-07-04T00:00:00"/>
    <d v="2024-10-31T00:00:00"/>
    <s v="2 Tahun 6 Bulan 26 Hari "/>
    <n v="850"/>
    <n v="448"/>
    <n v="7"/>
    <n v="2614"/>
    <n v="373.42857142857144"/>
    <n v="356"/>
    <n v="0.8"/>
    <n v="4"/>
    <n v="0.95332823259372601"/>
    <n v="0.19066564651874521"/>
    <d v="1916-11-06T22:24:49"/>
    <d v="1899-12-30T00:00:00"/>
    <d v="1899-12-30T02:39:36"/>
    <n v="0"/>
    <n v="0"/>
    <n v="1"/>
    <n v="0.4"/>
    <n v="1"/>
    <n v="0.33333333333333331"/>
    <n v="8.3333333333333329E-2"/>
    <d v="1899-12-30T01:34:23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3.6000000000000005"/>
    <n v="78"/>
    <n v="0.72768487728797604"/>
    <s v="Lebih Dari Cukup"/>
    <s v="Stay"/>
    <s v="Engineer"/>
  </r>
  <r>
    <n v="226"/>
    <s v="Nugroho Bagus Pamungkas"/>
    <s v="IDH60052"/>
    <s v="Engineer"/>
    <x v="24"/>
    <x v="0"/>
    <s v="CITIUS"/>
    <d v="2022-03-01T00:00:00"/>
    <d v="2024-10-31T00:00:00"/>
    <s v="2 Tahun 10 Bulan 29 Hari "/>
    <n v="975"/>
    <n v="358"/>
    <n v="7"/>
    <n v="2648"/>
    <n v="378.28571428571428"/>
    <n v="358"/>
    <n v="0.8"/>
    <n v="4"/>
    <n v="0.9463746223564955"/>
    <n v="0.18927492447129912"/>
    <d v="1908-01-11T22:13:28"/>
    <d v="1962-02-05T05:24:31"/>
    <d v="1899-12-30T01:15:16"/>
    <n v="0"/>
    <n v="0"/>
    <n v="1"/>
    <n v="0.4"/>
    <n v="1"/>
    <n v="0.33333333333333331"/>
    <n v="8.3333333333333329E-2"/>
    <d v="1899-12-30T01:27:12"/>
    <n v="1"/>
    <n v="4"/>
    <n v="0.8"/>
    <n v="0.2"/>
    <n v="1"/>
    <n v="1"/>
    <n v="0"/>
    <n v="0"/>
    <n v="0"/>
    <n v="0"/>
    <n v="0"/>
    <n v="1"/>
    <n v="0.6"/>
    <n v="3"/>
    <n v="0.375"/>
    <n v="5.6249999999999994E-2"/>
    <n v="75"/>
    <n v="75"/>
    <n v="80"/>
    <n v="75"/>
    <n v="75"/>
    <n v="0.8"/>
    <n v="380"/>
    <n v="0.98684210526315785"/>
    <n v="0.19736842105263158"/>
    <n v="3.6000000000000005"/>
    <n v="76"/>
    <n v="0.726226678857264"/>
    <s v="Lebih Dari Cukup"/>
    <s v="Stay"/>
    <s v="Engineer"/>
  </r>
  <r>
    <n v="227"/>
    <s v="Ilham Yudha Alfiandi"/>
    <s v="IDH60019"/>
    <s v="Engineer"/>
    <x v="4"/>
    <x v="0"/>
    <s v="CITIUS"/>
    <d v="2021-09-27T00:00:00"/>
    <d v="2024-10-31T00:00:00"/>
    <s v="3 Tahun 4 Bulan 3 Hari "/>
    <n v="1130"/>
    <n v="625"/>
    <n v="10"/>
    <n v="4149"/>
    <n v="414.9"/>
    <n v="288"/>
    <n v="0.6"/>
    <n v="3"/>
    <n v="0.69414316702819956"/>
    <n v="0.13882863340563992"/>
    <d v="1899-12-30T00:18:12"/>
    <d v="1903-06-13T22:58:57"/>
    <d v="1899-12-30T00:00:00"/>
    <n v="1"/>
    <n v="0"/>
    <n v="0"/>
    <n v="0.4"/>
    <n v="1"/>
    <n v="0.33333333333333331"/>
    <n v="8.3333333333333329E-2"/>
    <d v="1899-12-30T00:44:43"/>
    <n v="1.25"/>
    <n v="5"/>
    <n v="1"/>
    <n v="0.25"/>
    <n v="1"/>
    <n v="1"/>
    <n v="1"/>
    <n v="0"/>
    <n v="0"/>
    <n v="0"/>
    <n v="0"/>
    <n v="0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3.6500000000000004"/>
    <n v="78"/>
    <n v="0.72584786417487068"/>
    <s v="Lebih Dari Cukup"/>
    <s v="Stay"/>
    <s v="Engineer"/>
  </r>
  <r>
    <n v="228"/>
    <s v="Dion Permadi"/>
    <s v="IDH80058"/>
    <s v="Associate engineer"/>
    <x v="12"/>
    <x v="1"/>
    <s v="IMPACT"/>
    <d v="2023-05-29T00:00:00"/>
    <d v="2024-10-31T00:00:00"/>
    <s v="1 Tahun 8 Bulan 1 Hari "/>
    <n v="521"/>
    <n v="1040"/>
    <n v="17"/>
    <n v="7455"/>
    <n v="438.52941176470586"/>
    <n v="470"/>
    <n v="1"/>
    <n v="5"/>
    <n v="1.0717639168343394"/>
    <n v="0.21435278336686789"/>
    <d v="1907-04-03T08:59:40"/>
    <d v="1899-12-30T00:00:00"/>
    <d v="1899-12-30T00:00:00"/>
    <n v="0"/>
    <n v="0"/>
    <n v="0"/>
    <n v="0"/>
    <n v="0"/>
    <n v="0"/>
    <n v="0"/>
    <d v="1899-12-30T01:29:03"/>
    <n v="1"/>
    <n v="4"/>
    <n v="0.8"/>
    <n v="0.2"/>
    <n v="1"/>
    <n v="1"/>
    <n v="1"/>
    <n v="0"/>
    <n v="1"/>
    <n v="1"/>
    <n v="0"/>
    <n v="1"/>
    <n v="1"/>
    <n v="6"/>
    <n v="0.75"/>
    <n v="0.11249999999999999"/>
    <n v="75"/>
    <n v="75"/>
    <n v="90"/>
    <n v="85"/>
    <n v="80"/>
    <n v="0.8"/>
    <n v="405"/>
    <n v="0.98765432098765427"/>
    <n v="0.19753086419753085"/>
    <n v="3.8"/>
    <n v="81"/>
    <n v="0.72438364756439877"/>
    <s v="Lebih Dari Cukup"/>
    <s v="Stay"/>
    <s v="Associate engineer"/>
  </r>
  <r>
    <n v="229"/>
    <s v="Gilang Ramadhan"/>
    <s v="IDH60056"/>
    <s v="Senior engineer"/>
    <x v="72"/>
    <x v="1"/>
    <s v="CITIUS"/>
    <d v="2022-03-01T00:00:00"/>
    <d v="2024-10-31T00:00:00"/>
    <s v="2 Tahun 10 Bulan 29 Hari "/>
    <n v="975"/>
    <n v="194"/>
    <n v="2"/>
    <n v="1461"/>
    <n v="730.5"/>
    <n v="463"/>
    <n v="0.6"/>
    <n v="3"/>
    <n v="0.63381245722108148"/>
    <n v="0.12676249144421631"/>
    <d v="1934-07-13T03:36:55"/>
    <d v="1899-12-30T00:00:00"/>
    <d v="1899-12-30T00:00:00"/>
    <n v="0"/>
    <n v="0"/>
    <n v="0"/>
    <n v="0"/>
    <n v="0"/>
    <n v="0"/>
    <n v="0"/>
    <d v="1899-12-30T00:47:08"/>
    <n v="1.25"/>
    <n v="5"/>
    <n v="1"/>
    <n v="0.25"/>
    <n v="1"/>
    <n v="1"/>
    <n v="1"/>
    <n v="1"/>
    <n v="1"/>
    <n v="1"/>
    <n v="1"/>
    <n v="1"/>
    <n v="1"/>
    <n v="8"/>
    <n v="1"/>
    <n v="0.15"/>
    <n v="75"/>
    <n v="75"/>
    <n v="90"/>
    <n v="90"/>
    <n v="90"/>
    <n v="0.8"/>
    <n v="420"/>
    <n v="0.98809523809523814"/>
    <n v="0.19761904761904764"/>
    <n v="3.6500000000000004"/>
    <n v="84"/>
    <n v="0.72438153906326397"/>
    <s v="Lebih Dari Cukup"/>
    <s v="Stay"/>
    <s v="Senior engineer"/>
  </r>
  <r>
    <n v="230"/>
    <s v="Irfan Marsa Allya"/>
    <s v="IDH50018"/>
    <s v="Engineer"/>
    <x v="18"/>
    <x v="2"/>
    <s v="SIPRAMA"/>
    <d v="2020-12-07T00:00:00"/>
    <d v="2024-10-31T00:00:00"/>
    <s v="4 Tahun 1 Bulan 23 Hari "/>
    <n v="1424"/>
    <n v="401"/>
    <n v="7"/>
    <n v="2754"/>
    <n v="393.42857142857144"/>
    <n v="302"/>
    <n v="0.6"/>
    <n v="3"/>
    <n v="0.76761074800290485"/>
    <n v="0.15352214960058097"/>
    <d v="1934-07-08T07:49:16"/>
    <d v="1899-12-30T00:34:23"/>
    <d v="1953-03-31T05:47:19"/>
    <n v="0"/>
    <n v="1"/>
    <n v="1"/>
    <n v="0.8"/>
    <n v="2"/>
    <n v="0.66666666666666663"/>
    <n v="0.16666666666666666"/>
    <d v="1899-12-30T02:01:30"/>
    <n v="0.75"/>
    <n v="3"/>
    <n v="0.6"/>
    <n v="0.15"/>
    <n v="1"/>
    <n v="1"/>
    <n v="1"/>
    <n v="0"/>
    <n v="0"/>
    <n v="0"/>
    <n v="0"/>
    <n v="0"/>
    <n v="0.6"/>
    <n v="3"/>
    <n v="0.375"/>
    <n v="5.6249999999999994E-2"/>
    <n v="75"/>
    <n v="75"/>
    <n v="80"/>
    <n v="75"/>
    <n v="80"/>
    <n v="0.8"/>
    <n v="385"/>
    <n v="0.98701298701298701"/>
    <n v="0.19740259740259741"/>
    <n v="3.55"/>
    <n v="77"/>
    <n v="0.723841413669845"/>
    <s v="Lebih Dari Cukup"/>
    <s v="Stay"/>
    <s v="Engineer"/>
  </r>
  <r>
    <n v="231"/>
    <s v="Ofeber Tafonao"/>
    <s v="IDH80071"/>
    <s v="Associate engineer"/>
    <x v="34"/>
    <x v="2"/>
    <s v="IMPACT"/>
    <d v="2023-07-24T00:00:00"/>
    <d v="2024-10-31T00:00:00"/>
    <s v="1 Tahun 6 Bulan 6 Hari "/>
    <n v="465"/>
    <n v="684"/>
    <n v="10"/>
    <n v="4972"/>
    <n v="497.2"/>
    <n v="464"/>
    <n v="0.8"/>
    <n v="4"/>
    <n v="0.93322606596942881"/>
    <n v="0.18664521319388577"/>
    <d v="1906-07-21T06:33:14"/>
    <d v="1931-02-11T09:44:00"/>
    <d v="1962-04-07T21:30:58"/>
    <n v="0"/>
    <n v="0"/>
    <n v="1"/>
    <n v="0.4"/>
    <n v="1"/>
    <n v="0.33333333333333331"/>
    <n v="8.3333333333333329E-2"/>
    <d v="1899-12-30T01:31:33"/>
    <n v="1"/>
    <n v="4"/>
    <n v="0.8"/>
    <n v="0.2"/>
    <n v="1"/>
    <n v="1"/>
    <n v="0"/>
    <n v="0"/>
    <n v="0"/>
    <n v="1"/>
    <n v="0"/>
    <n v="0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3.6000000000000005"/>
    <n v="78"/>
    <n v="0.72366444396311658"/>
    <s v="Lebih Dari Cukup"/>
    <s v="Stay"/>
    <s v="Associate engineer"/>
  </r>
  <r>
    <n v="232"/>
    <s v="Deas Aditya"/>
    <s v="IDH70103"/>
    <s v="Associate engineer"/>
    <x v="1"/>
    <x v="1"/>
    <s v="SIPRAMA"/>
    <d v="2023-11-13T00:00:00"/>
    <d v="2024-10-31T00:00:00"/>
    <s v="1 Tahun 2 Bulan 17 Hari "/>
    <n v="353"/>
    <n v="893"/>
    <n v="14"/>
    <n v="6172"/>
    <n v="440.85714285714283"/>
    <n v="409"/>
    <n v="0.8"/>
    <n v="4"/>
    <n v="0.92773817239144529"/>
    <n v="0.18554763447828906"/>
    <d v="1899-12-30T00:53:50"/>
    <d v="1899-12-30T00:00:00"/>
    <d v="1899-12-30T00:00:00"/>
    <n v="1"/>
    <n v="0"/>
    <n v="0"/>
    <n v="0.4"/>
    <n v="1"/>
    <n v="0.33333333333333331"/>
    <n v="8.3333333333333329E-2"/>
    <d v="1899-12-30T01:14:58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75"/>
    <n v="85"/>
    <n v="80"/>
    <n v="0.8"/>
    <n v="390"/>
    <n v="0.98717948717948723"/>
    <n v="0.19743589743589746"/>
    <n v="3.6000000000000005"/>
    <n v="78"/>
    <n v="0.7225668652475199"/>
    <s v="New CE"/>
    <s v="Stay"/>
    <s v="Associate engineer"/>
  </r>
  <r>
    <n v="233"/>
    <s v="Nur Chalis"/>
    <s v="IDH90002"/>
    <s v="Associate engineer"/>
    <x v="47"/>
    <x v="0"/>
    <s v="GSS"/>
    <d v="2023-09-04T00:00:00"/>
    <d v="2024-10-31T00:00:00"/>
    <s v="1 Tahun 4 Bulan 26 Hari "/>
    <n v="423"/>
    <n v="507"/>
    <n v="10"/>
    <n v="3304"/>
    <n v="330.4"/>
    <n v="255"/>
    <n v="0.6"/>
    <n v="3"/>
    <n v="0.77179176755447942"/>
    <n v="0.15435835351089588"/>
    <d v="1903-07-21T05:05:13"/>
    <d v="1899-12-30T00:40:54"/>
    <d v="1899-12-30T00:00:00"/>
    <n v="0"/>
    <n v="1"/>
    <n v="0"/>
    <n v="0.4"/>
    <n v="1"/>
    <n v="0.33333333333333331"/>
    <n v="8.3333333333333329E-2"/>
    <d v="1899-12-30T00:53:55"/>
    <n v="1.25"/>
    <n v="5"/>
    <n v="1"/>
    <n v="0.25"/>
    <n v="1"/>
    <n v="1"/>
    <n v="0"/>
    <n v="0"/>
    <n v="0"/>
    <n v="0"/>
    <n v="0"/>
    <n v="0"/>
    <n v="0.4"/>
    <n v="2"/>
    <n v="0.25"/>
    <n v="3.7499999999999999E-2"/>
    <n v="75"/>
    <n v="75"/>
    <n v="75"/>
    <n v="80"/>
    <n v="75"/>
    <n v="0.8"/>
    <n v="380"/>
    <n v="0.98684210526315785"/>
    <n v="0.19736842105263158"/>
    <n v="3.45"/>
    <n v="76"/>
    <n v="0.72256010789686087"/>
    <s v="Lebih Dari Cukup"/>
    <s v="Stay"/>
    <s v="Associate engineer"/>
  </r>
  <r>
    <n v="234"/>
    <s v="Nurul Muhyidin"/>
    <s v="IDH60084"/>
    <s v="Engineer"/>
    <x v="32"/>
    <x v="1"/>
    <s v="CITIUS"/>
    <d v="2022-07-04T00:00:00"/>
    <d v="2024-10-31T00:00:00"/>
    <s v="2 Tahun 6 Bulan 26 Hari "/>
    <n v="850"/>
    <n v="218"/>
    <n v="4"/>
    <n v="1692"/>
    <n v="423"/>
    <n v="392"/>
    <n v="0.8"/>
    <n v="4"/>
    <n v="0.92671394799054374"/>
    <n v="0.18534278959810876"/>
    <d v="1912-10-31T20:27:04"/>
    <d v="1916-08-10T00:49:50"/>
    <d v="1899-12-30T02:03:08"/>
    <n v="0"/>
    <n v="0"/>
    <n v="1"/>
    <n v="0.4"/>
    <n v="1"/>
    <n v="0.33333333333333331"/>
    <n v="8.3333333333333329E-2"/>
    <d v="1899-12-30T01:34:58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90"/>
    <n v="90"/>
    <n v="80"/>
    <n v="0.8"/>
    <n v="410"/>
    <n v="0.98780487804878048"/>
    <n v="0.19756097560975611"/>
    <n v="3.6000000000000005"/>
    <n v="82"/>
    <n v="0.72248709854119819"/>
    <s v="Lebih Dari Cukup"/>
    <s v="Stay"/>
    <s v="Engineer"/>
  </r>
  <r>
    <n v="235"/>
    <s v="Bintang Wahyu Nugroho"/>
    <s v="IDH10010"/>
    <s v="Associate engineer"/>
    <x v="1"/>
    <x v="1"/>
    <s v="KINARYA"/>
    <d v="2024-04-01T00:00:00"/>
    <d v="2024-10-31T00:00:00"/>
    <s v="0 Tahun 9 Bulan 29 Hari "/>
    <n v="213"/>
    <n v="893"/>
    <n v="14"/>
    <n v="6172"/>
    <n v="440.85714285714283"/>
    <n v="199"/>
    <n v="0.4"/>
    <n v="2"/>
    <n v="0.45139338950097213"/>
    <n v="9.0278677900194435E-2"/>
    <d v="1899-12-30T00:27:45"/>
    <d v="1899-12-30T00:00:00"/>
    <d v="1899-12-30T00:00:00"/>
    <n v="1"/>
    <n v="0"/>
    <n v="0"/>
    <n v="0.4"/>
    <n v="1"/>
    <n v="0.33333333333333331"/>
    <n v="8.3333333333333329E-2"/>
    <d v="1899-12-30T01:06:04"/>
    <n v="1"/>
    <n v="4"/>
    <n v="0.8"/>
    <n v="0.2"/>
    <n v="1"/>
    <n v="1"/>
    <n v="1"/>
    <n v="1"/>
    <n v="1"/>
    <n v="1"/>
    <n v="1"/>
    <n v="1"/>
    <n v="1"/>
    <n v="8"/>
    <n v="1"/>
    <n v="0.15"/>
    <n v="75"/>
    <n v="75"/>
    <n v="90"/>
    <n v="85"/>
    <n v="80"/>
    <n v="0.8"/>
    <n v="405"/>
    <n v="0.98765432098765427"/>
    <n v="0.19753086419753085"/>
    <n v="3.5999999999999996"/>
    <n v="81"/>
    <n v="0.72114287543105859"/>
    <s v="New CE"/>
    <s v="Stay"/>
    <s v="Associate engineer"/>
  </r>
  <r>
    <n v="236"/>
    <s v="Bonaventura P Jemi"/>
    <s v="IDH60047"/>
    <s v="Engineer"/>
    <x v="73"/>
    <x v="1"/>
    <s v="CITIUS"/>
    <d v="2022-01-24T00:00:00"/>
    <d v="2024-10-31T00:00:00"/>
    <s v="3 Tahun 0 Bulan 6 Hari "/>
    <n v="1011"/>
    <n v="50"/>
    <n v="1"/>
    <n v="313"/>
    <n v="313"/>
    <n v="288"/>
    <n v="0.8"/>
    <n v="4"/>
    <n v="0.92012779552715651"/>
    <n v="0.18402555910543131"/>
    <d v="1915-07-28T09:17:30"/>
    <d v="1899-12-30T00:00:00"/>
    <d v="1923-05-03T03:02:58"/>
    <n v="0"/>
    <n v="0"/>
    <n v="1"/>
    <n v="0.4"/>
    <n v="1"/>
    <n v="0.33333333333333331"/>
    <n v="8.3333333333333329E-2"/>
    <d v="1899-12-30T01:54:40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90"/>
    <n v="90"/>
    <n v="75"/>
    <n v="0.8"/>
    <n v="405"/>
    <n v="0.98765432098765427"/>
    <n v="0.19753086419753085"/>
    <n v="3.6000000000000005"/>
    <n v="81"/>
    <n v="0.72113975663629548"/>
    <s v="Lebih Dari Cukup"/>
    <s v="Stay"/>
    <s v="Engineer"/>
  </r>
  <r>
    <n v="237"/>
    <s v="Yogi Nourmansyah"/>
    <s v="IDH80014"/>
    <s v="Associate engineer"/>
    <x v="35"/>
    <x v="1"/>
    <s v="IMPACT"/>
    <d v="2023-01-09T00:00:00"/>
    <d v="2024-10-31T00:00:00"/>
    <s v="2 Tahun 0 Bulan 21 Hari "/>
    <n v="661"/>
    <n v="510"/>
    <n v="9"/>
    <n v="3962"/>
    <n v="440.22222222222223"/>
    <n v="505"/>
    <n v="1"/>
    <n v="5"/>
    <n v="1.1471479050984352"/>
    <n v="0.22942958101968705"/>
    <d v="1902-04-13T03:21:48"/>
    <d v="1899-12-30T00:00:00"/>
    <d v="1899-12-30T00:00:00"/>
    <n v="0"/>
    <n v="0"/>
    <n v="0"/>
    <n v="0"/>
    <n v="0"/>
    <n v="0"/>
    <n v="0"/>
    <d v="1899-12-30T01:37:17"/>
    <n v="1"/>
    <n v="4"/>
    <n v="0.8"/>
    <n v="0.2"/>
    <n v="1"/>
    <n v="1"/>
    <n v="1"/>
    <n v="1"/>
    <n v="0"/>
    <n v="0"/>
    <n v="0"/>
    <n v="1"/>
    <n v="1"/>
    <n v="5"/>
    <n v="0.625"/>
    <n v="9.375E-2"/>
    <n v="75"/>
    <n v="75"/>
    <n v="75"/>
    <n v="80"/>
    <n v="80"/>
    <n v="0.8"/>
    <n v="385"/>
    <n v="0.98701298701298701"/>
    <n v="0.19740259740259741"/>
    <n v="3.8"/>
    <n v="77"/>
    <n v="0.72058217842228456"/>
    <s v="Lebih Dari Cukup"/>
    <s v="Stay"/>
    <s v="Associate engineer"/>
  </r>
  <r>
    <n v="238"/>
    <s v="M.Fadli Arief"/>
    <s v="IDH40086"/>
    <s v="Engineer"/>
    <x v="22"/>
    <x v="1"/>
    <s v="GSS"/>
    <d v="2019-10-02T00:00:00"/>
    <d v="2024-10-31T00:00:00"/>
    <s v="5 Tahun 3 Bulan 28 Hari "/>
    <n v="1856"/>
    <n v="760"/>
    <n v="13"/>
    <n v="5863"/>
    <n v="451"/>
    <n v="402"/>
    <n v="0.8"/>
    <n v="4"/>
    <n v="0.89135254988913526"/>
    <n v="0.17827050997782706"/>
    <d v="1906-04-21T19:59:19"/>
    <d v="1941-07-29T19:40:23"/>
    <d v="1899-12-30T00:00:00"/>
    <n v="0"/>
    <n v="0"/>
    <n v="0"/>
    <n v="0"/>
    <n v="0"/>
    <n v="0"/>
    <n v="0"/>
    <d v="1899-12-30T00:38:40"/>
    <n v="1.25"/>
    <n v="5"/>
    <n v="1"/>
    <n v="0.25"/>
    <n v="1"/>
    <n v="1"/>
    <n v="1"/>
    <n v="1"/>
    <n v="0"/>
    <n v="0"/>
    <n v="0"/>
    <n v="1"/>
    <n v="1"/>
    <n v="5"/>
    <n v="0.625"/>
    <n v="9.375E-2"/>
    <n v="75"/>
    <n v="75"/>
    <n v="90"/>
    <n v="90"/>
    <n v="80"/>
    <n v="0.8"/>
    <n v="410"/>
    <n v="0.98780487804878048"/>
    <n v="0.19756097560975611"/>
    <n v="3.8499999999999996"/>
    <n v="82"/>
    <n v="0.71958148558758306"/>
    <s v="Lebih Dari Cukup"/>
    <s v="Stay"/>
    <s v="Engineer"/>
  </r>
  <r>
    <n v="239"/>
    <s v="Rizki Aprianto"/>
    <s v="IDH90009"/>
    <s v="Associate engineer"/>
    <x v="63"/>
    <x v="0"/>
    <s v="GSS"/>
    <d v="2023-09-11T00:00:00"/>
    <d v="2024-10-31T00:00:00"/>
    <s v="1 Tahun 4 Bulan 19 Hari "/>
    <n v="416"/>
    <n v="305"/>
    <n v="6"/>
    <n v="2018"/>
    <n v="336.33333333333331"/>
    <n v="369"/>
    <n v="1"/>
    <n v="5"/>
    <n v="1.0971258671952429"/>
    <n v="0.21942517343904858"/>
    <d v="1919-12-18T16:36:54"/>
    <d v="1915-07-25T05:23:46"/>
    <d v="1899-12-30T00:00:00"/>
    <n v="0"/>
    <n v="0"/>
    <n v="0"/>
    <n v="0"/>
    <n v="0"/>
    <n v="0"/>
    <n v="0"/>
    <d v="1899-12-30T02:28:33"/>
    <n v="0.75"/>
    <n v="3"/>
    <n v="0.6"/>
    <n v="0.15"/>
    <n v="1"/>
    <n v="1"/>
    <n v="1"/>
    <n v="1"/>
    <n v="1"/>
    <n v="1"/>
    <n v="1"/>
    <n v="1"/>
    <n v="1"/>
    <n v="8"/>
    <n v="1"/>
    <n v="0.15"/>
    <n v="75"/>
    <n v="75"/>
    <n v="85"/>
    <n v="85"/>
    <n v="85"/>
    <n v="0.8"/>
    <n v="405"/>
    <n v="0.98765432098765427"/>
    <n v="0.19753086419753085"/>
    <n v="3.55"/>
    <n v="81"/>
    <n v="0.71695603763657945"/>
    <s v="Lebih Dari Cukup"/>
    <s v="Stay"/>
    <s v="Associate engineer"/>
  </r>
  <r>
    <n v="240"/>
    <s v="Jeki Saputra"/>
    <s v="IDH60069"/>
    <s v="Engineer"/>
    <x v="67"/>
    <x v="2"/>
    <s v="CITIUS"/>
    <d v="2022-05-11T00:00:00"/>
    <d v="2024-10-31T00:00:00"/>
    <s v="2 Tahun 8 Bulan 19 Hari "/>
    <n v="904"/>
    <n v="54"/>
    <n v="2"/>
    <n v="546"/>
    <n v="273"/>
    <n v="287"/>
    <n v="1"/>
    <n v="5"/>
    <n v="1.0512820512820513"/>
    <n v="0.21025641025641029"/>
    <d v="1933-05-09T08:33:56"/>
    <d v="1931-01-27T04:25:28"/>
    <d v="1935-07-13T06:40:29"/>
    <n v="0"/>
    <n v="0"/>
    <n v="1"/>
    <n v="0.4"/>
    <n v="1"/>
    <n v="0.33333333333333331"/>
    <n v="8.3333333333333329E-2"/>
    <d v="1899-12-30T02:52:25"/>
    <n v="0.75"/>
    <n v="3"/>
    <n v="0.6"/>
    <n v="0.15"/>
    <n v="1"/>
    <n v="1"/>
    <n v="1"/>
    <n v="0"/>
    <n v="0"/>
    <n v="0"/>
    <n v="0"/>
    <n v="1"/>
    <n v="0.8"/>
    <n v="4"/>
    <n v="0.5"/>
    <n v="7.4999999999999997E-2"/>
    <n v="75"/>
    <n v="75"/>
    <n v="80"/>
    <n v="85"/>
    <n v="85"/>
    <n v="0.8"/>
    <n v="400"/>
    <n v="0.98750000000000004"/>
    <n v="0.19750000000000001"/>
    <n v="3.75"/>
    <n v="80"/>
    <n v="0.71608974358974353"/>
    <s v="Lebih Dari Cukup"/>
    <s v="Stay"/>
    <s v="Engineer"/>
  </r>
  <r>
    <n v="241"/>
    <s v="Robert Parulian"/>
    <s v="IDH40026"/>
    <s v="Associate engineer"/>
    <x v="41"/>
    <x v="2"/>
    <s v="IMPACT"/>
    <d v="2018-09-07T00:00:00"/>
    <d v="2024-10-31T00:00:00"/>
    <s v="6 Tahun 4 Bulan 23 Hari "/>
    <n v="2246"/>
    <n v="283"/>
    <n v="4"/>
    <n v="1878"/>
    <n v="469.5"/>
    <n v="416"/>
    <n v="0.8"/>
    <n v="4"/>
    <n v="0.88604898828541001"/>
    <n v="0.177209797657082"/>
    <d v="1922-05-24T21:20:22"/>
    <d v="1927-02-01T08:45:23"/>
    <d v="1924-10-25T11:37:00"/>
    <n v="0"/>
    <n v="0"/>
    <n v="1"/>
    <n v="0.4"/>
    <n v="1"/>
    <n v="0.33333333333333331"/>
    <n v="8.3333333333333329E-2"/>
    <d v="1899-12-30T01:09:55"/>
    <n v="1"/>
    <n v="4"/>
    <n v="0.8"/>
    <n v="0.2"/>
    <n v="1"/>
    <n v="1"/>
    <n v="0"/>
    <n v="0"/>
    <n v="0"/>
    <n v="1"/>
    <n v="0"/>
    <n v="0"/>
    <n v="0.6"/>
    <n v="3"/>
    <n v="0.375"/>
    <n v="5.6249999999999994E-2"/>
    <n v="75"/>
    <n v="75"/>
    <n v="70"/>
    <n v="70"/>
    <n v="70"/>
    <n v="0.8"/>
    <n v="360"/>
    <n v="0.98611111111111116"/>
    <n v="0.19722222222222224"/>
    <n v="3.6000000000000005"/>
    <n v="72"/>
    <n v="0.71401535321263765"/>
    <s v="Lebih Dari Cukup"/>
    <s v="Stay"/>
    <s v="Associate engineer"/>
  </r>
  <r>
    <n v="242"/>
    <s v="Iqbal Hasan Suteja"/>
    <s v="IDH40099"/>
    <s v="Senior engineer"/>
    <x v="58"/>
    <x v="1"/>
    <s v="SIPRAMA"/>
    <d v="2020-03-02T00:00:00"/>
    <d v="2024-10-31T00:00:00"/>
    <s v="4 Tahun 10 Bulan 28 Hari "/>
    <n v="1704"/>
    <n v="338"/>
    <n v="6"/>
    <n v="2750"/>
    <n v="458.33333333333331"/>
    <n v="405"/>
    <n v="0.8"/>
    <n v="4"/>
    <n v="0.88363636363636366"/>
    <n v="0.17672727272727273"/>
    <d v="1919-01-04T13:50:36"/>
    <d v="1899-12-30T00:13:40"/>
    <d v="1899-12-30T00:00:00"/>
    <n v="0"/>
    <n v="1"/>
    <n v="0"/>
    <n v="0.4"/>
    <n v="1"/>
    <n v="0.33333333333333331"/>
    <n v="8.3333333333333329E-2"/>
    <d v="1899-12-30T01:08:53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90"/>
    <n v="80"/>
    <n v="90"/>
    <n v="0.8"/>
    <n v="410"/>
    <n v="0.98780487804878048"/>
    <n v="0.19756097560975611"/>
    <n v="3.6000000000000005"/>
    <n v="82"/>
    <n v="0.71387158167036224"/>
    <s v="Lebih Dari Cukup"/>
    <s v="Stay"/>
    <s v="Senior engineer"/>
  </r>
  <r>
    <n v="243"/>
    <s v="Desnal Dwi Prakoso"/>
    <s v="IDH40124"/>
    <s v="Senior engineer"/>
    <x v="5"/>
    <x v="1"/>
    <s v="GSS"/>
    <d v="2021-04-05T00:00:00"/>
    <d v="2024-10-31T00:00:00"/>
    <s v="3 Tahun 9 Bulan 25 Hari "/>
    <n v="1305"/>
    <n v="329"/>
    <n v="6"/>
    <n v="1945"/>
    <n v="324.16666666666669"/>
    <n v="250"/>
    <n v="0.6"/>
    <n v="3"/>
    <n v="0.77120822622107965"/>
    <n v="0.15424164524421594"/>
    <d v="1924-11-17T19:14:37"/>
    <d v="1924-11-08T12:17:09"/>
    <d v="1899-12-30T00:00:06"/>
    <n v="0"/>
    <n v="0"/>
    <n v="1"/>
    <n v="0.4"/>
    <n v="1"/>
    <n v="0.33333333333333331"/>
    <n v="8.3333333333333329E-2"/>
    <d v="1899-12-30T01:06:52"/>
    <n v="1"/>
    <n v="4"/>
    <n v="0.8"/>
    <n v="0.2"/>
    <n v="1"/>
    <n v="1"/>
    <n v="0"/>
    <n v="0"/>
    <n v="1"/>
    <n v="1"/>
    <n v="0"/>
    <n v="0"/>
    <n v="0.8"/>
    <n v="4"/>
    <n v="0.5"/>
    <n v="7.4999999999999997E-2"/>
    <n v="75"/>
    <n v="75"/>
    <n v="90"/>
    <n v="90"/>
    <n v="90"/>
    <n v="0.8"/>
    <n v="420"/>
    <n v="0.98809523809523814"/>
    <n v="0.19761904761904764"/>
    <n v="3.5999999999999996"/>
    <n v="84"/>
    <n v="0.71019402619659688"/>
    <s v="Lebih Dari Cukup"/>
    <s v="Stay"/>
    <s v="Senior engineer"/>
  </r>
  <r>
    <n v="244"/>
    <s v="M. Iqbal Nafhi"/>
    <s v="IDH80005"/>
    <s v="Engineer"/>
    <x v="63"/>
    <x v="0"/>
    <s v="IMPACT"/>
    <d v="2023-11-13T00:00:00"/>
    <d v="2024-10-31T00:00:00"/>
    <s v="1 Tahun 2 Bulan 17 Hari "/>
    <n v="353"/>
    <n v="305"/>
    <n v="6"/>
    <n v="2018"/>
    <n v="336.33333333333331"/>
    <n v="290"/>
    <n v="0.8"/>
    <n v="4"/>
    <n v="0.8622398414271556"/>
    <n v="0.17244796828543113"/>
    <d v="1899-12-30T00:52:00"/>
    <d v="1905-03-12T06:25:31"/>
    <d v="1899-12-30T00:00:00"/>
    <n v="1"/>
    <n v="0"/>
    <n v="0"/>
    <n v="0.4"/>
    <n v="1"/>
    <n v="0.33333333333333331"/>
    <n v="8.3333333333333329E-2"/>
    <d v="1899-12-30T01:52:12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3.6000000000000005"/>
    <n v="78"/>
    <n v="0.70946719905466193"/>
    <s v="New CE"/>
    <s v="Stay"/>
    <s v="Engineer"/>
  </r>
  <r>
    <n v="245"/>
    <s v="Ribudi Hartono"/>
    <s v="IDH80079"/>
    <s v="Engineer"/>
    <x v="74"/>
    <x v="1"/>
    <s v="IMPACT"/>
    <d v="2022-08-22T00:00:00"/>
    <d v="2024-10-31T00:00:00"/>
    <s v="2 Tahun 5 Bulan 8 Hari "/>
    <n v="801"/>
    <n v="55"/>
    <n v="1"/>
    <n v="385"/>
    <n v="385"/>
    <n v="364"/>
    <n v="0.8"/>
    <n v="4"/>
    <n v="0.94545454545454544"/>
    <n v="0.18909090909090909"/>
    <d v="1958-05-06T02:55:19"/>
    <d v="1899-12-30T00:00:00"/>
    <d v="1966-09-21T04:26:11"/>
    <n v="0"/>
    <n v="0"/>
    <n v="1"/>
    <n v="0.4"/>
    <n v="1"/>
    <n v="0.33333333333333331"/>
    <n v="8.3333333333333329E-2"/>
    <d v="1899-12-30T01:31:26"/>
    <n v="1"/>
    <n v="4"/>
    <n v="0.8"/>
    <n v="0.2"/>
    <n v="1"/>
    <n v="1"/>
    <n v="0"/>
    <n v="0"/>
    <n v="0"/>
    <n v="0"/>
    <n v="0"/>
    <n v="0"/>
    <n v="0.4"/>
    <n v="2"/>
    <n v="0.25"/>
    <n v="3.7499999999999999E-2"/>
    <n v="75"/>
    <n v="75"/>
    <n v="90"/>
    <n v="90"/>
    <n v="75"/>
    <n v="0.8"/>
    <n v="405"/>
    <n v="0.98765432098765427"/>
    <n v="0.19753086419753085"/>
    <n v="3.4000000000000004"/>
    <n v="81"/>
    <n v="0.70745510662177324"/>
    <s v="Lebih Dari Cukup"/>
    <s v="Stay"/>
    <s v="Engineer"/>
  </r>
  <r>
    <n v="246"/>
    <s v="Muhammad Fahmi Affandi"/>
    <s v="IDH10011"/>
    <s v="Associate engineer"/>
    <x v="22"/>
    <x v="1"/>
    <s v="KINARYA"/>
    <d v="2024-01-15T00:00:00"/>
    <d v="2024-10-31T00:00:00"/>
    <s v="1 Tahun 0 Bulan 15 Hari "/>
    <n v="290"/>
    <n v="760"/>
    <n v="13"/>
    <n v="5863"/>
    <n v="451"/>
    <n v="246"/>
    <n v="0.4"/>
    <n v="2"/>
    <n v="0.54545454545454541"/>
    <n v="0.10909090909090909"/>
    <d v="1904-09-14T16:02:23"/>
    <d v="1899-12-30T00:00:00"/>
    <d v="1899-12-30T00:00:00"/>
    <n v="0"/>
    <n v="0"/>
    <n v="0"/>
    <n v="0"/>
    <n v="0"/>
    <n v="0"/>
    <n v="0"/>
    <d v="1899-12-30T00:41:33"/>
    <n v="1.25"/>
    <n v="5"/>
    <n v="1"/>
    <n v="0.25"/>
    <n v="1"/>
    <n v="1"/>
    <n v="1"/>
    <n v="1"/>
    <n v="1"/>
    <n v="1"/>
    <n v="1"/>
    <n v="1"/>
    <n v="1"/>
    <n v="8"/>
    <n v="1"/>
    <n v="0.15"/>
    <n v="75"/>
    <n v="75"/>
    <n v="75"/>
    <n v="85"/>
    <n v="80"/>
    <n v="0.8"/>
    <n v="390"/>
    <n v="0.98717948717948723"/>
    <n v="0.19743589743589746"/>
    <n v="3.45"/>
    <n v="78"/>
    <n v="0.70652680652680644"/>
    <s v="New CE"/>
    <s v="Stay"/>
    <s v="Associate engineer"/>
  </r>
  <r>
    <n v="247"/>
    <s v="Prasetyo Hadi Saputra"/>
    <s v="IDH80096"/>
    <s v="Associate engineer"/>
    <x v="44"/>
    <x v="2"/>
    <s v="IMPACT"/>
    <d v="2023-09-04T00:00:00"/>
    <d v="2024-10-31T00:00:00"/>
    <s v="1 Tahun 4 Bulan 26 Hari "/>
    <n v="423"/>
    <n v="134"/>
    <n v="3"/>
    <n v="1306"/>
    <n v="435.33333333333331"/>
    <n v="328"/>
    <n v="0.6"/>
    <n v="3"/>
    <n v="0.75344563552833077"/>
    <n v="0.15068912710566618"/>
    <d v="1913-05-01T17:44:26"/>
    <d v="2024-04-09T09:38:00"/>
    <d v="1954-02-20T06:09:37"/>
    <n v="0"/>
    <n v="0"/>
    <n v="1"/>
    <n v="0.4"/>
    <n v="1"/>
    <n v="0.33333333333333331"/>
    <n v="8.3333333333333329E-2"/>
    <d v="1899-12-30T01:34:20"/>
    <n v="1"/>
    <n v="4"/>
    <n v="0.8"/>
    <n v="0.2"/>
    <n v="1"/>
    <n v="1"/>
    <n v="1"/>
    <n v="0"/>
    <n v="0"/>
    <n v="0"/>
    <n v="0"/>
    <n v="1"/>
    <n v="0.8"/>
    <n v="4"/>
    <n v="0.5"/>
    <n v="7.4999999999999997E-2"/>
    <n v="75"/>
    <n v="75"/>
    <n v="80"/>
    <n v="80"/>
    <n v="80"/>
    <n v="0.8"/>
    <n v="390"/>
    <n v="0.98717948717948723"/>
    <n v="0.19743589743589746"/>
    <n v="3.5999999999999996"/>
    <n v="78"/>
    <n v="0.70645835787489686"/>
    <s v="Lebih Dari Cukup"/>
    <s v="Stay"/>
    <s v="Associate engineer"/>
  </r>
  <r>
    <n v="248"/>
    <s v="Mulyaddin"/>
    <s v="IDH50005"/>
    <s v="Engineer"/>
    <x v="75"/>
    <x v="1"/>
    <s v="SIPRAMA"/>
    <d v="2020-10-19T00:00:00"/>
    <d v="2024-10-31T00:00:00"/>
    <s v="4 Tahun 3 Bulan 11 Hari "/>
    <n v="1473"/>
    <n v="46"/>
    <n v="1"/>
    <n v="380"/>
    <n v="380"/>
    <n v="320"/>
    <n v="0.8"/>
    <n v="4"/>
    <n v="0.84210526315789469"/>
    <n v="0.16842105263157894"/>
    <d v="1927-08-21T15:41:00"/>
    <d v="1899-12-30T00:00:00"/>
    <d v="1899-12-30T01:13:48"/>
    <n v="0"/>
    <n v="0"/>
    <n v="1"/>
    <n v="0.4"/>
    <n v="1"/>
    <n v="0.33333333333333331"/>
    <n v="8.3333333333333329E-2"/>
    <d v="1899-12-30T01:06:08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90"/>
    <n v="90"/>
    <n v="80"/>
    <n v="0.8"/>
    <n v="410"/>
    <n v="0.98780487804878048"/>
    <n v="0.19756097560975611"/>
    <n v="3.6000000000000005"/>
    <n v="82"/>
    <n v="0.70556536157466843"/>
    <s v="Lebih Dari Cukup"/>
    <s v="Stay"/>
    <s v="Engineer"/>
  </r>
  <r>
    <n v="249"/>
    <s v="Fany Arya Hidayat"/>
    <s v="IDH80001"/>
    <s v="Associate engineer"/>
    <x v="23"/>
    <x v="0"/>
    <s v="IMPACT"/>
    <d v="2023-01-09T00:00:00"/>
    <d v="2024-10-31T00:00:00"/>
    <s v="2 Tahun 0 Bulan 21 Hari "/>
    <n v="661"/>
    <n v="305"/>
    <n v="6"/>
    <n v="2074"/>
    <n v="345.66666666666669"/>
    <n v="322"/>
    <n v="0.8"/>
    <n v="4"/>
    <n v="0.93153326904532296"/>
    <n v="0.18630665380906461"/>
    <d v="1909-11-20T08:43:54"/>
    <d v="1899-12-30T00:00:06"/>
    <d v="1899-12-30T00:00:00"/>
    <n v="0"/>
    <n v="1"/>
    <n v="0"/>
    <n v="0.4"/>
    <n v="1"/>
    <n v="0.33333333333333331"/>
    <n v="8.3333333333333329E-2"/>
    <d v="1899-12-30T01:13:46"/>
    <n v="1"/>
    <n v="4"/>
    <n v="0.8"/>
    <n v="0.2"/>
    <n v="1"/>
    <n v="1"/>
    <n v="0"/>
    <n v="0"/>
    <n v="0"/>
    <n v="0"/>
    <n v="0"/>
    <n v="0"/>
    <n v="0.4"/>
    <n v="2"/>
    <n v="0.25"/>
    <n v="3.7499999999999999E-2"/>
    <n v="75"/>
    <n v="75"/>
    <n v="90"/>
    <n v="85"/>
    <n v="85"/>
    <n v="0.8"/>
    <n v="410"/>
    <n v="0.98780487804878048"/>
    <n v="0.19756097560975611"/>
    <n v="3.4000000000000004"/>
    <n v="82"/>
    <n v="0.7047009627521541"/>
    <s v="Lebih Dari Cukup"/>
    <s v="Stay"/>
    <s v="Associate engineer"/>
  </r>
  <r>
    <n v="250"/>
    <s v="Dwinanjar Aji Santoso"/>
    <s v="IDH20022"/>
    <s v="Senior engineer"/>
    <x v="63"/>
    <x v="0"/>
    <s v="GSS"/>
    <d v="2016-09-05T00:00:00"/>
    <d v="2024-10-31T00:00:00"/>
    <s v="8 Tahun 4 Bulan 25 Hari "/>
    <n v="2978"/>
    <n v="305"/>
    <n v="6"/>
    <n v="2018"/>
    <n v="336.33333333333331"/>
    <n v="333"/>
    <n v="0.8"/>
    <n v="4"/>
    <n v="0.99008919722497524"/>
    <n v="0.19801783944499507"/>
    <d v="1949-10-07T09:39:39"/>
    <d v="1928-07-13T05:46:46"/>
    <d v="1899-12-30T00:00:00"/>
    <n v="0"/>
    <n v="0"/>
    <n v="0"/>
    <n v="0"/>
    <n v="0"/>
    <n v="0"/>
    <n v="0"/>
    <d v="1899-12-30T00:54:27"/>
    <n v="1.25"/>
    <n v="5"/>
    <n v="1"/>
    <n v="0.25"/>
    <n v="1"/>
    <n v="1"/>
    <n v="1"/>
    <n v="0"/>
    <n v="0"/>
    <n v="0"/>
    <n v="0"/>
    <n v="0"/>
    <n v="0.6"/>
    <n v="3"/>
    <n v="0.375"/>
    <n v="5.6249999999999994E-2"/>
    <n v="75"/>
    <n v="75"/>
    <n v="80"/>
    <n v="85"/>
    <n v="80"/>
    <n v="0.8"/>
    <n v="395"/>
    <n v="0.98734177215189878"/>
    <n v="0.19746835443037977"/>
    <n v="3.45"/>
    <n v="79"/>
    <n v="0.70173619387537489"/>
    <s v="Lebih Dari Cukup"/>
    <s v="Stay"/>
    <s v="Senior engineer"/>
  </r>
  <r>
    <n v="251"/>
    <s v="Vidi Ferdiana"/>
    <s v="IDH90005"/>
    <s v="Associate engineer"/>
    <x v="55"/>
    <x v="0"/>
    <s v="GSS"/>
    <d v="2023-09-04T00:00:00"/>
    <d v="2024-10-31T00:00:00"/>
    <s v="1 Tahun 4 Bulan 26 Hari "/>
    <n v="423"/>
    <n v="241"/>
    <n v="4"/>
    <n v="1968"/>
    <n v="492"/>
    <n v="404"/>
    <n v="0.8"/>
    <n v="4"/>
    <n v="0.82113821138211385"/>
    <n v="0.16422764227642278"/>
    <d v="1899-12-30T00:38:44"/>
    <d v="1904-01-04T08:56:34"/>
    <d v="1899-12-30T00:00:00"/>
    <n v="1"/>
    <n v="0"/>
    <n v="0"/>
    <n v="0.4"/>
    <n v="1"/>
    <n v="0.33333333333333331"/>
    <n v="8.3333333333333329E-2"/>
    <d v="1899-12-30T01:26:20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3.6000000000000005"/>
    <n v="78"/>
    <n v="0.70124687304565358"/>
    <s v="Lebih Dari Cukup"/>
    <s v="Stay"/>
    <s v="Associate engineer"/>
  </r>
  <r>
    <n v="252"/>
    <s v="Revi Irsanda"/>
    <s v="IDH80092"/>
    <s v="Associate engineer"/>
    <x v="36"/>
    <x v="2"/>
    <s v="IMPACT"/>
    <d v="2023-09-04T00:00:00"/>
    <d v="2024-10-31T00:00:00"/>
    <s v="1 Tahun 4 Bulan 26 Hari "/>
    <n v="423"/>
    <n v="159"/>
    <n v="3"/>
    <n v="1272"/>
    <n v="424"/>
    <n v="307"/>
    <n v="0.6"/>
    <n v="3"/>
    <n v="0.72405660377358494"/>
    <n v="0.144811320754717"/>
    <d v="1937-06-13T23:07:20"/>
    <d v="1899-12-30T00:00:00"/>
    <d v="1899-12-30T00:00:53"/>
    <n v="0"/>
    <n v="0"/>
    <n v="1"/>
    <n v="0.4"/>
    <n v="1"/>
    <n v="0.33333333333333331"/>
    <n v="8.3333333333333329E-2"/>
    <d v="1899-12-30T01:31:13"/>
    <n v="1"/>
    <n v="4"/>
    <n v="0.8"/>
    <n v="0.2"/>
    <n v="1"/>
    <n v="1"/>
    <n v="0"/>
    <n v="0"/>
    <n v="1"/>
    <n v="0"/>
    <n v="0"/>
    <n v="1"/>
    <n v="0.8"/>
    <n v="4"/>
    <n v="0.5"/>
    <n v="7.4999999999999997E-2"/>
    <n v="75"/>
    <n v="75"/>
    <n v="80"/>
    <n v="85"/>
    <n v="80"/>
    <n v="0.8"/>
    <n v="395"/>
    <n v="0.98734177215189878"/>
    <n v="0.19746835443037977"/>
    <n v="3.5999999999999996"/>
    <n v="79"/>
    <n v="0.70061300851843011"/>
    <s v="Lebih Dari Cukup"/>
    <s v="Stay"/>
    <s v="Associate engineer"/>
  </r>
  <r>
    <n v="253"/>
    <s v="Feri Wahyudi"/>
    <s v="IDH10014"/>
    <s v="Associate engineer"/>
    <x v="28"/>
    <x v="2"/>
    <s v="KINARYA"/>
    <d v="2024-06-01T00:00:00"/>
    <d v="2024-10-31T00:00:00"/>
    <s v="0 Tahun 7 Bulan 29 Hari "/>
    <n v="152"/>
    <n v="221"/>
    <n v="4"/>
    <n v="1669"/>
    <n v="417.25"/>
    <n v="235"/>
    <n v="0.4"/>
    <n v="2"/>
    <n v="0.56321150389454766"/>
    <n v="0.11264230077890953"/>
    <d v="1902-08-04T12:14:19"/>
    <d v="1899-12-30T00:21:27"/>
    <d v="1899-12-30T00:00:00"/>
    <n v="0"/>
    <n v="1"/>
    <n v="0"/>
    <n v="0.4"/>
    <n v="1"/>
    <n v="0.33333333333333331"/>
    <n v="8.3333333333333329E-2"/>
    <d v="1899-12-30T00:31:26"/>
    <n v="1.25"/>
    <n v="5"/>
    <n v="1"/>
    <n v="0.25"/>
    <n v="1"/>
    <n v="1"/>
    <n v="1"/>
    <n v="0"/>
    <n v="0"/>
    <n v="0"/>
    <n v="0"/>
    <n v="0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3.45"/>
    <n v="78"/>
    <n v="0.69966153154814026"/>
    <s v="New CE"/>
    <s v="Stay"/>
    <s v="Associate engineer"/>
  </r>
  <r>
    <n v="254"/>
    <s v="Theo Xaverius Marbun"/>
    <s v="IDH80013"/>
    <s v="Associate engineer"/>
    <x v="11"/>
    <x v="1"/>
    <s v="IMPACT"/>
    <d v="2023-01-09T00:00:00"/>
    <d v="2024-10-31T00:00:00"/>
    <s v="2 Tahun 0 Bulan 21 Hari "/>
    <n v="661"/>
    <n v="897"/>
    <n v="13"/>
    <n v="6212"/>
    <n v="477.84615384615387"/>
    <n v="496"/>
    <n v="1"/>
    <n v="5"/>
    <n v="1.0379909851899549"/>
    <n v="0.20759819703799098"/>
    <d v="1902-02-28T07:28:44"/>
    <d v="2024-09-06T23:58:29"/>
    <d v="1899-12-30T00:00:00"/>
    <n v="0"/>
    <n v="0"/>
    <n v="0"/>
    <n v="0"/>
    <n v="0"/>
    <n v="0"/>
    <n v="0"/>
    <d v="1899-12-30T01:46:46"/>
    <n v="1"/>
    <n v="4"/>
    <n v="0.8"/>
    <n v="0.2"/>
    <n v="1"/>
    <n v="1"/>
    <n v="1"/>
    <n v="1"/>
    <n v="0"/>
    <n v="0"/>
    <n v="0"/>
    <n v="1"/>
    <n v="1"/>
    <n v="5"/>
    <n v="0.625"/>
    <n v="9.375E-2"/>
    <n v="75"/>
    <n v="75"/>
    <n v="75"/>
    <n v="85"/>
    <n v="80"/>
    <n v="0.8"/>
    <n v="390"/>
    <n v="0.98717948717948723"/>
    <n v="0.19743589743589746"/>
    <n v="3.8"/>
    <n v="78"/>
    <n v="0.69878409447388834"/>
    <s v="Cukup"/>
    <s v="Stay"/>
    <s v="Associate engineer"/>
  </r>
  <r>
    <n v="255"/>
    <s v="Prayogi Maulana"/>
    <s v="IDH70035"/>
    <s v="Associate engineer"/>
    <x v="33"/>
    <x v="0"/>
    <s v="SIPRAMA"/>
    <d v="2022-10-17T00:00:00"/>
    <d v="2024-10-31T00:00:00"/>
    <s v="2 Tahun 3 Bulan 13 Hari "/>
    <n v="745"/>
    <n v="304"/>
    <n v="5"/>
    <n v="2111"/>
    <n v="422.2"/>
    <n v="337"/>
    <n v="0.6"/>
    <n v="3"/>
    <n v="0.79819990525817153"/>
    <n v="0.15963998105163432"/>
    <d v="1907-06-17T07:39:50"/>
    <d v="1899-12-30T00:00:19"/>
    <d v="1899-12-30T00:00:00"/>
    <n v="0"/>
    <n v="1"/>
    <n v="0"/>
    <n v="0.4"/>
    <n v="1"/>
    <n v="0.33333333333333331"/>
    <n v="8.3333333333333329E-2"/>
    <d v="1899-12-30T01:44:07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3.4000000000000004"/>
    <n v="78"/>
    <n v="0.69665921182086521"/>
    <s v="Cukup"/>
    <s v="Stay"/>
    <s v="Associate engineer"/>
  </r>
  <r>
    <n v="256"/>
    <s v="Irsan Trigunadi"/>
    <s v="IDH30032"/>
    <s v="Senior engineer"/>
    <x v="35"/>
    <x v="1"/>
    <s v="SIPRAMA"/>
    <d v="2018-09-06T00:00:00"/>
    <d v="2024-10-31T00:00:00"/>
    <s v="6 Tahun 4 Bulan 24 Hari "/>
    <n v="2247"/>
    <n v="510"/>
    <n v="9"/>
    <n v="3962"/>
    <n v="440.22222222222223"/>
    <n v="424"/>
    <n v="0.8"/>
    <n v="4"/>
    <n v="0.96314992428066637"/>
    <n v="0.19262998485613328"/>
    <d v="1912-11-16T18:05:33"/>
    <d v="1899-12-30T00:00:00"/>
    <d v="1899-12-30T00:00:00"/>
    <n v="0"/>
    <n v="0"/>
    <n v="0"/>
    <n v="0"/>
    <n v="0"/>
    <n v="0"/>
    <n v="0"/>
    <d v="1899-12-30T00:59:40"/>
    <n v="1.25"/>
    <n v="5"/>
    <n v="1"/>
    <n v="0.25"/>
    <n v="1"/>
    <n v="1"/>
    <n v="1"/>
    <n v="0"/>
    <n v="0"/>
    <n v="0"/>
    <n v="0"/>
    <n v="0"/>
    <n v="0.6"/>
    <n v="3"/>
    <n v="0.375"/>
    <n v="5.6249999999999994E-2"/>
    <n v="75"/>
    <n v="75"/>
    <n v="90"/>
    <n v="90"/>
    <n v="90"/>
    <n v="0.8"/>
    <n v="420"/>
    <n v="0.98809523809523814"/>
    <n v="0.19761904761904764"/>
    <n v="3.45"/>
    <n v="84"/>
    <n v="0.69649903247518097"/>
    <s v="Cukup"/>
    <s v="Stay"/>
    <s v="Senior engineer"/>
  </r>
  <r>
    <n v="257"/>
    <s v="Jemi Sastra"/>
    <s v="IDH40030"/>
    <s v="Senior engineer"/>
    <x v="40"/>
    <x v="2"/>
    <s v="IMPACT"/>
    <d v="2018-09-07T00:00:00"/>
    <d v="2024-10-31T00:00:00"/>
    <s v="6 Tahun 4 Bulan 23 Hari "/>
    <n v="2246"/>
    <n v="426"/>
    <n v="6"/>
    <n v="3000"/>
    <n v="500"/>
    <n v="304"/>
    <n v="0.6"/>
    <n v="3"/>
    <n v="0.60799999999999998"/>
    <n v="0.1216"/>
    <d v="1935-07-24T18:14:40"/>
    <d v="1899-12-30T03:21:08"/>
    <d v="1955-05-30T22:29:13"/>
    <n v="0"/>
    <n v="0"/>
    <n v="1"/>
    <n v="0.4"/>
    <n v="1"/>
    <n v="0.33333333333333331"/>
    <n v="8.3333333333333329E-2"/>
    <d v="1899-12-30T01:41:44"/>
    <n v="1"/>
    <n v="4"/>
    <n v="0.8"/>
    <n v="0.2"/>
    <n v="1"/>
    <n v="1"/>
    <n v="1"/>
    <n v="1"/>
    <n v="0"/>
    <n v="0"/>
    <n v="0"/>
    <n v="1"/>
    <n v="1"/>
    <n v="5"/>
    <n v="0.625"/>
    <n v="9.375E-2"/>
    <n v="75"/>
    <n v="75"/>
    <n v="90"/>
    <n v="90"/>
    <n v="80"/>
    <n v="0.8"/>
    <n v="410"/>
    <n v="0.98780487804878048"/>
    <n v="0.19756097560975611"/>
    <n v="3.8"/>
    <n v="82"/>
    <n v="0.69624430894308942"/>
    <s v="Cukup"/>
    <s v="Stay"/>
    <s v="Senior engineer"/>
  </r>
  <r>
    <n v="258"/>
    <s v="Mochamar Tegar Ath Tharikh"/>
    <s v="IDH80066"/>
    <s v="Associate engineer"/>
    <x v="3"/>
    <x v="0"/>
    <s v="IMPACT"/>
    <d v="2023-09-04T00:00:00"/>
    <d v="2024-10-31T00:00:00"/>
    <s v="1 Tahun 4 Bulan 26 Hari "/>
    <n v="423"/>
    <n v="872"/>
    <n v="15"/>
    <n v="5975"/>
    <n v="398.33333333333331"/>
    <n v="317"/>
    <n v="0.6"/>
    <n v="3"/>
    <n v="0.79581589958159005"/>
    <n v="0.15916317991631801"/>
    <d v="1903-01-11T02:57:21"/>
    <d v="1899-12-30T00:42:31"/>
    <d v="1899-12-30T00:00:00"/>
    <n v="0"/>
    <n v="1"/>
    <n v="0"/>
    <n v="0.4"/>
    <n v="1"/>
    <n v="0.33333333333333331"/>
    <n v="8.3333333333333329E-2"/>
    <d v="1899-12-30T01:09:19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3.4000000000000004"/>
    <n v="78"/>
    <n v="0.69618241068554876"/>
    <s v="Cukup"/>
    <s v="Stay"/>
    <s v="Associate engineer"/>
  </r>
  <r>
    <n v="259"/>
    <s v="Ramadhan Hermansyah"/>
    <s v="IDH70029"/>
    <s v="Engineer"/>
    <x v="61"/>
    <x v="0"/>
    <s v="SIPRAMA"/>
    <d v="2022-10-03T00:00:00"/>
    <d v="2024-10-31T00:00:00"/>
    <s v="2 Tahun 3 Bulan 27 Hari "/>
    <n v="759"/>
    <n v="173"/>
    <n v="3"/>
    <n v="1310"/>
    <n v="436.66666666666669"/>
    <n v="347"/>
    <n v="0.6"/>
    <n v="3"/>
    <n v="0.79465648854961823"/>
    <n v="0.15893129770992365"/>
    <d v="1903-01-14T03:08:05"/>
    <d v="1902-10-28T15:15:33"/>
    <d v="1941-07-28T12:25:09"/>
    <n v="0"/>
    <n v="0"/>
    <n v="1"/>
    <n v="0.4"/>
    <n v="1"/>
    <n v="0.33333333333333331"/>
    <n v="8.3333333333333329E-2"/>
    <d v="1899-12-30T01:08:28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3.4000000000000004"/>
    <n v="78"/>
    <n v="0.69595052847915451"/>
    <s v="Cukup"/>
    <s v="Stay"/>
    <s v="Engineer"/>
  </r>
  <r>
    <n v="260"/>
    <s v="Rizqi Fahurrahman"/>
    <s v="IDH70049"/>
    <s v="Associate engineer"/>
    <x v="64"/>
    <x v="0"/>
    <s v="SIPRAMA"/>
    <d v="2022-11-17T00:00:00"/>
    <d v="2024-10-31T00:00:00"/>
    <s v="2 Tahun 2 Bulan 13 Hari "/>
    <n v="714"/>
    <n v="211"/>
    <n v="4"/>
    <n v="1615"/>
    <n v="403.75"/>
    <n v="318"/>
    <n v="0.6"/>
    <n v="3"/>
    <n v="0.78761609907120744"/>
    <n v="0.1575232198142415"/>
    <d v="1903-05-13T05:20:09"/>
    <d v="1899-12-30T00:00:49"/>
    <d v="1899-12-30T00:00:00"/>
    <n v="0"/>
    <n v="1"/>
    <n v="0"/>
    <n v="0.4"/>
    <n v="1"/>
    <n v="0.33333333333333331"/>
    <n v="8.3333333333333329E-2"/>
    <d v="1899-12-30T01:32:15"/>
    <n v="1"/>
    <n v="4"/>
    <n v="0.8"/>
    <n v="0.2"/>
    <n v="1"/>
    <n v="1"/>
    <n v="0"/>
    <n v="0"/>
    <n v="0"/>
    <n v="1"/>
    <n v="0"/>
    <n v="0"/>
    <n v="0.6"/>
    <n v="3"/>
    <n v="0.375"/>
    <n v="5.6249999999999994E-2"/>
    <n v="75"/>
    <n v="75"/>
    <n v="80"/>
    <n v="75"/>
    <n v="80"/>
    <n v="0.8"/>
    <n v="385"/>
    <n v="0.98701298701298701"/>
    <n v="0.19740259740259741"/>
    <n v="3.4000000000000004"/>
    <n v="77"/>
    <n v="0.69450915055017215"/>
    <s v="Cukup"/>
    <s v="Stay"/>
    <s v="Associate engineer"/>
  </r>
  <r>
    <n v="261"/>
    <s v="Albert Nielsen Naibaho"/>
    <s v="IDH50002"/>
    <s v="Engineer"/>
    <x v="69"/>
    <x v="2"/>
    <s v="SIPRAMA"/>
    <d v="2020-10-19T00:00:00"/>
    <d v="2024-10-31T00:00:00"/>
    <s v="4 Tahun 3 Bulan 11 Hari "/>
    <n v="1473"/>
    <n v="235"/>
    <n v="4"/>
    <n v="1697"/>
    <n v="424.25"/>
    <n v="374"/>
    <n v="0.8"/>
    <n v="4"/>
    <n v="0.88155568650559812"/>
    <n v="0.17631113730111964"/>
    <d v="1913-10-28T02:57:28"/>
    <d v="1913-02-05T23:34:40"/>
    <d v="1899-12-30T00:01:19"/>
    <n v="0"/>
    <n v="0"/>
    <n v="1"/>
    <n v="0.4"/>
    <n v="1"/>
    <n v="0.33333333333333331"/>
    <n v="8.3333333333333329E-2"/>
    <d v="1899-12-30T01:23:38"/>
    <n v="1"/>
    <n v="4"/>
    <n v="0.8"/>
    <n v="0.2"/>
    <n v="1"/>
    <n v="1"/>
    <n v="0"/>
    <n v="0"/>
    <n v="0"/>
    <n v="0"/>
    <n v="0"/>
    <n v="0"/>
    <n v="0.4"/>
    <n v="2"/>
    <n v="0.25"/>
    <n v="3.7499999999999999E-2"/>
    <n v="75"/>
    <n v="75"/>
    <n v="75"/>
    <n v="70"/>
    <n v="65"/>
    <n v="0.8"/>
    <n v="360"/>
    <n v="0.98611111111111116"/>
    <n v="0.19722222222222224"/>
    <n v="3.4000000000000004"/>
    <n v="72"/>
    <n v="0.69436669285667518"/>
    <s v="Cukup"/>
    <s v="Stay"/>
    <s v="Engineer"/>
  </r>
  <r>
    <n v="262"/>
    <s v="Muhamad Reza Maulana"/>
    <s v="IDH20044"/>
    <s v="Senior engineer"/>
    <x v="64"/>
    <x v="0"/>
    <s v="GSS"/>
    <d v="2019-02-18T00:00:00"/>
    <d v="2024-10-31T00:00:00"/>
    <s v="5 Tahun 11 Bulan 12 Hari "/>
    <n v="2082"/>
    <n v="211"/>
    <n v="4"/>
    <n v="1615"/>
    <n v="403.75"/>
    <n v="369"/>
    <n v="0.8"/>
    <n v="4"/>
    <n v="0.9139318885448916"/>
    <n v="0.18278637770897832"/>
    <d v="1920-01-18T04:14:02"/>
    <d v="1931-01-18T21:18:13"/>
    <d v="1899-12-30T00:00:00"/>
    <n v="0"/>
    <n v="0"/>
    <n v="0"/>
    <n v="0"/>
    <n v="0"/>
    <n v="0"/>
    <n v="0"/>
    <d v="1899-12-30T01:19:19"/>
    <n v="1"/>
    <n v="4"/>
    <n v="0.8"/>
    <n v="0.2"/>
    <n v="1"/>
    <n v="1"/>
    <n v="1"/>
    <n v="1"/>
    <n v="0"/>
    <n v="1"/>
    <n v="0"/>
    <n v="1"/>
    <n v="1"/>
    <n v="6"/>
    <n v="0.75"/>
    <n v="0.11249999999999999"/>
    <n v="75"/>
    <n v="75"/>
    <n v="80"/>
    <n v="80"/>
    <n v="80"/>
    <n v="0.8"/>
    <n v="390"/>
    <n v="0.98717948717948723"/>
    <n v="0.19743589743589746"/>
    <n v="3.5999999999999996"/>
    <n v="78"/>
    <n v="0.69272227514487583"/>
    <s v="Cukup"/>
    <s v="Stay"/>
    <s v="Senior engineer"/>
  </r>
  <r>
    <n v="263"/>
    <s v="Rian Nurhidayat"/>
    <s v="IDH80087"/>
    <s v="Associate engineer"/>
    <x v="42"/>
    <x v="0"/>
    <s v="IMPACT"/>
    <d v="2023-09-04T00:00:00"/>
    <d v="2024-10-31T00:00:00"/>
    <s v="1 Tahun 4 Bulan 26 Hari "/>
    <n v="423"/>
    <n v="332"/>
    <n v="6"/>
    <n v="2281"/>
    <n v="380.16666666666669"/>
    <n v="423"/>
    <n v="1"/>
    <n v="5"/>
    <n v="1.1126698816308636"/>
    <n v="0.22253397632617272"/>
    <d v="1901-09-21T09:23:46"/>
    <d v="1899-12-30T00:35:43"/>
    <d v="1899-12-30T00:00:00"/>
    <n v="0"/>
    <n v="1"/>
    <n v="0"/>
    <n v="0.4"/>
    <n v="1"/>
    <n v="0.33333333333333331"/>
    <n v="8.3333333333333329E-2"/>
    <d v="1899-12-30T02:58:02"/>
    <n v="0.75"/>
    <n v="3"/>
    <n v="0.6"/>
    <n v="0.15"/>
    <n v="1"/>
    <n v="1"/>
    <n v="0"/>
    <n v="0"/>
    <n v="0"/>
    <n v="0"/>
    <n v="0"/>
    <n v="0"/>
    <n v="0.4"/>
    <n v="2"/>
    <n v="0.25"/>
    <n v="3.7499999999999999E-2"/>
    <n v="75"/>
    <n v="75"/>
    <n v="80"/>
    <n v="80"/>
    <n v="80"/>
    <n v="0.8"/>
    <n v="390"/>
    <n v="0.98717948717948723"/>
    <n v="0.19743589743589746"/>
    <n v="3.3499999999999996"/>
    <n v="78"/>
    <n v="0.69080320709540355"/>
    <s v="Cukup"/>
    <s v="Stay"/>
    <s v="Associate engineer"/>
  </r>
  <r>
    <n v="264"/>
    <s v="Renaldo Dio Undari"/>
    <s v="IDH50029"/>
    <s v="Senior engineer"/>
    <x v="76"/>
    <x v="0"/>
    <s v="SIPRAMA"/>
    <d v="2021-02-01T00:00:00"/>
    <d v="2024-10-31T00:00:00"/>
    <s v="3 Tahun 11 Bulan 29 Hari "/>
    <n v="1368"/>
    <n v="329"/>
    <n v="6"/>
    <n v="2587"/>
    <n v="431.16666666666669"/>
    <n v="428"/>
    <n v="0.8"/>
    <n v="4"/>
    <n v="0.99265558562040968"/>
    <n v="0.19853111712408195"/>
    <d v="1966-04-12T10:00:40"/>
    <d v="1999-07-03T16:02:17"/>
    <d v="1899-12-30T00:00:00"/>
    <n v="0"/>
    <n v="0"/>
    <n v="0"/>
    <n v="0"/>
    <n v="0"/>
    <n v="0"/>
    <n v="0"/>
    <d v="1899-12-30T01:23:09"/>
    <n v="1"/>
    <n v="4"/>
    <n v="0.8"/>
    <n v="0.2"/>
    <n v="1"/>
    <n v="1"/>
    <n v="1"/>
    <n v="1"/>
    <n v="0"/>
    <n v="1"/>
    <n v="0"/>
    <n v="0"/>
    <n v="1"/>
    <n v="5"/>
    <n v="0.625"/>
    <n v="9.375E-2"/>
    <n v="75"/>
    <n v="75"/>
    <n v="80"/>
    <n v="85"/>
    <n v="80"/>
    <n v="0.8"/>
    <n v="395"/>
    <n v="0.98734177215189878"/>
    <n v="0.19746835443037977"/>
    <n v="3.5999999999999996"/>
    <n v="79"/>
    <n v="0.68974947155446176"/>
    <s v="Cukup"/>
    <s v="Stay"/>
    <s v="Senior engineer"/>
  </r>
  <r>
    <n v="265"/>
    <s v="Rafi Fredy Septianto"/>
    <s v="IDH80059"/>
    <s v="Associate engineer"/>
    <x v="1"/>
    <x v="1"/>
    <s v="IMPACT"/>
    <d v="2023-05-29T00:00:00"/>
    <d v="2024-10-31T00:00:00"/>
    <s v="1 Tahun 8 Bulan 1 Hari "/>
    <n v="521"/>
    <n v="893"/>
    <n v="17"/>
    <n v="6172"/>
    <n v="363.05882352941177"/>
    <n v="393"/>
    <n v="1"/>
    <n v="5"/>
    <n v="1.0824692158133506"/>
    <n v="0.21649384316267015"/>
    <d v="1943-05-05T23:16:35"/>
    <d v="1899-12-30T00:00:00"/>
    <d v="1899-12-30T00:00:00"/>
    <n v="0"/>
    <n v="0"/>
    <n v="0"/>
    <n v="0"/>
    <n v="0"/>
    <n v="0"/>
    <n v="0"/>
    <d v="1899-12-30T01:31:49"/>
    <n v="1"/>
    <n v="4"/>
    <n v="0.8"/>
    <n v="0.2"/>
    <n v="1"/>
    <n v="1"/>
    <n v="1"/>
    <n v="0"/>
    <n v="0"/>
    <n v="1"/>
    <n v="0"/>
    <n v="0"/>
    <n v="0.8"/>
    <n v="4"/>
    <n v="0.5"/>
    <n v="7.4999999999999997E-2"/>
    <n v="75"/>
    <n v="75"/>
    <n v="90"/>
    <n v="85"/>
    <n v="80"/>
    <n v="0.8"/>
    <n v="405"/>
    <n v="0.98765432098765427"/>
    <n v="0.19753086419753085"/>
    <n v="3.5999999999999996"/>
    <n v="81"/>
    <n v="0.68902470736020094"/>
    <s v="Cukup"/>
    <s v="Stay"/>
    <s v="Associate engineer"/>
  </r>
  <r>
    <n v="266"/>
    <s v="Hamzah Dwi Aryanto"/>
    <s v="IDH60054"/>
    <s v="Engineer"/>
    <x v="76"/>
    <x v="0"/>
    <s v="CITIUS"/>
    <d v="2022-03-01T00:00:00"/>
    <d v="2024-10-31T00:00:00"/>
    <s v="2 Tahun 10 Bulan 29 Hari "/>
    <n v="975"/>
    <n v="329"/>
    <n v="6"/>
    <n v="2587"/>
    <n v="431.16666666666669"/>
    <n v="505"/>
    <n v="1"/>
    <n v="5"/>
    <n v="1.1712408194820254"/>
    <n v="0.2342481638964051"/>
    <d v="1922-01-12T20:54:05"/>
    <d v="1962-04-11T22:28:25"/>
    <d v="1899-12-30T00:00:00"/>
    <n v="0"/>
    <n v="0"/>
    <n v="0"/>
    <n v="0"/>
    <n v="0"/>
    <n v="0"/>
    <n v="0"/>
    <d v="1899-12-30T01:49:59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3.4000000000000004"/>
    <n v="78"/>
    <n v="0.68793406133230262"/>
    <s v="Cukup"/>
    <s v="Stay"/>
    <s v="Engineer"/>
  </r>
  <r>
    <n v="267"/>
    <s v="Syahroni"/>
    <s v="IDH80082"/>
    <s v="Associate engineer"/>
    <x v="1"/>
    <x v="1"/>
    <s v="IMPACT"/>
    <d v="2023-11-13T00:00:00"/>
    <d v="2024-10-31T00:00:00"/>
    <s v="1 Tahun 2 Bulan 17 Hari "/>
    <n v="353"/>
    <n v="893"/>
    <n v="14"/>
    <n v="6172"/>
    <n v="440.85714285714283"/>
    <n v="433"/>
    <n v="0.8"/>
    <n v="4"/>
    <n v="0.9821775761503565"/>
    <n v="0.1964355152300713"/>
    <d v="1903-07-22T14:35:48"/>
    <d v="1899-12-30T00:00:00"/>
    <d v="1899-12-30T00:00:00"/>
    <n v="0"/>
    <n v="0"/>
    <n v="0"/>
    <n v="0"/>
    <n v="0"/>
    <n v="0"/>
    <n v="0"/>
    <d v="1899-12-30T01:05:03"/>
    <n v="1"/>
    <n v="4"/>
    <n v="0.8"/>
    <n v="0.2"/>
    <n v="1"/>
    <n v="1"/>
    <n v="1"/>
    <n v="0"/>
    <n v="0"/>
    <n v="1"/>
    <n v="0"/>
    <n v="1"/>
    <n v="1"/>
    <n v="5"/>
    <n v="0.625"/>
    <n v="9.375E-2"/>
    <n v="75"/>
    <n v="75"/>
    <n v="90"/>
    <n v="85"/>
    <n v="80"/>
    <n v="0.8"/>
    <n v="405"/>
    <n v="0.98765432098765427"/>
    <n v="0.19753086419753085"/>
    <n v="3.5999999999999996"/>
    <n v="81"/>
    <n v="0.68771637942760222"/>
    <s v="New CE"/>
    <s v="Stay"/>
    <s v="Associate engineer"/>
  </r>
  <r>
    <n v="268"/>
    <s v="Jihad Fuadi"/>
    <s v="IDH60002"/>
    <s v="Engineer"/>
    <x v="22"/>
    <x v="1"/>
    <s v="CITIUS"/>
    <d v="2021-08-23T00:00:00"/>
    <d v="2024-10-31T00:00:00"/>
    <s v="3 Tahun 5 Bulan 7 Hari "/>
    <n v="1165"/>
    <n v="760"/>
    <n v="13"/>
    <n v="5863"/>
    <n v="451"/>
    <n v="482"/>
    <n v="1"/>
    <n v="5"/>
    <n v="1.0687361419068737"/>
    <n v="0.21374722838137475"/>
    <d v="1909-05-18T22:28:39"/>
    <d v="1899-12-30T00:00:00"/>
    <d v="1899-12-30T00:00:00"/>
    <n v="0"/>
    <n v="0"/>
    <n v="0"/>
    <n v="0"/>
    <n v="0"/>
    <n v="0"/>
    <n v="0"/>
    <d v="1899-12-30T01:06:25"/>
    <n v="1"/>
    <n v="4"/>
    <n v="0.8"/>
    <n v="0.2"/>
    <n v="1"/>
    <n v="1"/>
    <n v="1"/>
    <n v="1"/>
    <n v="0"/>
    <n v="0"/>
    <n v="0"/>
    <n v="0"/>
    <n v="0.8"/>
    <n v="4"/>
    <n v="0.5"/>
    <n v="7.4999999999999997E-2"/>
    <n v="75"/>
    <n v="75"/>
    <n v="90"/>
    <n v="90"/>
    <n v="75"/>
    <n v="0.8"/>
    <n v="405"/>
    <n v="0.98765432098765427"/>
    <n v="0.19753086419753085"/>
    <n v="3.5999999999999996"/>
    <n v="81"/>
    <n v="0.6862780925789056"/>
    <s v="Cukup"/>
    <s v="Stay"/>
    <s v="Engineer"/>
  </r>
  <r>
    <n v="269"/>
    <s v="Mugty Ardiyanto"/>
    <s v="IDH70111"/>
    <s v="Associate engineer"/>
    <x v="46"/>
    <x v="0"/>
    <s v="SIPRAMA"/>
    <d v="2024-01-15T00:00:00"/>
    <d v="2024-10-31T00:00:00"/>
    <s v="1 Tahun 0 Bulan 15 Hari "/>
    <n v="290"/>
    <n v="313"/>
    <n v="6"/>
    <n v="2164"/>
    <n v="360.66666666666669"/>
    <n v="256"/>
    <n v="0.6"/>
    <n v="3"/>
    <n v="0.70979667282809611"/>
    <n v="0.14195933456561924"/>
    <d v="1899-12-30T00:18:23"/>
    <d v="1899-12-30T00:00:00"/>
    <d v="1899-12-30T00:00:00"/>
    <n v="1"/>
    <n v="0"/>
    <n v="0"/>
    <n v="0.4"/>
    <n v="1"/>
    <n v="0.33333333333333331"/>
    <n v="8.3333333333333329E-2"/>
    <d v="1899-12-30T02:03:25"/>
    <n v="0.75"/>
    <n v="3"/>
    <n v="0.6"/>
    <n v="0.15"/>
    <n v="1"/>
    <n v="1"/>
    <n v="1"/>
    <n v="0"/>
    <n v="1"/>
    <n v="1"/>
    <n v="0"/>
    <n v="1"/>
    <n v="1"/>
    <n v="6"/>
    <n v="0.75"/>
    <n v="0.11249999999999999"/>
    <n v="75"/>
    <n v="75"/>
    <n v="80"/>
    <n v="80"/>
    <n v="80"/>
    <n v="0.8"/>
    <n v="390"/>
    <n v="0.98717948717948723"/>
    <n v="0.19743589743589746"/>
    <n v="3.55"/>
    <n v="78"/>
    <n v="0.68522856533484999"/>
    <s v="New CE"/>
    <s v="Stay"/>
    <s v="Associate engineer"/>
  </r>
  <r>
    <n v="270"/>
    <s v="Mulia"/>
    <s v="IDH80098"/>
    <s v="Associate engineer"/>
    <x v="77"/>
    <x v="2"/>
    <s v="IMPACT"/>
    <d v="2023-09-04T00:00:00"/>
    <d v="2024-10-31T00:00:00"/>
    <s v="1 Tahun 4 Bulan 26 Hari "/>
    <n v="423"/>
    <n v="40"/>
    <n v="1"/>
    <n v="370"/>
    <n v="370"/>
    <n v="307"/>
    <n v="0.8"/>
    <n v="4"/>
    <n v="0.82972972972972969"/>
    <n v="0.16594594594594594"/>
    <d v="1905-05-27T07:15:54"/>
    <d v="1899-12-30T00:00:00"/>
    <d v="1903-10-03T17:03:38"/>
    <n v="0"/>
    <n v="0"/>
    <n v="1"/>
    <n v="0.4"/>
    <n v="1"/>
    <n v="0.33333333333333331"/>
    <n v="8.3333333333333329E-2"/>
    <d v="1899-12-30T01:11:02"/>
    <n v="1"/>
    <n v="4"/>
    <n v="0.8"/>
    <n v="0.2"/>
    <n v="1"/>
    <n v="1"/>
    <n v="0"/>
    <n v="0"/>
    <n v="0"/>
    <n v="0"/>
    <n v="0"/>
    <n v="0"/>
    <n v="0.4"/>
    <n v="2"/>
    <n v="0.25"/>
    <n v="3.7499999999999999E-2"/>
    <n v="75"/>
    <n v="75"/>
    <n v="90"/>
    <n v="85"/>
    <n v="85"/>
    <n v="0.8"/>
    <n v="410"/>
    <n v="0.98780487804878048"/>
    <n v="0.19756097560975611"/>
    <n v="3.4000000000000004"/>
    <n v="82"/>
    <n v="0.68434025488903538"/>
    <s v="Cukup"/>
    <s v="Stay"/>
    <s v="Associate engineer"/>
  </r>
  <r>
    <n v="271"/>
    <s v="Azwar Harming"/>
    <s v="IDH50001"/>
    <s v="Engineer"/>
    <x v="9"/>
    <x v="2"/>
    <s v="SIPRAMA"/>
    <d v="2019-02-18T00:00:00"/>
    <d v="2024-10-31T00:00:00"/>
    <s v="5 Tahun 11 Bulan 12 Hari "/>
    <n v="2082"/>
    <n v="448"/>
    <n v="7"/>
    <n v="2614"/>
    <n v="373.42857142857144"/>
    <n v="310"/>
    <n v="0.8"/>
    <n v="4"/>
    <n v="0.83014537107880637"/>
    <n v="0.1660290742157613"/>
    <d v="1903-10-09T01:00:22"/>
    <d v="1899-12-30T00:00:00"/>
    <d v="1899-12-30T08:58:22"/>
    <n v="0"/>
    <n v="0"/>
    <n v="1"/>
    <n v="0.4"/>
    <n v="1"/>
    <n v="0.33333333333333331"/>
    <n v="8.3333333333333329E-2"/>
    <d v="1899-12-30T01:26:00"/>
    <n v="1"/>
    <n v="4"/>
    <n v="0.8"/>
    <n v="0.2"/>
    <n v="1"/>
    <n v="1"/>
    <n v="0"/>
    <n v="0"/>
    <n v="0"/>
    <n v="0"/>
    <n v="0"/>
    <n v="0"/>
    <n v="0.4"/>
    <n v="2"/>
    <n v="0.25"/>
    <n v="3.7499999999999999E-2"/>
    <n v="75"/>
    <n v="75"/>
    <n v="75"/>
    <n v="75"/>
    <n v="75"/>
    <n v="0.8"/>
    <n v="375"/>
    <n v="0.98666666666666669"/>
    <n v="0.19733333333333336"/>
    <n v="3.4000000000000004"/>
    <n v="75"/>
    <n v="0.68419574088242796"/>
    <s v="Cukup"/>
    <s v="Stay"/>
    <s v="Engineer"/>
  </r>
  <r>
    <n v="272"/>
    <s v="Mohammad Vicky Firmansyah"/>
    <s v="IDH60074"/>
    <s v="Engineer"/>
    <x v="76"/>
    <x v="0"/>
    <s v="CITIUS"/>
    <d v="2022-07-04T00:00:00"/>
    <d v="2024-10-31T00:00:00"/>
    <s v="2 Tahun 6 Bulan 26 Hari "/>
    <n v="850"/>
    <n v="329"/>
    <n v="6"/>
    <n v="2587"/>
    <n v="431.16666666666669"/>
    <n v="422"/>
    <n v="0.8"/>
    <n v="4"/>
    <n v="0.97873985311171241"/>
    <n v="0.1957479706223425"/>
    <d v="1904-04-18T23:48:33"/>
    <d v="1899-12-30T00:25:36"/>
    <d v="1899-12-30T00:00:00"/>
    <n v="0"/>
    <n v="1"/>
    <n v="0"/>
    <n v="0.4"/>
    <n v="1"/>
    <n v="0.33333333333333331"/>
    <n v="8.3333333333333329E-2"/>
    <d v="1899-12-30T02:01:01"/>
    <n v="0.75"/>
    <n v="3"/>
    <n v="0.6"/>
    <n v="0.15"/>
    <n v="1"/>
    <n v="1"/>
    <n v="1"/>
    <n v="0"/>
    <n v="0"/>
    <n v="0"/>
    <n v="0"/>
    <n v="0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3.3500000000000005"/>
    <n v="78"/>
    <n v="0.68276720139157332"/>
    <s v="Cukup"/>
    <s v="Stay"/>
    <s v="Engineer"/>
  </r>
  <r>
    <n v="273"/>
    <s v="Muhammad Ridwan Saleh"/>
    <s v="IDH80043"/>
    <s v="Associate engineer"/>
    <x v="12"/>
    <x v="1"/>
    <s v="IMPACT"/>
    <d v="2023-02-09T00:00:00"/>
    <d v="2024-10-31T00:00:00"/>
    <s v="1 Tahun 11 Bulan 21 Hari "/>
    <n v="630"/>
    <n v="1040"/>
    <n v="17"/>
    <n v="7455"/>
    <n v="438.52941176470586"/>
    <n v="497"/>
    <n v="1"/>
    <n v="5"/>
    <n v="1.1333333333333333"/>
    <n v="0.22666666666666668"/>
    <d v="1902-08-06T11:28:36"/>
    <d v="1899-12-30T00:00:00"/>
    <d v="1899-12-30T00:00:00"/>
    <n v="0"/>
    <n v="0"/>
    <n v="0"/>
    <n v="0"/>
    <n v="0"/>
    <n v="0"/>
    <n v="0"/>
    <d v="1899-12-30T01:10:59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90"/>
    <n v="85"/>
    <n v="80"/>
    <n v="0.8"/>
    <n v="405"/>
    <n v="0.98765432098765427"/>
    <n v="0.19753086419753085"/>
    <n v="3.4000000000000004"/>
    <n v="81"/>
    <n v="0.68044753086419751"/>
    <s v="Cukup"/>
    <s v="Stay"/>
    <s v="Associate engineer"/>
  </r>
  <r>
    <n v="274"/>
    <s v="Samsul Ma'arif"/>
    <s v="IDH70110"/>
    <s v="Associate engineer"/>
    <x v="22"/>
    <x v="1"/>
    <s v="SIPRAMA"/>
    <d v="2024-01-15T00:00:00"/>
    <d v="2024-10-31T00:00:00"/>
    <s v="1 Tahun 0 Bulan 15 Hari "/>
    <n v="290"/>
    <n v="760"/>
    <n v="13"/>
    <n v="5863"/>
    <n v="451"/>
    <n v="379"/>
    <n v="0.8"/>
    <n v="4"/>
    <n v="0.84035476718403546"/>
    <n v="0.16807095343680711"/>
    <d v="1903-12-06T05:23:48"/>
    <d v="1899-12-30T00:00:00"/>
    <d v="1899-12-30T00:00:00"/>
    <n v="0"/>
    <n v="0"/>
    <n v="0"/>
    <n v="0"/>
    <n v="0"/>
    <n v="0"/>
    <n v="0"/>
    <d v="1899-12-30T01:28:52"/>
    <n v="1"/>
    <n v="4"/>
    <n v="0.8"/>
    <n v="0.2"/>
    <n v="1"/>
    <n v="1"/>
    <n v="1"/>
    <n v="0"/>
    <n v="1"/>
    <n v="0"/>
    <n v="1"/>
    <n v="1"/>
    <n v="1"/>
    <n v="6"/>
    <n v="0.75"/>
    <n v="0.11249999999999999"/>
    <n v="75"/>
    <n v="75"/>
    <n v="90"/>
    <n v="85"/>
    <n v="80"/>
    <n v="0.8"/>
    <n v="405"/>
    <n v="0.98765432098765427"/>
    <n v="0.19753086419753085"/>
    <n v="3.5999999999999996"/>
    <n v="81"/>
    <n v="0.67810181763433797"/>
    <s v="New CE"/>
    <s v="Stay"/>
    <s v="Associate engineer"/>
  </r>
  <r>
    <n v="275"/>
    <s v="Matin Razaaq"/>
    <s v="IDH80055"/>
    <s v="Associate engineer"/>
    <x v="11"/>
    <x v="1"/>
    <s v="IMPACT"/>
    <d v="2023-05-29T00:00:00"/>
    <d v="2024-10-31T00:00:00"/>
    <s v="1 Tahun 8 Bulan 1 Hari "/>
    <n v="521"/>
    <n v="897"/>
    <n v="13"/>
    <n v="6212"/>
    <n v="477.84615384615387"/>
    <n v="534"/>
    <n v="1"/>
    <n v="5"/>
    <n v="1.1175144880875725"/>
    <n v="0.22350289761751452"/>
    <d v="1902-06-10T07:34:49"/>
    <d v="1899-12-30T00:00:00"/>
    <d v="1899-12-30T00:00:00"/>
    <n v="0"/>
    <n v="0"/>
    <n v="0"/>
    <n v="0"/>
    <n v="0"/>
    <n v="0"/>
    <n v="0"/>
    <d v="1899-12-30T01:52:42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90"/>
    <n v="85"/>
    <n v="80"/>
    <n v="0.8"/>
    <n v="405"/>
    <n v="0.98765432098765427"/>
    <n v="0.19753086419753085"/>
    <n v="3.4000000000000004"/>
    <n v="81"/>
    <n v="0.67728376181504535"/>
    <s v="Cukup"/>
    <s v="Stay"/>
    <s v="Associate engineer"/>
  </r>
  <r>
    <n v="276"/>
    <s v="Juan Elfredo Sianturi"/>
    <s v="IDH80100"/>
    <s v="Associate engineer"/>
    <x v="32"/>
    <x v="1"/>
    <s v="IMPACT"/>
    <d v="2023-09-04T00:00:00"/>
    <d v="2024-10-31T00:00:00"/>
    <s v="1 Tahun 4 Bulan 26 Hari "/>
    <n v="423"/>
    <n v="218"/>
    <n v="4"/>
    <n v="1692"/>
    <n v="423"/>
    <n v="399"/>
    <n v="0.8"/>
    <n v="4"/>
    <n v="0.94326241134751776"/>
    <n v="0.18865248226950357"/>
    <d v="1907-08-12T08:19:17"/>
    <d v="1915-07-23T06:45:49"/>
    <d v="1899-12-30T00:01:10"/>
    <n v="0"/>
    <n v="0"/>
    <n v="1"/>
    <n v="0.4"/>
    <n v="1"/>
    <n v="0.33333333333333331"/>
    <n v="8.3333333333333329E-2"/>
    <d v="1899-12-30T02:00:51"/>
    <n v="0.75"/>
    <n v="3"/>
    <n v="0.6"/>
    <n v="0.15"/>
    <n v="1"/>
    <n v="1"/>
    <n v="1"/>
    <n v="0"/>
    <n v="0"/>
    <n v="0"/>
    <n v="0"/>
    <n v="0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3.3500000000000005"/>
    <n v="78"/>
    <n v="0.67567171303873441"/>
    <s v="Cukup"/>
    <s v="Stay"/>
    <s v="Associate engineer"/>
  </r>
  <r>
    <n v="277"/>
    <s v="Andrew Hendradi"/>
    <s v="IDH90001"/>
    <s v="Associate engineer"/>
    <x v="11"/>
    <x v="1"/>
    <s v="GSS"/>
    <d v="2023-09-04T00:00:00"/>
    <d v="2024-10-31T00:00:00"/>
    <s v="1 Tahun 4 Bulan 26 Hari "/>
    <n v="423"/>
    <n v="897"/>
    <n v="13"/>
    <n v="6212"/>
    <n v="477.84615384615387"/>
    <n v="527"/>
    <n v="1"/>
    <n v="5"/>
    <n v="1.102865421764327"/>
    <n v="0.22057308435286541"/>
    <d v="1901-06-12T03:38:43"/>
    <d v="1899-12-30T00:00:00"/>
    <d v="1899-12-30T00:00:00"/>
    <n v="0"/>
    <n v="0"/>
    <n v="0"/>
    <n v="0"/>
    <n v="0"/>
    <n v="0"/>
    <n v="0"/>
    <d v="1899-12-30T01:34:31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90"/>
    <n v="85"/>
    <n v="80"/>
    <n v="0.8"/>
    <n v="405"/>
    <n v="0.98765432098765427"/>
    <n v="0.19753086419753085"/>
    <n v="3.4000000000000004"/>
    <n v="81"/>
    <n v="0.67435394855039632"/>
    <s v="Cukup"/>
    <s v="Stay"/>
    <s v="Associate engineer"/>
  </r>
  <r>
    <n v="278"/>
    <s v="Nahar Fathurrohman"/>
    <s v="IDH30036"/>
    <s v="Senior engineer"/>
    <x v="35"/>
    <x v="1"/>
    <s v="SIPRAMA"/>
    <d v="2018-10-15T00:00:00"/>
    <d v="2024-10-31T00:00:00"/>
    <s v="6 Tahun 3 Bulan 15 Hari "/>
    <n v="2208"/>
    <n v="510"/>
    <n v="9"/>
    <n v="3962"/>
    <n v="440.22222222222223"/>
    <n v="485"/>
    <n v="1"/>
    <n v="5"/>
    <n v="1.1017163048965168"/>
    <n v="0.22034326097930337"/>
    <d v="1906-02-24T04:13:37"/>
    <d v="1899-12-30T00:00:00"/>
    <d v="1899-12-30T00:00:00"/>
    <n v="0"/>
    <n v="0"/>
    <n v="0"/>
    <n v="0"/>
    <n v="0"/>
    <n v="0"/>
    <n v="0"/>
    <d v="1899-12-30T01:09:04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90"/>
    <n v="90"/>
    <n v="90"/>
    <n v="0.8"/>
    <n v="420"/>
    <n v="0.98809523809523814"/>
    <n v="0.19761904761904764"/>
    <n v="3.4000000000000004"/>
    <n v="84"/>
    <n v="0.67421230859835113"/>
    <s v="Cukup"/>
    <s v="Stay"/>
    <s v="Senior engineer"/>
  </r>
  <r>
    <n v="279"/>
    <s v="Yogi Prasetyo"/>
    <s v="IDH20017"/>
    <s v="Senior engineer"/>
    <x v="11"/>
    <x v="1"/>
    <s v="SIPRAMA"/>
    <d v="2016-03-04T00:00:00"/>
    <d v="2024-10-31T00:00:00"/>
    <s v="8 Tahun 10 Bulan 26 Hari "/>
    <n v="3163"/>
    <n v="897"/>
    <n v="13"/>
    <n v="6212"/>
    <n v="477.84615384615387"/>
    <n v="479"/>
    <n v="1"/>
    <n v="5"/>
    <n v="1.0024146812620733"/>
    <n v="0.20048293625241467"/>
    <d v="1956-07-10T11:59:24"/>
    <d v="1899-12-30T00:00:00"/>
    <d v="1899-12-30T00:00:00"/>
    <n v="0"/>
    <n v="0"/>
    <n v="0"/>
    <n v="0"/>
    <n v="0"/>
    <n v="0"/>
    <n v="0"/>
    <d v="1899-12-30T01:57:51"/>
    <n v="1"/>
    <n v="4"/>
    <n v="0.8"/>
    <n v="0.2"/>
    <n v="1"/>
    <n v="1"/>
    <n v="1"/>
    <n v="0"/>
    <n v="0"/>
    <n v="1"/>
    <n v="0"/>
    <n v="0"/>
    <n v="0.8"/>
    <n v="4"/>
    <n v="0.5"/>
    <n v="7.4999999999999997E-2"/>
    <n v="75"/>
    <n v="75"/>
    <n v="90"/>
    <n v="80"/>
    <n v="90"/>
    <n v="0.8"/>
    <n v="410"/>
    <n v="0.98780487804878048"/>
    <n v="0.19756097560975611"/>
    <n v="3.5999999999999996"/>
    <n v="82"/>
    <n v="0.67304391186217083"/>
    <s v="Cukup"/>
    <s v="Stay"/>
    <s v="Senior engineer"/>
  </r>
  <r>
    <n v="280"/>
    <s v="Moh. Rosyid"/>
    <s v="IDH60012"/>
    <s v="Engineer"/>
    <x v="54"/>
    <x v="2"/>
    <s v="CITIUS"/>
    <d v="2021-08-23T00:00:00"/>
    <d v="2024-10-31T00:00:00"/>
    <s v="3 Tahun 5 Bulan 7 Hari "/>
    <n v="1165"/>
    <n v="109"/>
    <n v="2"/>
    <n v="853"/>
    <n v="426.5"/>
    <n v="396"/>
    <n v="0.8"/>
    <n v="4"/>
    <n v="0.92848769050410318"/>
    <n v="0.18569753810082065"/>
    <d v="1913-10-26T22:04:55"/>
    <d v="1931-02-13T07:22:09"/>
    <d v="1924-11-14T12:25:45"/>
    <n v="0"/>
    <n v="0"/>
    <n v="1"/>
    <n v="0.4"/>
    <n v="1"/>
    <n v="0.33333333333333331"/>
    <n v="8.3333333333333329E-2"/>
    <d v="1899-12-30T02:54:41"/>
    <n v="0.75"/>
    <n v="3"/>
    <n v="0.6"/>
    <n v="0.15"/>
    <n v="1"/>
    <n v="1"/>
    <n v="1"/>
    <n v="0"/>
    <n v="0"/>
    <n v="0"/>
    <n v="0"/>
    <n v="0"/>
    <n v="0.6"/>
    <n v="3"/>
    <n v="0.375"/>
    <n v="5.6249999999999994E-2"/>
    <n v="75"/>
    <n v="75"/>
    <n v="80"/>
    <n v="85"/>
    <n v="80"/>
    <n v="0.8"/>
    <n v="395"/>
    <n v="0.98734177215189878"/>
    <n v="0.19746835443037977"/>
    <n v="3.3500000000000005"/>
    <n v="79"/>
    <n v="0.67274922586453378"/>
    <s v="Cukup"/>
    <s v="Stay"/>
    <s v="Engineer"/>
  </r>
  <r>
    <n v="281"/>
    <s v="Muhammad Gusti Agung"/>
    <s v="IDH80070"/>
    <s v="Associate engineer"/>
    <x v="38"/>
    <x v="2"/>
    <s v="IMPACT"/>
    <d v="2023-07-24T00:00:00"/>
    <d v="2024-10-31T00:00:00"/>
    <s v="1 Tahun 6 Bulan 6 Hari "/>
    <n v="465"/>
    <n v="90"/>
    <n v="2"/>
    <n v="587"/>
    <n v="293.5"/>
    <n v="223"/>
    <n v="0.6"/>
    <n v="3"/>
    <n v="0.75979557069846682"/>
    <n v="0.15195911413969337"/>
    <d v="1903-07-24T23:42:44"/>
    <d v="1899-12-30T01:43:09"/>
    <d v="1899-12-30T00:51:06"/>
    <n v="0"/>
    <n v="1"/>
    <n v="1"/>
    <n v="0.8"/>
    <n v="2"/>
    <n v="0.66666666666666663"/>
    <n v="0.16666666666666666"/>
    <d v="1899-12-30T03:23:17"/>
    <n v="0.5"/>
    <n v="2"/>
    <n v="0.4"/>
    <n v="0.1"/>
    <n v="1"/>
    <n v="1"/>
    <n v="1"/>
    <n v="0"/>
    <n v="0"/>
    <n v="0"/>
    <n v="0"/>
    <n v="0"/>
    <n v="0.6"/>
    <n v="3"/>
    <n v="0.375"/>
    <n v="5.6249999999999994E-2"/>
    <n v="75"/>
    <n v="75"/>
    <n v="85"/>
    <n v="85"/>
    <n v="85"/>
    <n v="0.8"/>
    <n v="405"/>
    <n v="0.98765432098765427"/>
    <n v="0.19753086419753085"/>
    <n v="3.3"/>
    <n v="81"/>
    <n v="0.67240664500389091"/>
    <s v="Cukup"/>
    <s v="Stay"/>
    <s v="Associate engineer"/>
  </r>
  <r>
    <n v="282"/>
    <s v="Aditya Lazari Giri s"/>
    <s v="IDH40133"/>
    <s v="Engineer"/>
    <x v="22"/>
    <x v="1"/>
    <s v="GSS"/>
    <d v="2021-08-02T00:00:00"/>
    <d v="2024-10-31T00:00:00"/>
    <s v="3 Tahun 5 Bulan 28 Hari "/>
    <n v="1186"/>
    <n v="760"/>
    <n v="13"/>
    <n v="5863"/>
    <n v="451"/>
    <n v="375"/>
    <n v="0.8"/>
    <n v="4"/>
    <n v="0.83148558758314861"/>
    <n v="0.16629711751662973"/>
    <d v="1912-10-30T12:29:31"/>
    <d v="1899-12-30T00:00:00"/>
    <d v="1899-12-30T00:00:00"/>
    <n v="0"/>
    <n v="0"/>
    <n v="0"/>
    <n v="0"/>
    <n v="0"/>
    <n v="0"/>
    <n v="0"/>
    <d v="1899-12-30T00:41:05"/>
    <n v="1.25"/>
    <n v="5"/>
    <n v="1"/>
    <n v="0.25"/>
    <n v="1"/>
    <n v="1"/>
    <n v="1"/>
    <n v="0"/>
    <n v="0"/>
    <n v="0"/>
    <n v="0"/>
    <n v="0"/>
    <n v="0.6"/>
    <n v="3"/>
    <n v="0.375"/>
    <n v="5.6249999999999994E-2"/>
    <n v="75"/>
    <n v="75"/>
    <n v="90"/>
    <n v="90"/>
    <n v="80"/>
    <n v="0.8"/>
    <n v="410"/>
    <n v="0.98780487804878048"/>
    <n v="0.19756097560975611"/>
    <n v="3.45"/>
    <n v="82"/>
    <n v="0.67010809312638586"/>
    <s v="Cukup"/>
    <s v="Stay"/>
    <s v="Engineer"/>
  </r>
  <r>
    <n v="283"/>
    <s v="Muhammad Latif Arifin"/>
    <s v="IDH70109"/>
    <s v="Associate engineer"/>
    <x v="35"/>
    <x v="1"/>
    <s v="SIPRAMA"/>
    <d v="2024-01-15T00:00:00"/>
    <d v="2024-10-31T00:00:00"/>
    <s v="1 Tahun 0 Bulan 15 Hari "/>
    <n v="290"/>
    <n v="510"/>
    <n v="9"/>
    <n v="3962"/>
    <n v="440.22222222222223"/>
    <n v="290"/>
    <n v="0.6"/>
    <n v="3"/>
    <n v="0.65875820292781417"/>
    <n v="0.13175164058556285"/>
    <d v="1899-12-30T00:24:45"/>
    <d v="1899-12-30T00:00:00"/>
    <d v="1899-12-30T00:00:00"/>
    <n v="1"/>
    <n v="0"/>
    <n v="0"/>
    <n v="0.4"/>
    <n v="1"/>
    <n v="0.33333333333333331"/>
    <n v="8.3333333333333329E-2"/>
    <d v="1899-12-30T01:35:54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90"/>
    <n v="85"/>
    <n v="80"/>
    <n v="0.8"/>
    <n v="405"/>
    <n v="0.98765432098765427"/>
    <n v="0.19753086419753085"/>
    <n v="3.4000000000000004"/>
    <n v="81"/>
    <n v="0.66886583811642708"/>
    <s v="New CE"/>
    <s v="Stay"/>
    <s v="Associate engineer"/>
  </r>
  <r>
    <n v="284"/>
    <s v="Jose Geraldo Hutayan"/>
    <s v="IDH70060"/>
    <s v="Associate engineer"/>
    <x v="11"/>
    <x v="1"/>
    <s v="SIPRAMA"/>
    <d v="2022-11-17T00:00:00"/>
    <d v="2024-10-31T00:00:00"/>
    <s v="2 Tahun 2 Bulan 13 Hari "/>
    <n v="714"/>
    <n v="897"/>
    <n v="13"/>
    <n v="6212"/>
    <n v="477.84615384615387"/>
    <n v="505"/>
    <n v="1"/>
    <n v="5"/>
    <n v="1.0568254990341275"/>
    <n v="0.2113650998068255"/>
    <d v="1905-03-18T18:32:46"/>
    <d v="1931-01-11T00:40:55"/>
    <d v="1899-12-30T00:00:00"/>
    <n v="0"/>
    <n v="0"/>
    <n v="0"/>
    <n v="0"/>
    <n v="0"/>
    <n v="0"/>
    <n v="0"/>
    <d v="1899-12-30T01:36:23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90"/>
    <n v="85"/>
    <n v="80"/>
    <n v="0.8"/>
    <n v="405"/>
    <n v="0.98765432098765427"/>
    <n v="0.19753086419753085"/>
    <n v="3.4000000000000004"/>
    <n v="81"/>
    <n v="0.66514596400435633"/>
    <s v="Cukup"/>
    <s v="Stay"/>
    <s v="Associate engineer"/>
  </r>
  <r>
    <n v="285"/>
    <s v="Dedi Arif Rahman"/>
    <s v="IDH80052"/>
    <s v="Associate engineer"/>
    <x v="76"/>
    <x v="0"/>
    <s v="IMPACT"/>
    <d v="2023-05-29T00:00:00"/>
    <d v="2024-10-31T00:00:00"/>
    <s v="1 Tahun 8 Bulan 1 Hari "/>
    <n v="521"/>
    <n v="329"/>
    <n v="6"/>
    <n v="2587"/>
    <n v="431.16666666666669"/>
    <n v="487"/>
    <n v="1"/>
    <n v="5"/>
    <n v="1.1294936219559335"/>
    <n v="0.22589872439118672"/>
    <d v="1929-07-31T04:54:27"/>
    <d v="1924-11-26T14:04:32"/>
    <d v="1899-12-30T00:00:00"/>
    <n v="0"/>
    <n v="0"/>
    <n v="0"/>
    <n v="0"/>
    <n v="0"/>
    <n v="0"/>
    <n v="0"/>
    <d v="1899-12-30T01:47:22"/>
    <n v="1"/>
    <n v="4"/>
    <n v="0.8"/>
    <n v="0.2"/>
    <n v="1"/>
    <n v="1"/>
    <n v="0"/>
    <n v="0"/>
    <n v="0"/>
    <n v="0"/>
    <n v="0"/>
    <n v="0"/>
    <n v="0.4"/>
    <n v="2"/>
    <n v="0.25"/>
    <n v="3.7499999999999999E-2"/>
    <n v="75"/>
    <n v="75"/>
    <n v="80"/>
    <n v="80"/>
    <n v="80"/>
    <n v="0.8"/>
    <n v="390"/>
    <n v="0.98717948717948723"/>
    <n v="0.19743589743589746"/>
    <n v="3.2"/>
    <n v="78"/>
    <n v="0.66083462182708419"/>
    <s v="Cukup"/>
    <s v="Stay"/>
    <s v="Associate engineer"/>
  </r>
  <r>
    <n v="286"/>
    <s v="Mudris"/>
    <s v="IDH60062"/>
    <s v="Associate engineer"/>
    <x v="1"/>
    <x v="1"/>
    <s v="CITIUS"/>
    <d v="2022-03-21T00:00:00"/>
    <d v="2024-10-31T00:00:00"/>
    <s v="2 Tahun 10 Bulan 9 Hari "/>
    <n v="955"/>
    <n v="893"/>
    <n v="14"/>
    <n v="6172"/>
    <n v="440.85714285714283"/>
    <n v="415"/>
    <n v="0.8"/>
    <n v="4"/>
    <n v="0.94134802333117307"/>
    <n v="0.18826960466623463"/>
    <d v="1901-08-12T17:29:47"/>
    <d v="1899-12-30T00:00:00"/>
    <d v="1899-12-30T00:00:00"/>
    <n v="0"/>
    <n v="0"/>
    <n v="0"/>
    <n v="0"/>
    <n v="0"/>
    <n v="0"/>
    <n v="0"/>
    <d v="1899-12-30T01:36:01"/>
    <n v="1"/>
    <n v="4"/>
    <n v="0.8"/>
    <n v="0.2"/>
    <n v="1"/>
    <n v="1"/>
    <n v="1"/>
    <n v="1"/>
    <n v="0"/>
    <n v="0"/>
    <n v="0"/>
    <n v="0"/>
    <n v="0.8"/>
    <n v="4"/>
    <n v="0.5"/>
    <n v="7.4999999999999997E-2"/>
    <n v="75"/>
    <n v="75"/>
    <n v="90"/>
    <n v="85"/>
    <n v="80"/>
    <n v="0.8"/>
    <n v="405"/>
    <n v="0.98765432098765427"/>
    <n v="0.19753086419753085"/>
    <n v="3.4000000000000004"/>
    <n v="81"/>
    <n v="0.66080046886376542"/>
    <s v="Cukup"/>
    <s v="Stay"/>
    <s v="Associate engineer"/>
  </r>
  <r>
    <n v="287"/>
    <s v="Damas Prassetio"/>
    <s v="IDH60043"/>
    <s v="Engineer"/>
    <x v="12"/>
    <x v="1"/>
    <s v="CITIUS"/>
    <d v="2021-11-29T00:00:00"/>
    <d v="2024-10-31T00:00:00"/>
    <s v="3 Tahun 2 Bulan 1 Hari "/>
    <n v="1067"/>
    <n v="1040"/>
    <n v="17"/>
    <n v="7455"/>
    <n v="438.52941176470586"/>
    <n v="369"/>
    <n v="0.8"/>
    <n v="4"/>
    <n v="0.84144869215291751"/>
    <n v="0.16828973843058351"/>
    <d v="1901-04-09T04:43:00"/>
    <d v="1899-12-30T00:00:00"/>
    <d v="1899-12-30T00:00:00"/>
    <n v="0"/>
    <n v="0"/>
    <n v="0"/>
    <n v="0"/>
    <n v="0"/>
    <n v="0"/>
    <n v="0"/>
    <d v="1899-12-30T01:48:56"/>
    <n v="1"/>
    <n v="4"/>
    <n v="0.8"/>
    <n v="0.2"/>
    <n v="1"/>
    <n v="1"/>
    <n v="1"/>
    <n v="0"/>
    <n v="0"/>
    <n v="0"/>
    <n v="1"/>
    <n v="1"/>
    <n v="1"/>
    <n v="5"/>
    <n v="0.625"/>
    <n v="9.375E-2"/>
    <n v="75"/>
    <n v="75"/>
    <n v="75"/>
    <n v="90"/>
    <n v="75"/>
    <n v="0.8"/>
    <n v="390"/>
    <n v="0.98717948717948723"/>
    <n v="0.19743589743589746"/>
    <n v="3.5999999999999996"/>
    <n v="78"/>
    <n v="0.65947563586648106"/>
    <s v="Cukup"/>
    <s v="Stay"/>
    <s v="Engineer"/>
  </r>
  <r>
    <n v="288"/>
    <s v="Rama Widya Pratama"/>
    <s v="IDH80041"/>
    <s v="Associate engineer"/>
    <x v="1"/>
    <x v="1"/>
    <s v="IMPACT"/>
    <d v="2023-02-09T00:00:00"/>
    <d v="2024-10-31T00:00:00"/>
    <s v="1 Tahun 11 Bulan 21 Hari "/>
    <n v="630"/>
    <n v="893"/>
    <n v="14"/>
    <n v="6172"/>
    <n v="440.85714285714283"/>
    <n v="411"/>
    <n v="0.8"/>
    <n v="4"/>
    <n v="0.93227478937135455"/>
    <n v="0.18645495787427091"/>
    <d v="1909-01-10T15:18:32"/>
    <d v="1899-12-30T00:00:00"/>
    <d v="1899-12-30T00:00:00"/>
    <n v="0"/>
    <n v="0"/>
    <n v="0"/>
    <n v="0"/>
    <n v="0"/>
    <n v="0"/>
    <n v="0"/>
    <d v="1899-12-30T01:00:11"/>
    <n v="1"/>
    <n v="4"/>
    <n v="0.8"/>
    <n v="0.2"/>
    <n v="1"/>
    <n v="1"/>
    <n v="1"/>
    <n v="0"/>
    <n v="0"/>
    <n v="1"/>
    <n v="0"/>
    <n v="0"/>
    <n v="0.8"/>
    <n v="4"/>
    <n v="0.5"/>
    <n v="7.4999999999999997E-2"/>
    <n v="75"/>
    <n v="75"/>
    <n v="90"/>
    <n v="75"/>
    <n v="80"/>
    <n v="0.8"/>
    <n v="395"/>
    <n v="0.98734177215189878"/>
    <n v="0.19746835443037977"/>
    <n v="3.4000000000000004"/>
    <n v="79"/>
    <n v="0.65892331230465073"/>
    <s v="Cukup"/>
    <s v="Stay"/>
    <s v="Associate engineer"/>
  </r>
  <r>
    <n v="289"/>
    <s v="Ardiansyah"/>
    <s v="IDH30038"/>
    <s v="Senior engineer"/>
    <x v="34"/>
    <x v="2"/>
    <s v="GSS"/>
    <d v="2018-01-08T00:00:00"/>
    <d v="2024-10-31T00:00:00"/>
    <s v="7 Tahun 0 Bulan 22 Hari "/>
    <n v="2488"/>
    <n v="684"/>
    <n v="10"/>
    <n v="4972"/>
    <n v="497.2"/>
    <n v="291"/>
    <n v="0.4"/>
    <n v="2"/>
    <n v="0.585277554304103"/>
    <n v="0.11705551086082061"/>
    <d v="1927-03-08T04:41:48"/>
    <d v="1937-04-10T11:43:46"/>
    <d v="1899-12-30T00:00:00"/>
    <n v="0"/>
    <n v="0"/>
    <n v="0"/>
    <n v="0"/>
    <n v="0"/>
    <n v="0"/>
    <n v="0"/>
    <d v="1899-12-30T00:55:00"/>
    <n v="1.25"/>
    <n v="5"/>
    <n v="1"/>
    <n v="0.25"/>
    <n v="1"/>
    <n v="1"/>
    <n v="1"/>
    <n v="0"/>
    <n v="0"/>
    <n v="1"/>
    <n v="0"/>
    <n v="1"/>
    <n v="1"/>
    <n v="5"/>
    <n v="0.625"/>
    <n v="9.375E-2"/>
    <n v="75"/>
    <n v="75"/>
    <n v="80"/>
    <n v="80"/>
    <n v="80"/>
    <n v="0.8"/>
    <n v="390"/>
    <n v="0.98717948717948723"/>
    <n v="0.19743589743589746"/>
    <n v="3.45"/>
    <n v="78"/>
    <n v="0.65824140829671807"/>
    <s v="Cukup"/>
    <s v="Stay"/>
    <s v="Senior engineer"/>
  </r>
  <r>
    <n v="290"/>
    <s v="Kartono Muhammad"/>
    <s v="IDH40043"/>
    <s v="Engineer"/>
    <x v="12"/>
    <x v="1"/>
    <s v="SIPRAMA"/>
    <d v="2018-10-15T00:00:00"/>
    <d v="2024-10-31T00:00:00"/>
    <s v="6 Tahun 3 Bulan 15 Hari "/>
    <n v="2208"/>
    <n v="1040"/>
    <n v="17"/>
    <n v="7455"/>
    <n v="438.52941176470586"/>
    <n v="399"/>
    <n v="0.8"/>
    <n v="4"/>
    <n v="0.90985915492957747"/>
    <n v="0.18197183098591552"/>
    <d v="1902-02-09T06:22:50"/>
    <d v="1899-12-30T00:00:00"/>
    <d v="1899-12-30T00:00:00"/>
    <n v="0"/>
    <n v="0"/>
    <n v="0"/>
    <n v="0"/>
    <n v="0"/>
    <n v="0"/>
    <n v="0"/>
    <d v="1899-12-30T01:02:04"/>
    <n v="1"/>
    <n v="4"/>
    <n v="0.8"/>
    <n v="0.2"/>
    <n v="1"/>
    <n v="1"/>
    <n v="1"/>
    <n v="1"/>
    <n v="0"/>
    <n v="0"/>
    <n v="0"/>
    <n v="0"/>
    <n v="0.8"/>
    <n v="4"/>
    <n v="0.5"/>
    <n v="7.4999999999999997E-2"/>
    <n v="75"/>
    <n v="75"/>
    <n v="90"/>
    <n v="90"/>
    <n v="65"/>
    <n v="0.8"/>
    <n v="395"/>
    <n v="0.98734177215189878"/>
    <n v="0.19746835443037977"/>
    <n v="3.4000000000000004"/>
    <n v="79"/>
    <n v="0.65444018541629534"/>
    <s v="Cukup"/>
    <s v="Stay"/>
    <s v="Engineer"/>
  </r>
  <r>
    <n v="291"/>
    <s v="Muhammad Ramadhan"/>
    <s v="IDH60090"/>
    <s v="Associate engineer"/>
    <x v="12"/>
    <x v="1"/>
    <s v="CITIUS"/>
    <d v="2022-08-22T00:00:00"/>
    <d v="2024-10-31T00:00:00"/>
    <s v="2 Tahun 5 Bulan 8 Hari "/>
    <n v="801"/>
    <n v="1040"/>
    <n v="17"/>
    <n v="7455"/>
    <n v="438.52941176470586"/>
    <n v="437"/>
    <n v="0.8"/>
    <n v="4"/>
    <n v="0.99651240778001349"/>
    <n v="0.19930248155600272"/>
    <d v="1909-01-23T17:46:33"/>
    <d v="1899-12-30T00:00:00"/>
    <d v="1899-12-30T00:00:00"/>
    <n v="0"/>
    <n v="0"/>
    <n v="0"/>
    <n v="0"/>
    <n v="0"/>
    <n v="0"/>
    <n v="0"/>
    <d v="1899-12-30T01:52:56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90"/>
    <n v="85"/>
    <n v="80"/>
    <n v="0.8"/>
    <n v="405"/>
    <n v="0.98765432098765427"/>
    <n v="0.19753086419753085"/>
    <n v="3.2"/>
    <n v="81"/>
    <n v="0.65308334575353355"/>
    <s v="Cukup"/>
    <s v="Stay"/>
    <s v="Associate engineer"/>
  </r>
  <r>
    <n v="292"/>
    <s v="Novaely Rachman"/>
    <s v="IDH60041"/>
    <s v="Senior engineer"/>
    <x v="43"/>
    <x v="2"/>
    <s v="CITIUS"/>
    <d v="2021-11-08T00:00:00"/>
    <d v="2024-10-31T00:00:00"/>
    <s v="3 Tahun 2 Bulan 22 Hari "/>
    <n v="1088"/>
    <n v="142"/>
    <n v="3"/>
    <n v="1369"/>
    <n v="456.33333333333331"/>
    <n v="454"/>
    <n v="0.8"/>
    <n v="4"/>
    <n v="0.99488677867056252"/>
    <n v="0.19897735573411252"/>
    <d v="1908-06-15T13:28:36"/>
    <d v="1921-12-20T22:30:35"/>
    <d v="1899-12-30T00:00:00"/>
    <n v="0"/>
    <n v="0"/>
    <n v="0"/>
    <n v="0"/>
    <n v="0"/>
    <n v="0"/>
    <n v="0"/>
    <d v="1899-12-30T01:52:38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3.2"/>
    <n v="78"/>
    <n v="0.65266325317001006"/>
    <s v="Cukup"/>
    <s v="Stay"/>
    <s v="Senior engineer"/>
  </r>
  <r>
    <n v="293"/>
    <s v="Aulia Rahman Hakim"/>
    <s v="IDH40110"/>
    <s v="Engineer"/>
    <x v="3"/>
    <x v="0"/>
    <s v="SIPRAMA"/>
    <d v="2020-11-09T00:00:00"/>
    <d v="2024-10-31T00:00:00"/>
    <s v="4 Tahun 2 Bulan 21 Hari "/>
    <n v="1452"/>
    <n v="872"/>
    <n v="15"/>
    <n v="5975"/>
    <n v="398.33333333333331"/>
    <n v="396"/>
    <n v="0.8"/>
    <n v="4"/>
    <n v="0.99414225941422596"/>
    <n v="0.1988284518828452"/>
    <d v="1923-10-14T08:38:18"/>
    <d v="1899-12-30T00:00:00"/>
    <d v="1899-12-30T00:00:00"/>
    <n v="0"/>
    <n v="0"/>
    <n v="0"/>
    <n v="0"/>
    <n v="0"/>
    <n v="0"/>
    <n v="0"/>
    <d v="1899-12-30T01:09:36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3.2"/>
    <n v="78"/>
    <n v="0.65251434931874264"/>
    <s v="Cukup"/>
    <s v="Stay"/>
    <s v="Engineer"/>
  </r>
  <r>
    <n v="294"/>
    <s v="Banar Bagas Darujati"/>
    <s v="IDH80064"/>
    <s v="Associate engineer"/>
    <x v="35"/>
    <x v="1"/>
    <s v="IMPACT"/>
    <d v="2023-07-24T00:00:00"/>
    <d v="2024-10-31T00:00:00"/>
    <s v="1 Tahun 6 Bulan 6 Hari "/>
    <n v="465"/>
    <n v="510"/>
    <n v="9"/>
    <n v="3962"/>
    <n v="440.22222222222223"/>
    <n v="429"/>
    <n v="0.8"/>
    <n v="4"/>
    <n v="0.97450782433114591"/>
    <n v="0.1949015648662292"/>
    <d v="1911-07-01T01:54:04"/>
    <d v="1899-12-30T00:00:00"/>
    <d v="1899-12-30T00:00:00"/>
    <n v="0"/>
    <n v="0"/>
    <n v="0"/>
    <n v="0"/>
    <n v="0"/>
    <n v="0"/>
    <n v="0"/>
    <d v="1899-12-30T01:16:18"/>
    <n v="1"/>
    <n v="4"/>
    <n v="0.8"/>
    <n v="0.2"/>
    <n v="1"/>
    <n v="1"/>
    <n v="0"/>
    <n v="0"/>
    <n v="0"/>
    <n v="1"/>
    <n v="0"/>
    <n v="0"/>
    <n v="0.6"/>
    <n v="3"/>
    <n v="0.375"/>
    <n v="5.6249999999999994E-2"/>
    <n v="75"/>
    <n v="75"/>
    <n v="90"/>
    <n v="85"/>
    <n v="80"/>
    <n v="0.8"/>
    <n v="405"/>
    <n v="0.98765432098765427"/>
    <n v="0.19753086419753085"/>
    <n v="3.2"/>
    <n v="81"/>
    <n v="0.64868242906376006"/>
    <s v="Cukup"/>
    <s v="Stay"/>
    <s v="Associate engineer"/>
  </r>
  <r>
    <n v="295"/>
    <s v="Bani Rizki Ramadan"/>
    <s v="IDH70058"/>
    <s v="Associate engineer"/>
    <x v="1"/>
    <x v="1"/>
    <s v="SIPRAMA"/>
    <d v="2022-11-17T00:00:00"/>
    <d v="2024-10-31T00:00:00"/>
    <s v="2 Tahun 2 Bulan 13 Hari "/>
    <n v="714"/>
    <n v="893"/>
    <n v="14"/>
    <n v="6172"/>
    <n v="440.85714285714283"/>
    <n v="385"/>
    <n v="0.8"/>
    <n v="4"/>
    <n v="0.87329876863253408"/>
    <n v="0.17465975372650683"/>
    <d v="1912-11-13T23:03:11"/>
    <d v="1899-12-30T00:00:00"/>
    <d v="1899-12-30T00:00:00"/>
    <n v="0"/>
    <n v="0"/>
    <n v="0"/>
    <n v="0"/>
    <n v="0"/>
    <n v="0"/>
    <n v="0"/>
    <d v="1899-12-30T01:16:22"/>
    <n v="1"/>
    <n v="4"/>
    <n v="0.8"/>
    <n v="0.2"/>
    <n v="1"/>
    <n v="1"/>
    <n v="1"/>
    <n v="0"/>
    <n v="0"/>
    <n v="0"/>
    <n v="0"/>
    <n v="1"/>
    <n v="0.8"/>
    <n v="4"/>
    <n v="0.5"/>
    <n v="7.4999999999999997E-2"/>
    <n v="75"/>
    <n v="75"/>
    <n v="90"/>
    <n v="85"/>
    <n v="80"/>
    <n v="0.8"/>
    <n v="405"/>
    <n v="0.98765432098765427"/>
    <n v="0.19753086419753085"/>
    <n v="3.4000000000000004"/>
    <n v="81"/>
    <n v="0.64719061792403765"/>
    <s v="Cukup"/>
    <s v="Stay"/>
    <s v="Associate engineer"/>
  </r>
  <r>
    <n v="296"/>
    <s v="Muamar Rojali"/>
    <s v="IDH60042"/>
    <s v="Engineer"/>
    <x v="33"/>
    <x v="0"/>
    <s v="CITIUS"/>
    <d v="2021-11-29T00:00:00"/>
    <d v="2024-10-31T00:00:00"/>
    <s v="3 Tahun 2 Bulan 1 Hari "/>
    <n v="1067"/>
    <n v="304"/>
    <n v="5"/>
    <n v="2111"/>
    <n v="422.2"/>
    <n v="366"/>
    <n v="0.8"/>
    <n v="4"/>
    <n v="0.86688773093320703"/>
    <n v="0.17337754618664142"/>
    <d v="1906-11-28T18:40:34"/>
    <d v="1962-04-03T20:13:12"/>
    <d v="1899-12-30T00:00:00"/>
    <n v="0"/>
    <n v="0"/>
    <n v="0"/>
    <n v="0"/>
    <n v="0"/>
    <n v="0"/>
    <n v="0"/>
    <d v="1899-12-30T01:17:21"/>
    <n v="1"/>
    <n v="4"/>
    <n v="0.8"/>
    <n v="0.2"/>
    <n v="1"/>
    <n v="1"/>
    <n v="0"/>
    <n v="0"/>
    <n v="0"/>
    <n v="1"/>
    <n v="0"/>
    <n v="1"/>
    <n v="0.8"/>
    <n v="4"/>
    <n v="0.5"/>
    <n v="7.4999999999999997E-2"/>
    <n v="75"/>
    <n v="75"/>
    <n v="80"/>
    <n v="80"/>
    <n v="80"/>
    <n v="0.8"/>
    <n v="390"/>
    <n v="0.98717948717948723"/>
    <n v="0.19743589743589746"/>
    <n v="3.4000000000000004"/>
    <n v="78"/>
    <n v="0.6458134436225389"/>
    <s v="Cukup"/>
    <s v="Stay"/>
    <s v="Engineer"/>
  </r>
  <r>
    <n v="297"/>
    <s v="Rahmat Taufiq"/>
    <s v="IDH80076"/>
    <s v="Associate engineer"/>
    <x v="71"/>
    <x v="2"/>
    <s v="IMPACT"/>
    <d v="2023-07-24T00:00:00"/>
    <d v="2024-10-31T00:00:00"/>
    <s v="1 Tahun 6 Bulan 6 Hari "/>
    <n v="465"/>
    <n v="81"/>
    <n v="2"/>
    <n v="677"/>
    <n v="338.5"/>
    <n v="300"/>
    <n v="0.8"/>
    <n v="4"/>
    <n v="0.88626292466765144"/>
    <n v="0.1772525849335303"/>
    <d v="1906-01-24T22:32:08"/>
    <d v="1899-12-30T00:00:00"/>
    <d v="1899-12-30T00:02:54"/>
    <n v="0"/>
    <n v="0"/>
    <n v="1"/>
    <n v="0.4"/>
    <n v="1"/>
    <n v="0.33333333333333331"/>
    <n v="8.3333333333333329E-2"/>
    <d v="1899-12-30T02:17:35"/>
    <n v="0.75"/>
    <n v="3"/>
    <n v="0.6"/>
    <n v="0.15"/>
    <n v="1"/>
    <n v="1"/>
    <n v="0"/>
    <n v="0"/>
    <n v="0"/>
    <n v="0"/>
    <n v="0"/>
    <n v="0"/>
    <n v="0.4"/>
    <n v="2"/>
    <n v="0.25"/>
    <n v="3.7499999999999999E-2"/>
    <n v="75"/>
    <n v="75"/>
    <n v="80"/>
    <n v="80"/>
    <n v="80"/>
    <n v="0.8"/>
    <n v="390"/>
    <n v="0.98717948717948723"/>
    <n v="0.19743589743589746"/>
    <n v="3.1500000000000004"/>
    <n v="78"/>
    <n v="0.64552181570276113"/>
    <s v="Cukup"/>
    <s v="Stay"/>
    <s v="Associate engineer"/>
  </r>
  <r>
    <n v="298"/>
    <s v="Eky Prasetyo Widodo"/>
    <s v="IDH30034"/>
    <s v="Engineer"/>
    <x v="35"/>
    <x v="1"/>
    <s v="SIPRAMA"/>
    <d v="2018-09-06T00:00:00"/>
    <d v="2024-10-31T00:00:00"/>
    <s v="6 Tahun 4 Bulan 24 Hari "/>
    <n v="2247"/>
    <n v="510"/>
    <n v="9"/>
    <n v="3962"/>
    <n v="440.22222222222223"/>
    <n v="420"/>
    <n v="0.8"/>
    <n v="4"/>
    <n v="0.95406360424028269"/>
    <n v="0.19081272084805656"/>
    <d v="1918-06-28T14:10:39"/>
    <d v="1899-12-30T00:00:00"/>
    <d v="1899-12-30T00:00:00"/>
    <n v="0"/>
    <n v="0"/>
    <n v="0"/>
    <n v="0"/>
    <n v="0"/>
    <n v="0"/>
    <n v="0"/>
    <d v="1899-12-30T01:23:43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90"/>
    <n v="90"/>
    <n v="75"/>
    <n v="0.8"/>
    <n v="405"/>
    <n v="0.98765432098765427"/>
    <n v="0.19753086419753085"/>
    <n v="3.2"/>
    <n v="81"/>
    <n v="0.64459358504558739"/>
    <s v="Cukup"/>
    <s v="Stay"/>
    <s v="Engineer"/>
  </r>
  <r>
    <n v="299"/>
    <s v="Muhammad Afif Azindani"/>
    <s v="IDH80063"/>
    <s v="Senior engineer"/>
    <x v="12"/>
    <x v="1"/>
    <s v="IMPACT"/>
    <d v="2019-10-02T00:00:00"/>
    <d v="2024-10-31T00:00:00"/>
    <s v="5 Tahun 3 Bulan 28 Hari "/>
    <n v="1856"/>
    <n v="1040"/>
    <n v="17"/>
    <n v="7455"/>
    <n v="438.52941176470586"/>
    <n v="417"/>
    <n v="0.8"/>
    <n v="4"/>
    <n v="0.95090543259557347"/>
    <n v="0.19018108651911469"/>
    <d v="1905-03-25T07:41:37"/>
    <d v="1899-12-30T00:00:00"/>
    <d v="1899-12-30T00:00:00"/>
    <n v="0"/>
    <n v="0"/>
    <n v="0"/>
    <n v="0"/>
    <n v="0"/>
    <n v="0"/>
    <n v="0"/>
    <d v="1899-12-30T01:10:44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90"/>
    <n v="90"/>
    <n v="80"/>
    <n v="0.8"/>
    <n v="410"/>
    <n v="0.98780487804878048"/>
    <n v="0.19756097560975611"/>
    <n v="3.2"/>
    <n v="82"/>
    <n v="0.64399206212887083"/>
    <s v="Cukup"/>
    <s v="Stay"/>
    <s v="Senior engineer"/>
  </r>
  <r>
    <n v="300"/>
    <s v="Luthfi Elit Nurhakim"/>
    <s v="IDH60071"/>
    <s v="Engineer"/>
    <x v="1"/>
    <x v="1"/>
    <s v="CITIUS"/>
    <d v="2022-05-09T00:00:00"/>
    <d v="2024-10-31T00:00:00"/>
    <s v="2 Tahun 8 Bulan 21 Hari "/>
    <n v="906"/>
    <n v="893"/>
    <n v="14"/>
    <n v="6172"/>
    <n v="440.85714285714283"/>
    <n v="376"/>
    <n v="0.8"/>
    <n v="4"/>
    <n v="0.85288399222294242"/>
    <n v="0.17057679844458851"/>
    <d v="1911-09-22T23:01:42"/>
    <d v="1899-12-30T00:00:00"/>
    <d v="1899-12-30T00:00:00"/>
    <n v="0"/>
    <n v="0"/>
    <n v="0"/>
    <n v="0"/>
    <n v="0"/>
    <n v="0"/>
    <n v="0"/>
    <d v="1899-12-30T01:08:06"/>
    <n v="1"/>
    <n v="4"/>
    <n v="0.8"/>
    <n v="0.2"/>
    <n v="1"/>
    <n v="1"/>
    <n v="1"/>
    <n v="1"/>
    <n v="0"/>
    <n v="0"/>
    <n v="0"/>
    <n v="0"/>
    <n v="0.8"/>
    <n v="4"/>
    <n v="0.5"/>
    <n v="7.4999999999999997E-2"/>
    <n v="75"/>
    <n v="75"/>
    <n v="90"/>
    <n v="90"/>
    <n v="85"/>
    <n v="0.8"/>
    <n v="415"/>
    <n v="0.98795180722891562"/>
    <n v="0.19759036144578312"/>
    <n v="3.4000000000000004"/>
    <n v="83"/>
    <n v="0.64316715989037165"/>
    <s v="Cukup"/>
    <s v="Stay"/>
    <s v="Engineer"/>
  </r>
  <r>
    <n v="301"/>
    <s v="Yusuf Banjarnahor"/>
    <s v="IDH50024"/>
    <s v="Engineer"/>
    <x v="41"/>
    <x v="2"/>
    <s v="SIPRAMA"/>
    <d v="2021-02-01T00:00:00"/>
    <d v="2024-10-31T00:00:00"/>
    <s v="3 Tahun 11 Bulan 29 Hari "/>
    <n v="1368"/>
    <n v="283"/>
    <n v="4"/>
    <n v="1878"/>
    <n v="469.5"/>
    <n v="362"/>
    <n v="0.6"/>
    <n v="3"/>
    <n v="0.77103301384451539"/>
    <n v="0.15420660276890308"/>
    <d v="1908-11-24T10:21:42"/>
    <d v="1914-08-14T07:07:42"/>
    <d v="1899-12-30T02:02:31"/>
    <n v="0"/>
    <n v="0"/>
    <n v="1"/>
    <n v="0.4"/>
    <n v="1"/>
    <n v="0.33333333333333331"/>
    <n v="8.3333333333333329E-2"/>
    <d v="1899-12-30T02:19:53"/>
    <n v="0.75"/>
    <n v="3"/>
    <n v="0.6"/>
    <n v="0.15"/>
    <n v="1"/>
    <n v="1"/>
    <n v="0"/>
    <n v="0"/>
    <n v="0"/>
    <n v="1"/>
    <n v="0"/>
    <n v="0"/>
    <n v="0.6"/>
    <n v="3"/>
    <n v="0.375"/>
    <n v="5.6249999999999994E-2"/>
    <n v="75"/>
    <n v="75"/>
    <n v="80"/>
    <n v="75"/>
    <n v="80"/>
    <n v="0.8"/>
    <n v="385"/>
    <n v="0.98701298701298701"/>
    <n v="0.19740259740259741"/>
    <n v="3.1500000000000004"/>
    <n v="77"/>
    <n v="0.64119253350483385"/>
    <s v="Cukup"/>
    <s v="Stay"/>
    <s v="Engineer"/>
  </r>
  <r>
    <n v="302"/>
    <s v="Bayu Alfauji Sadiqin"/>
    <s v="IDH70059"/>
    <s v="Associate engineer"/>
    <x v="11"/>
    <x v="1"/>
    <s v="SIPRAMA"/>
    <d v="2022-11-17T00:00:00"/>
    <d v="2024-10-31T00:00:00"/>
    <s v="2 Tahun 2 Bulan 13 Hari "/>
    <n v="714"/>
    <n v="897"/>
    <n v="13"/>
    <n v="6212"/>
    <n v="477.84615384615387"/>
    <n v="446"/>
    <n v="0.8"/>
    <n v="4"/>
    <n v="0.93335479716677394"/>
    <n v="0.18667095943335479"/>
    <d v="1902-01-25T23:41:11"/>
    <d v="1899-12-30T00:00:00"/>
    <d v="1899-12-30T00:00:00"/>
    <n v="0"/>
    <n v="0"/>
    <n v="0"/>
    <n v="0"/>
    <n v="0"/>
    <n v="0"/>
    <n v="0"/>
    <d v="1899-12-30T01:57:47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75"/>
    <n v="85"/>
    <n v="80"/>
    <n v="0.8"/>
    <n v="390"/>
    <n v="0.98717948717948723"/>
    <n v="0.19743589743589746"/>
    <n v="3.2"/>
    <n v="78"/>
    <n v="0.64035685686925237"/>
    <s v="Cukup"/>
    <s v="Stay"/>
    <s v="Associate engineer"/>
  </r>
  <r>
    <n v="303"/>
    <s v="Afrizal Eka Paksi"/>
    <s v="IDH80012"/>
    <s v="Associate engineer"/>
    <x v="11"/>
    <x v="1"/>
    <s v="IMPACT"/>
    <d v="2023-01-09T00:00:00"/>
    <d v="2024-10-31T00:00:00"/>
    <s v="2 Tahun 0 Bulan 21 Hari "/>
    <n v="661"/>
    <n v="897"/>
    <n v="13"/>
    <n v="6212"/>
    <n v="477.84615384615387"/>
    <n v="311"/>
    <n v="0.6"/>
    <n v="3"/>
    <n v="0.6508370895041854"/>
    <n v="0.13016741790083708"/>
    <d v="1903-02-08T09:22:19"/>
    <d v="1899-12-30T00:00:00"/>
    <d v="1899-12-30T00:00:00"/>
    <n v="0"/>
    <n v="0"/>
    <n v="0"/>
    <n v="0"/>
    <n v="0"/>
    <n v="0"/>
    <n v="0"/>
    <d v="1899-12-30T01:19:14"/>
    <n v="1"/>
    <n v="4"/>
    <n v="0.8"/>
    <n v="0.2"/>
    <n v="1"/>
    <n v="1"/>
    <n v="1"/>
    <n v="1"/>
    <n v="1"/>
    <n v="1"/>
    <n v="0"/>
    <n v="0"/>
    <n v="1"/>
    <n v="6"/>
    <n v="0.75"/>
    <n v="0.11249999999999999"/>
    <n v="75"/>
    <n v="75"/>
    <n v="75"/>
    <n v="85"/>
    <n v="80"/>
    <n v="0.8"/>
    <n v="390"/>
    <n v="0.98717948717948723"/>
    <n v="0.19743589743589746"/>
    <n v="3.4000000000000004"/>
    <n v="78"/>
    <n v="0.64010331533673459"/>
    <s v="Cukup"/>
    <s v="Stay"/>
    <s v="Associate engineer"/>
  </r>
  <r>
    <n v="304"/>
    <s v="Abdul Razak Alhafis"/>
    <s v="IDH70108"/>
    <s v="Associate engineer"/>
    <x v="11"/>
    <x v="1"/>
    <s v="SIPRAMA"/>
    <d v="2024-01-15T00:00:00"/>
    <d v="2024-10-31T00:00:00"/>
    <s v="1 Tahun 0 Bulan 15 Hari "/>
    <n v="290"/>
    <n v="897"/>
    <n v="13"/>
    <n v="6212"/>
    <n v="477.84615384615387"/>
    <n v="365"/>
    <n v="0.6"/>
    <n v="3"/>
    <n v="0.76384417256922088"/>
    <n v="0.15276883451384418"/>
    <d v="1899-12-30T00:11:12"/>
    <d v="1899-12-30T00:00:00"/>
    <d v="1899-12-30T00:00:00"/>
    <n v="1"/>
    <n v="0"/>
    <n v="0"/>
    <n v="0.4"/>
    <n v="1"/>
    <n v="0.33333333333333331"/>
    <n v="8.3333333333333329E-2"/>
    <d v="1899-12-30T02:04:53"/>
    <n v="0.75"/>
    <n v="3"/>
    <n v="0.6"/>
    <n v="0.15"/>
    <n v="1"/>
    <n v="1"/>
    <n v="1"/>
    <n v="0"/>
    <n v="0"/>
    <n v="0"/>
    <n v="0"/>
    <n v="0"/>
    <n v="0.6"/>
    <n v="3"/>
    <n v="0.375"/>
    <n v="5.6249999999999994E-2"/>
    <n v="75"/>
    <n v="75"/>
    <n v="90"/>
    <n v="85"/>
    <n v="80"/>
    <n v="0.8"/>
    <n v="405"/>
    <n v="0.98765432098765427"/>
    <n v="0.19753086419753085"/>
    <n v="3.1500000000000004"/>
    <n v="81"/>
    <n v="0.63988303204470842"/>
    <s v="New CE"/>
    <s v="Stay"/>
    <s v="Associate engineer"/>
  </r>
  <r>
    <n v="305"/>
    <s v="Agung Lestari"/>
    <s v="IDH80038"/>
    <s v="Associate engineer"/>
    <x v="22"/>
    <x v="1"/>
    <s v="IMPACT"/>
    <d v="2023-02-09T00:00:00"/>
    <d v="2024-10-31T00:00:00"/>
    <s v="1 Tahun 11 Bulan 21 Hari "/>
    <n v="630"/>
    <n v="760"/>
    <n v="13"/>
    <n v="5863"/>
    <n v="451"/>
    <n v="416"/>
    <n v="0.8"/>
    <n v="4"/>
    <n v="0.92239467849223944"/>
    <n v="0.18447893569844789"/>
    <d v="1903-04-09T23:02:07"/>
    <d v="1899-12-30T00:00:00"/>
    <d v="1899-12-30T00:00:00"/>
    <n v="0"/>
    <n v="0"/>
    <n v="0"/>
    <n v="0"/>
    <n v="0"/>
    <n v="0"/>
    <n v="0"/>
    <d v="1899-12-30T01:17:04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90"/>
    <n v="85"/>
    <n v="80"/>
    <n v="0.8"/>
    <n v="405"/>
    <n v="0.98765432098765427"/>
    <n v="0.19753086419753085"/>
    <n v="3.2"/>
    <n v="81"/>
    <n v="0.63825979989597881"/>
    <s v="Cukup"/>
    <s v="Stay"/>
    <s v="Associate engineer"/>
  </r>
  <r>
    <n v="306"/>
    <s v="Ilham Cahyana Putra"/>
    <s v="IDH70055"/>
    <s v="Engineer"/>
    <x v="47"/>
    <x v="0"/>
    <s v="SIPRAMA"/>
    <d v="2022-11-17T00:00:00"/>
    <d v="2024-10-31T00:00:00"/>
    <s v="2 Tahun 2 Bulan 13 Hari "/>
    <n v="714"/>
    <n v="507"/>
    <n v="10"/>
    <n v="3304"/>
    <n v="330.4"/>
    <n v="302"/>
    <n v="0.8"/>
    <n v="4"/>
    <n v="0.91404358353510906"/>
    <n v="0.18280871670702181"/>
    <d v="1933-07-17T22:31:12"/>
    <d v="1927-09-05T13:06:30"/>
    <d v="1899-12-30T00:00:00"/>
    <n v="0"/>
    <n v="0"/>
    <n v="0"/>
    <n v="0"/>
    <n v="0"/>
    <n v="0"/>
    <n v="0"/>
    <d v="1899-12-30T01:04:35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3.2"/>
    <n v="78"/>
    <n v="0.6364946141429193"/>
    <s v="Cukup"/>
    <s v="Stay"/>
    <s v="Engineer"/>
  </r>
  <r>
    <n v="307"/>
    <s v="Andita Amirul Akbar"/>
    <s v="IDH80006"/>
    <s v="Engineer"/>
    <x v="63"/>
    <x v="0"/>
    <s v="IMPACT"/>
    <d v="2023-01-09T00:00:00"/>
    <d v="2024-10-31T00:00:00"/>
    <s v="2 Tahun 0 Bulan 21 Hari "/>
    <n v="661"/>
    <n v="305"/>
    <n v="6"/>
    <n v="2018"/>
    <n v="336.33333333333331"/>
    <n v="377"/>
    <n v="1"/>
    <n v="5"/>
    <n v="1.1209117938553024"/>
    <n v="0.22418235877106049"/>
    <d v="1938-07-06T16:52:03"/>
    <d v="1941-06-13T23:41:50"/>
    <d v="1899-12-30T00:00:00"/>
    <n v="0"/>
    <n v="0"/>
    <n v="0"/>
    <n v="0"/>
    <n v="0"/>
    <n v="0"/>
    <n v="0"/>
    <d v="1899-12-30T02:34:03"/>
    <n v="0.75"/>
    <n v="3"/>
    <n v="0.6"/>
    <n v="0.15"/>
    <n v="1"/>
    <n v="1"/>
    <n v="1"/>
    <n v="0"/>
    <n v="0"/>
    <n v="0"/>
    <n v="0"/>
    <n v="0"/>
    <n v="0.6"/>
    <n v="3"/>
    <n v="0.375"/>
    <n v="5.6249999999999994E-2"/>
    <n v="75"/>
    <n v="75"/>
    <n v="85"/>
    <n v="80"/>
    <n v="80"/>
    <n v="0.8"/>
    <n v="395"/>
    <n v="0.98734177215189878"/>
    <n v="0.19746835443037977"/>
    <n v="3.1500000000000004"/>
    <n v="79"/>
    <n v="0.62790071320144025"/>
    <s v="Cukup"/>
    <s v="Stay"/>
    <s v="Engineer"/>
  </r>
  <r>
    <n v="308"/>
    <s v="Andika Sandi Putra"/>
    <s v="IDH70046"/>
    <s v="Engineer"/>
    <x v="69"/>
    <x v="2"/>
    <s v="SIPRAMA"/>
    <d v="2022-11-17T00:00:00"/>
    <d v="2024-10-31T00:00:00"/>
    <s v="2 Tahun 2 Bulan 13 Hari "/>
    <n v="714"/>
    <n v="235"/>
    <n v="4"/>
    <n v="1697"/>
    <n v="424.25"/>
    <n v="332"/>
    <n v="0.6"/>
    <n v="3"/>
    <n v="0.78255745433117263"/>
    <n v="0.15651149086623453"/>
    <d v="1918-06-10T18:07:03"/>
    <d v="1907-10-12T12:12:00"/>
    <d v="1899-12-30T02:06:31"/>
    <n v="0"/>
    <n v="0"/>
    <n v="1"/>
    <n v="0.4"/>
    <n v="1"/>
    <n v="0.33333333333333331"/>
    <n v="8.3333333333333329E-2"/>
    <d v="1899-12-30T02:02:45"/>
    <n v="0.75"/>
    <n v="3"/>
    <n v="0.6"/>
    <n v="0.15"/>
    <n v="1"/>
    <n v="1"/>
    <n v="0"/>
    <n v="0"/>
    <n v="0"/>
    <n v="0"/>
    <n v="0"/>
    <n v="0"/>
    <n v="0.4"/>
    <n v="2"/>
    <n v="0.25"/>
    <n v="3.7499999999999999E-2"/>
    <n v="75"/>
    <n v="75"/>
    <n v="75"/>
    <n v="80"/>
    <n v="80"/>
    <n v="0.8"/>
    <n v="385"/>
    <n v="0.98701298701298701"/>
    <n v="0.19740259740259741"/>
    <n v="2.95"/>
    <n v="77"/>
    <n v="0.62474742160216534"/>
    <s v="Cukup"/>
    <s v="Stay"/>
    <s v="Engineer"/>
  </r>
  <r>
    <n v="309"/>
    <s v="Patawari"/>
    <s v="IDH50004"/>
    <s v="Associate engineer"/>
    <x v="37"/>
    <x v="1"/>
    <s v="SIPRAMA"/>
    <d v="2020-10-19T00:00:00"/>
    <d v="2024-10-31T00:00:00"/>
    <s v="4 Tahun 3 Bulan 11 Hari "/>
    <n v="1473"/>
    <n v="75"/>
    <n v="2"/>
    <n v="680"/>
    <n v="340"/>
    <n v="316"/>
    <n v="0.8"/>
    <n v="4"/>
    <n v="0.92941176470588238"/>
    <n v="0.1858823529411765"/>
    <d v="1915-11-15T00:24:33"/>
    <d v="1899-12-30T00:00:00"/>
    <d v="1904-08-14T13:16:10"/>
    <n v="0"/>
    <n v="0"/>
    <n v="1"/>
    <n v="0.4"/>
    <n v="1"/>
    <n v="0.33333333333333331"/>
    <n v="8.3333333333333329E-2"/>
    <d v="1899-12-30T03:10:37"/>
    <n v="0.5"/>
    <n v="2"/>
    <n v="0.4"/>
    <n v="0.1"/>
    <n v="1"/>
    <n v="1"/>
    <n v="1"/>
    <n v="0"/>
    <n v="0"/>
    <n v="0"/>
    <n v="0"/>
    <n v="0"/>
    <n v="0.6"/>
    <n v="3"/>
    <n v="0.375"/>
    <n v="5.6249999999999994E-2"/>
    <n v="75"/>
    <n v="75"/>
    <n v="75"/>
    <n v="90"/>
    <n v="70"/>
    <n v="0.8"/>
    <n v="385"/>
    <n v="0.98701298701298701"/>
    <n v="0.19740259740259741"/>
    <n v="3.1000000000000005"/>
    <n v="77"/>
    <n v="0.62286828367710734"/>
    <s v="Down Grade"/>
    <s v="Down Grade"/>
    <s v="Associate engineer"/>
  </r>
  <r>
    <n v="310"/>
    <s v="Muhammad Rifqi"/>
    <s v="IDH80037"/>
    <s v="Associate engineer"/>
    <x v="35"/>
    <x v="1"/>
    <s v="IMPACT"/>
    <d v="2023-02-09T00:00:00"/>
    <d v="2024-10-31T00:00:00"/>
    <s v="1 Tahun 11 Bulan 21 Hari "/>
    <n v="630"/>
    <n v="510"/>
    <n v="9"/>
    <n v="3962"/>
    <n v="440.22222222222223"/>
    <n v="330"/>
    <n v="0.6"/>
    <n v="3"/>
    <n v="0.74962140333165062"/>
    <n v="0.14992428066633012"/>
    <d v="1901-04-27T14:28:41"/>
    <d v="1899-12-30T00:00:00"/>
    <d v="1899-12-30T00:00:00"/>
    <n v="0"/>
    <n v="0"/>
    <n v="0"/>
    <n v="0"/>
    <n v="0"/>
    <n v="0"/>
    <n v="0"/>
    <d v="1899-12-30T01:40:11"/>
    <n v="1"/>
    <n v="4"/>
    <n v="0.8"/>
    <n v="0.2"/>
    <n v="1"/>
    <n v="1"/>
    <n v="1"/>
    <n v="0"/>
    <n v="0"/>
    <n v="0"/>
    <n v="0"/>
    <n v="1"/>
    <n v="0.8"/>
    <n v="4"/>
    <n v="0.5"/>
    <n v="7.4999999999999997E-2"/>
    <n v="75"/>
    <n v="75"/>
    <n v="90"/>
    <n v="85"/>
    <n v="80"/>
    <n v="0.8"/>
    <n v="405"/>
    <n v="0.98765432098765427"/>
    <n v="0.19753086419753085"/>
    <n v="3.2"/>
    <n v="81"/>
    <n v="0.622455144863861"/>
    <s v="Cukup"/>
    <s v="Stay"/>
    <s v="Associate engineer"/>
  </r>
  <r>
    <n v="311"/>
    <s v="M Rifki Rizaldi"/>
    <s v="IDH80039"/>
    <s v="Engineer"/>
    <x v="1"/>
    <x v="1"/>
    <s v="IMPACT"/>
    <d v="2023-02-09T00:00:00"/>
    <d v="2024-10-31T00:00:00"/>
    <s v="1 Tahun 11 Bulan 21 Hari "/>
    <n v="630"/>
    <n v="893"/>
    <n v="14"/>
    <n v="6172"/>
    <n v="440.85714285714283"/>
    <n v="409"/>
    <n v="0.8"/>
    <n v="4"/>
    <n v="0.92773817239144529"/>
    <n v="0.18554763447828906"/>
    <d v="1908-04-18T12:31:53"/>
    <d v="1899-12-30T00:00:00"/>
    <d v="1899-12-30T00:00:00"/>
    <n v="0"/>
    <n v="0"/>
    <n v="0"/>
    <n v="0"/>
    <n v="0"/>
    <n v="0"/>
    <n v="0"/>
    <d v="1899-12-30T01:04:06"/>
    <n v="1"/>
    <n v="4"/>
    <n v="0.8"/>
    <n v="0.2"/>
    <n v="1"/>
    <n v="1"/>
    <n v="0"/>
    <n v="0"/>
    <n v="0"/>
    <n v="0"/>
    <n v="0"/>
    <n v="0"/>
    <n v="0.4"/>
    <n v="2"/>
    <n v="0.25"/>
    <n v="3.7499999999999999E-2"/>
    <n v="75"/>
    <n v="75"/>
    <n v="90"/>
    <n v="90"/>
    <n v="75"/>
    <n v="0.8"/>
    <n v="405"/>
    <n v="0.98765432098765427"/>
    <n v="0.19753086419753085"/>
    <n v="3"/>
    <n v="81"/>
    <n v="0.62057849867581993"/>
    <s v="Cukup"/>
    <s v="Stay"/>
    <s v="Engineer"/>
  </r>
  <r>
    <n v="312"/>
    <s v="Rizka Dwi Setyawan"/>
    <s v="IDH60028"/>
    <s v="Engineer"/>
    <x v="23"/>
    <x v="0"/>
    <s v="CITIUS"/>
    <d v="2021-11-02T00:00:00"/>
    <d v="2024-10-31T00:00:00"/>
    <s v="3 Tahun 2 Bulan 28 Hari "/>
    <n v="1094"/>
    <n v="305"/>
    <n v="6"/>
    <n v="2074"/>
    <n v="345.66666666666669"/>
    <n v="283"/>
    <n v="0.8"/>
    <n v="4"/>
    <n v="0.81870781099324974"/>
    <n v="0.16374156219864996"/>
    <d v="1909-07-27T23:31:51"/>
    <d v="1921-12-07T14:11:08"/>
    <d v="1899-12-30T00:00:00"/>
    <n v="0"/>
    <n v="0"/>
    <n v="0"/>
    <n v="0"/>
    <n v="0"/>
    <n v="0"/>
    <n v="0"/>
    <d v="1899-12-30T01:05:54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3.2"/>
    <n v="78"/>
    <n v="0.61742745963454748"/>
    <s v="Cukup"/>
    <s v="Stay"/>
    <s v="Engineer"/>
  </r>
  <r>
    <n v="313"/>
    <s v="Rizky Adi Kurniatama"/>
    <s v="IDH70054"/>
    <s v="Engineer"/>
    <x v="47"/>
    <x v="0"/>
    <s v="SIPRAMA"/>
    <d v="2022-11-17T00:00:00"/>
    <d v="2024-10-31T00:00:00"/>
    <s v="2 Tahun 2 Bulan 13 Hari "/>
    <n v="714"/>
    <n v="507"/>
    <n v="10"/>
    <n v="3304"/>
    <n v="330.4"/>
    <n v="231"/>
    <n v="0.6"/>
    <n v="3"/>
    <n v="0.69915254237288138"/>
    <n v="0.13983050847457629"/>
    <d v="1912-06-05T12:46:41"/>
    <d v="1909-08-04T17:10:28"/>
    <d v="1899-12-30T00:00:00"/>
    <n v="0"/>
    <n v="0"/>
    <n v="0"/>
    <n v="0"/>
    <n v="0"/>
    <n v="0"/>
    <n v="0"/>
    <d v="1899-12-30T01:11:36"/>
    <n v="1"/>
    <n v="4"/>
    <n v="0.8"/>
    <n v="0.2"/>
    <n v="1"/>
    <n v="1"/>
    <n v="1"/>
    <n v="0"/>
    <n v="0"/>
    <n v="1"/>
    <n v="0"/>
    <n v="0"/>
    <n v="0.8"/>
    <n v="4"/>
    <n v="0.5"/>
    <n v="7.4999999999999997E-2"/>
    <n v="75"/>
    <n v="75"/>
    <n v="80"/>
    <n v="80"/>
    <n v="75"/>
    <n v="0.8"/>
    <n v="385"/>
    <n v="0.98701298701298701"/>
    <n v="0.19740259740259741"/>
    <n v="3.2"/>
    <n v="77"/>
    <n v="0.61223310587717372"/>
    <s v="Cukup"/>
    <s v="Stay"/>
    <s v="Engineer"/>
  </r>
  <r>
    <n v="314"/>
    <s v="Muhammad Vishal Rafly"/>
    <s v="IDH40089"/>
    <s v="Associate engineer"/>
    <x v="12"/>
    <x v="1"/>
    <s v="SIPRAMA"/>
    <d v="2020-01-06T00:00:00"/>
    <d v="2024-10-31T00:00:00"/>
    <s v="5 Tahun 0 Bulan 24 Hari "/>
    <n v="1760"/>
    <n v="1040"/>
    <n v="17"/>
    <n v="7455"/>
    <n v="438.52941176470586"/>
    <n v="344"/>
    <n v="0.6"/>
    <n v="3"/>
    <n v="0.78443997317236758"/>
    <n v="0.15688799463447353"/>
    <d v="1910-05-11T22:40:39"/>
    <d v="1899-12-30T00:00:00"/>
    <d v="1899-12-30T00:00:00"/>
    <n v="0"/>
    <n v="0"/>
    <n v="0"/>
    <n v="0"/>
    <n v="0"/>
    <n v="0"/>
    <n v="0"/>
    <d v="1899-12-30T01:23:51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90"/>
    <n v="75"/>
    <n v="80"/>
    <n v="0.8"/>
    <n v="395"/>
    <n v="0.98734177215189878"/>
    <n v="0.19746835443037977"/>
    <n v="3"/>
    <n v="79"/>
    <n v="0.61060634906485334"/>
    <s v="Cukup"/>
    <s v="Stay"/>
    <s v="Associate engineer"/>
  </r>
  <r>
    <n v="315"/>
    <s v="As Bachri Saimima"/>
    <s v="IDH60025"/>
    <s v="Engineer"/>
    <x v="9"/>
    <x v="2"/>
    <s v="SIPRAMA"/>
    <d v="2021-10-04T00:00:00"/>
    <d v="2024-10-31T00:00:00"/>
    <s v="3 Tahun 3 Bulan 26 Hari "/>
    <n v="1123"/>
    <n v="448"/>
    <n v="7"/>
    <n v="2614"/>
    <n v="373.42857142857144"/>
    <n v="318"/>
    <n v="0.8"/>
    <n v="4"/>
    <n v="0.85156847742922726"/>
    <n v="0.17031369548584546"/>
    <d v="1905-08-22T21:32:03"/>
    <d v="1899-12-30T00:00:00"/>
    <d v="1899-12-30T00:00:00"/>
    <n v="0"/>
    <n v="0"/>
    <n v="0"/>
    <n v="0"/>
    <n v="0"/>
    <n v="0"/>
    <n v="0"/>
    <d v="1899-12-30T01:14:15"/>
    <n v="1"/>
    <n v="4"/>
    <n v="0.8"/>
    <n v="0.2"/>
    <n v="1"/>
    <n v="1"/>
    <n v="0"/>
    <n v="0"/>
    <n v="0"/>
    <n v="0"/>
    <n v="0"/>
    <n v="0"/>
    <n v="0.4"/>
    <n v="2"/>
    <n v="0.25"/>
    <n v="3.7499999999999999E-2"/>
    <n v="75"/>
    <n v="75"/>
    <n v="75"/>
    <n v="75"/>
    <n v="75"/>
    <n v="0.8"/>
    <n v="375"/>
    <n v="0.98666666666666669"/>
    <n v="0.19733333333333336"/>
    <n v="3"/>
    <n v="75"/>
    <n v="0.60514702881917881"/>
    <s v="Cukup"/>
    <s v="Stay"/>
    <s v="Engineer"/>
  </r>
  <r>
    <n v="316"/>
    <s v="Rizki Ihza Ahda"/>
    <s v="IDH10012"/>
    <s v="Associate engineer"/>
    <x v="12"/>
    <x v="1"/>
    <s v="KINARYA"/>
    <d v="2024-03-01T00:00:00"/>
    <d v="2024-10-31T00:00:00"/>
    <s v="0 Tahun 10 Bulan 29 Hari "/>
    <n v="244"/>
    <n v="1040"/>
    <n v="17"/>
    <n v="7455"/>
    <n v="438.52941176470586"/>
    <n v="63"/>
    <n v="0.2"/>
    <n v="1"/>
    <n v="0.14366197183098592"/>
    <n v="2.8732394366197185E-2"/>
    <d v="1899-12-30T01:26:16"/>
    <d v="1899-12-30T00:00:00"/>
    <d v="1899-12-30T00:00:00"/>
    <n v="1"/>
    <n v="0"/>
    <n v="0"/>
    <n v="0.4"/>
    <n v="1"/>
    <n v="0.33333333333333331"/>
    <n v="8.3333333333333329E-2"/>
    <d v="1899-12-30T01:29:52"/>
    <n v="1"/>
    <n v="4"/>
    <n v="0.8"/>
    <n v="0.2"/>
    <n v="1"/>
    <n v="1"/>
    <n v="1"/>
    <n v="0"/>
    <n v="1"/>
    <n v="1"/>
    <n v="0"/>
    <n v="0"/>
    <n v="1"/>
    <n v="5"/>
    <n v="0.625"/>
    <n v="9.375E-2"/>
    <n v="75"/>
    <n v="75"/>
    <n v="75"/>
    <n v="85"/>
    <n v="80"/>
    <n v="0.8"/>
    <n v="390"/>
    <n v="0.98717948717948723"/>
    <n v="0.19743589743589746"/>
    <n v="3.4000000000000004"/>
    <n v="78"/>
    <n v="0.60325162513542807"/>
    <s v="New CE"/>
    <s v="Stay"/>
    <s v="Associate engineer"/>
  </r>
  <r>
    <n v="317"/>
    <s v="Yorikho Wisesa Abimanyu"/>
    <s v="IDH70044"/>
    <s v="Associate engineer"/>
    <x v="76"/>
    <x v="0"/>
    <s v="SIPRAMA"/>
    <d v="2022-11-17T00:00:00"/>
    <d v="2024-10-31T00:00:00"/>
    <s v="2 Tahun 2 Bulan 13 Hari "/>
    <n v="714"/>
    <n v="329"/>
    <n v="6"/>
    <n v="2587"/>
    <n v="431.16666666666669"/>
    <n v="305"/>
    <n v="0.6"/>
    <n v="3"/>
    <n v="0.70738306919211436"/>
    <n v="0.14147661383842289"/>
    <d v="1910-09-30T20:59:39"/>
    <d v="1920-09-15T19:46:57"/>
    <d v="1899-12-30T00:00:00"/>
    <n v="0"/>
    <n v="0"/>
    <n v="0"/>
    <n v="0"/>
    <n v="0"/>
    <n v="0"/>
    <n v="0"/>
    <d v="1899-12-30T01:50:37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3"/>
    <n v="78"/>
    <n v="0.5951625112743204"/>
    <s v="Kurang"/>
    <s v="Stay"/>
    <s v="Associate engineer"/>
  </r>
  <r>
    <n v="318"/>
    <s v="Frido Arjuna Putra"/>
    <s v="IDH60073"/>
    <s v="Engineer"/>
    <x v="61"/>
    <x v="0"/>
    <s v="CITIUS"/>
    <d v="2022-07-04T00:00:00"/>
    <d v="2024-10-31T00:00:00"/>
    <s v="2 Tahun 6 Bulan 26 Hari "/>
    <n v="850"/>
    <n v="173"/>
    <n v="3"/>
    <n v="1310"/>
    <n v="436.66666666666669"/>
    <n v="415"/>
    <n v="0.8"/>
    <n v="4"/>
    <n v="0.95038167938931295"/>
    <n v="0.1900763358778626"/>
    <d v="1914-09-18T13:42:58"/>
    <d v="1932-06-22T08:33:51"/>
    <d v="1899-12-30T00:00:00"/>
    <n v="0"/>
    <n v="0"/>
    <n v="0"/>
    <n v="0"/>
    <n v="0"/>
    <n v="0"/>
    <n v="0"/>
    <d v="1899-12-30T02:41:45"/>
    <n v="0.75"/>
    <n v="3"/>
    <n v="0.6"/>
    <n v="0.15"/>
    <n v="1"/>
    <n v="1"/>
    <n v="1"/>
    <n v="0"/>
    <n v="0"/>
    <n v="0"/>
    <n v="0"/>
    <n v="0"/>
    <n v="0.6"/>
    <n v="3"/>
    <n v="0.375"/>
    <n v="5.6249999999999994E-2"/>
    <n v="75"/>
    <n v="75"/>
    <n v="90"/>
    <n v="90"/>
    <n v="90"/>
    <n v="0.8"/>
    <n v="420"/>
    <n v="0.98809523809523814"/>
    <n v="0.19761904761904764"/>
    <n v="2.95"/>
    <n v="84"/>
    <n v="0.59394538349691017"/>
    <s v="Kurang"/>
    <s v="Stay"/>
    <s v="Engineer"/>
  </r>
  <r>
    <n v="319"/>
    <s v="Afif Maulana Sidik"/>
    <s v="IDH80049"/>
    <s v="Associate engineer"/>
    <x v="72"/>
    <x v="1"/>
    <s v="IMPACT"/>
    <d v="2023-05-29T00:00:00"/>
    <d v="2024-10-31T00:00:00"/>
    <s v="1 Tahun 8 Bulan 1 Hari "/>
    <n v="521"/>
    <n v="194"/>
    <n v="2"/>
    <n v="1461"/>
    <n v="730.5"/>
    <n v="510"/>
    <n v="0.6"/>
    <n v="3"/>
    <n v="0.69815195071868585"/>
    <n v="0.13963039014373718"/>
    <d v="1907-05-25T13:27:51"/>
    <d v="1899-12-30T00:00:00"/>
    <d v="1899-12-30T00:00:00"/>
    <n v="0"/>
    <n v="0"/>
    <n v="0"/>
    <n v="0"/>
    <n v="0"/>
    <n v="0"/>
    <n v="0"/>
    <d v="1899-12-30T01:38:37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90"/>
    <n v="85"/>
    <n v="80"/>
    <n v="0.8"/>
    <n v="405"/>
    <n v="0.98765432098765427"/>
    <n v="0.19753086419753085"/>
    <n v="3"/>
    <n v="81"/>
    <n v="0.59341125434126807"/>
    <s v="Kurang"/>
    <s v="Stay"/>
    <s v="Associate engineer"/>
  </r>
  <r>
    <n v="320"/>
    <s v="Aris Munandar"/>
    <s v="IDH30014"/>
    <s v="Engineer"/>
    <x v="29"/>
    <x v="2"/>
    <s v="IMPACT"/>
    <d v="2016-09-05T00:00:00"/>
    <d v="2024-10-31T00:00:00"/>
    <s v="8 Tahun 4 Bulan 25 Hari "/>
    <n v="2978"/>
    <n v="126"/>
    <n v="3"/>
    <n v="985"/>
    <n v="328.33333333333331"/>
    <n v="304"/>
    <n v="0.8"/>
    <n v="4"/>
    <n v="0.92588832487309647"/>
    <n v="0.18517766497461929"/>
    <d v="1906-11-20T12:29:37"/>
    <d v="1915-07-27T11:26:00"/>
    <d v="1899-12-30T06:03:29"/>
    <n v="0"/>
    <n v="0"/>
    <n v="1"/>
    <n v="0.4"/>
    <n v="1"/>
    <n v="0.33333333333333331"/>
    <n v="8.3333333333333329E-2"/>
    <d v="1899-12-30T06:55:02"/>
    <n v="0.25"/>
    <n v="1"/>
    <n v="0.2"/>
    <n v="0.05"/>
    <n v="1"/>
    <n v="1"/>
    <n v="1"/>
    <n v="0"/>
    <n v="0"/>
    <n v="1"/>
    <n v="0"/>
    <n v="0"/>
    <n v="0.8"/>
    <n v="4"/>
    <n v="0.5"/>
    <n v="7.4999999999999997E-2"/>
    <n v="75"/>
    <n v="75"/>
    <n v="70"/>
    <n v="75"/>
    <n v="70"/>
    <n v="0.8"/>
    <n v="365"/>
    <n v="0.98630136986301364"/>
    <n v="0.19726027397260273"/>
    <n v="3.05"/>
    <n v="73"/>
    <n v="0.59077127228055537"/>
    <s v="Kurang"/>
    <s v="Stay"/>
    <s v="Engineer"/>
  </r>
  <r>
    <n v="321"/>
    <s v="Randi Julkifli Yudanegara"/>
    <s v="IDH70112"/>
    <s v="Associate engineer"/>
    <x v="3"/>
    <x v="0"/>
    <s v="SIPRAMA"/>
    <d v="2024-01-15T00:00:00"/>
    <d v="2024-10-31T00:00:00"/>
    <s v="1 Tahun 0 Bulan 15 Hari "/>
    <n v="290"/>
    <n v="872"/>
    <n v="15"/>
    <n v="5975"/>
    <n v="398.33333333333331"/>
    <n v="300"/>
    <n v="0.6"/>
    <n v="3"/>
    <n v="0.75313807531380761"/>
    <n v="0.15062761506276154"/>
    <d v="1903-10-29T10:30:52"/>
    <d v="1899-12-30T00:00:00"/>
    <d v="1899-12-30T00:00:00"/>
    <n v="0"/>
    <n v="0"/>
    <n v="0"/>
    <n v="0"/>
    <n v="0"/>
    <n v="0"/>
    <n v="0"/>
    <d v="1899-12-30T01:24:53"/>
    <n v="1"/>
    <n v="4"/>
    <n v="0.8"/>
    <n v="0.2"/>
    <n v="1"/>
    <n v="1"/>
    <n v="0"/>
    <n v="0"/>
    <n v="0"/>
    <n v="0"/>
    <n v="0"/>
    <n v="0"/>
    <n v="0.4"/>
    <n v="2"/>
    <n v="0.25"/>
    <n v="3.7499999999999999E-2"/>
    <n v="75"/>
    <n v="75"/>
    <n v="80"/>
    <n v="80"/>
    <n v="80"/>
    <n v="0.8"/>
    <n v="390"/>
    <n v="0.98717948717948723"/>
    <n v="0.19743589743589746"/>
    <n v="2.8"/>
    <n v="78"/>
    <n v="0.5855635124986589"/>
    <s v="New CE"/>
    <s v="Stay"/>
    <s v="Associate engineer"/>
  </r>
  <r>
    <n v="322"/>
    <s v="Wawan Harianto"/>
    <s v="IDH90003"/>
    <s v="Associate engineer"/>
    <x v="17"/>
    <x v="2"/>
    <s v="KINARYA"/>
    <d v="2023-09-04T00:00:00"/>
    <d v="2024-10-31T00:00:00"/>
    <s v="1 Tahun 4 Bulan 26 Hari "/>
    <n v="423"/>
    <n v="612"/>
    <n v="11"/>
    <n v="5254"/>
    <n v="477.63636363636363"/>
    <n v="426"/>
    <n v="0.8"/>
    <n v="4"/>
    <n v="0.89189189189189189"/>
    <n v="0.17837837837837839"/>
    <d v="1901-02-09T08:57:08"/>
    <d v="1899-12-30T00:00:00"/>
    <d v="1899-12-30T00:00:00"/>
    <n v="0"/>
    <n v="0"/>
    <n v="0"/>
    <n v="0"/>
    <n v="0"/>
    <n v="0"/>
    <n v="0"/>
    <d v="1899-12-30T02:38:57"/>
    <n v="0.75"/>
    <n v="3"/>
    <n v="0.6"/>
    <n v="0.15"/>
    <n v="1"/>
    <n v="1"/>
    <n v="1"/>
    <n v="0"/>
    <n v="0"/>
    <n v="0"/>
    <n v="0"/>
    <n v="0"/>
    <n v="0.6"/>
    <n v="3"/>
    <n v="0.375"/>
    <n v="5.6249999999999994E-2"/>
    <n v="75"/>
    <n v="75"/>
    <n v="75"/>
    <n v="70"/>
    <n v="75"/>
    <n v="0.8"/>
    <n v="370"/>
    <n v="0.98648648648648651"/>
    <n v="0.19729729729729731"/>
    <n v="2.95"/>
    <n v="74"/>
    <n v="0.58192567567567566"/>
    <s v="Kurang"/>
    <s v="Stay"/>
    <s v="Associate engineer"/>
  </r>
  <r>
    <n v="323"/>
    <s v="Ahmad Mirza Fikar"/>
    <s v="IDH70106"/>
    <s v="Associate engineer"/>
    <x v="4"/>
    <x v="0"/>
    <s v="SIPRAMA"/>
    <d v="2024-01-15T00:00:00"/>
    <d v="2024-10-31T00:00:00"/>
    <s v="1 Tahun 0 Bulan 15 Hari "/>
    <n v="290"/>
    <n v="625"/>
    <n v="10"/>
    <n v="4149"/>
    <n v="414.9"/>
    <n v="250"/>
    <n v="0.6"/>
    <n v="3"/>
    <n v="0.60255483248975661"/>
    <n v="0.12051096649795133"/>
    <d v="1917-09-29T10:20:34"/>
    <d v="1902-10-04T05:53:37"/>
    <d v="1899-12-30T00:00:00"/>
    <n v="0"/>
    <n v="0"/>
    <n v="0"/>
    <n v="0"/>
    <n v="0"/>
    <n v="0"/>
    <n v="0"/>
    <d v="1899-12-30T01:06:16"/>
    <n v="1"/>
    <n v="4"/>
    <n v="0.8"/>
    <n v="0.2"/>
    <n v="1"/>
    <n v="1"/>
    <n v="1"/>
    <n v="0"/>
    <n v="0"/>
    <n v="0"/>
    <n v="0"/>
    <n v="0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3"/>
    <n v="78"/>
    <n v="0.57419686393384883"/>
    <s v="New CE"/>
    <s v="Stay"/>
    <s v="Associate engineer"/>
  </r>
  <r>
    <n v="324"/>
    <s v="Rian Maulana Hadi"/>
    <s v="IDH80131"/>
    <s v="Associate engineer"/>
    <x v="7"/>
    <x v="1"/>
    <s v="IMPACT"/>
    <d v="2024-01-15T00:00:00"/>
    <d v="2024-10-31T00:00:00"/>
    <s v="1 Tahun 0 Bulan 15 Hari "/>
    <n v="290"/>
    <n v="60"/>
    <n v="2"/>
    <n v="480"/>
    <n v="240"/>
    <n v="213"/>
    <n v="0.8"/>
    <n v="4"/>
    <n v="0.88749999999999996"/>
    <n v="0.17749999999999999"/>
    <d v="1911-09-01T16:45:32"/>
    <d v="1899-12-30T00:00:00"/>
    <d v="1921-08-29T02:41:07"/>
    <n v="0"/>
    <n v="0"/>
    <n v="1"/>
    <n v="0.4"/>
    <n v="1"/>
    <n v="0.33333333333333331"/>
    <n v="8.3333333333333329E-2"/>
    <d v="1899-12-30T07:39:54"/>
    <n v="0.25"/>
    <n v="1"/>
    <n v="0.2"/>
    <n v="0.05"/>
    <n v="1"/>
    <n v="1"/>
    <n v="1"/>
    <n v="0"/>
    <n v="0"/>
    <n v="0"/>
    <n v="0"/>
    <n v="0"/>
    <n v="0.6"/>
    <n v="3"/>
    <n v="0.375"/>
    <n v="5.6249999999999994E-2"/>
    <n v="75"/>
    <n v="75"/>
    <n v="90"/>
    <n v="85"/>
    <n v="80"/>
    <n v="0.8"/>
    <n v="405"/>
    <n v="0.98765432098765427"/>
    <n v="0.19753086419753085"/>
    <n v="2.8500000000000005"/>
    <n v="81"/>
    <n v="0.56461419753086417"/>
    <s v="New CE"/>
    <s v="Stay"/>
    <s v="Associate engineer"/>
  </r>
  <r>
    <n v="325"/>
    <s v="M Ridha Thahir"/>
    <s v="IDH40135"/>
    <s v="Associate engineer"/>
    <x v="3"/>
    <x v="0"/>
    <s v="SIPRAMA"/>
    <d v="2021-11-15T00:00:00"/>
    <d v="2024-10-31T00:00:00"/>
    <s v="3 Tahun 2 Bulan 15 Hari "/>
    <n v="1081"/>
    <n v="872"/>
    <n v="15"/>
    <n v="5975"/>
    <n v="398.33333333333331"/>
    <n v="307"/>
    <n v="0.6"/>
    <n v="3"/>
    <n v="0.77071129707112973"/>
    <n v="0.15414225941422596"/>
    <d v="1943-07-05T14:46:40"/>
    <d v="1909-10-19T02:21:40"/>
    <d v="1899-12-30T00:00:00"/>
    <n v="0"/>
    <n v="0"/>
    <n v="0"/>
    <n v="0"/>
    <n v="0"/>
    <n v="0"/>
    <n v="0"/>
    <d v="1899-12-30T02:16:53"/>
    <n v="0.75"/>
    <n v="3"/>
    <n v="0.6"/>
    <n v="0.15"/>
    <n v="1"/>
    <n v="1"/>
    <n v="1"/>
    <n v="0"/>
    <n v="0"/>
    <n v="0"/>
    <n v="0"/>
    <n v="0"/>
    <n v="0.6"/>
    <n v="3"/>
    <n v="0.375"/>
    <n v="5.6249999999999994E-2"/>
    <n v="75"/>
    <n v="75"/>
    <n v="85"/>
    <n v="85"/>
    <n v="85"/>
    <n v="0.8"/>
    <n v="405"/>
    <n v="0.98765432098765427"/>
    <n v="0.19753086419753085"/>
    <n v="2.75"/>
    <n v="81"/>
    <n v="0.55792312361175678"/>
    <s v="Kurang"/>
    <s v="Stay"/>
    <s v="Associate engineer"/>
  </r>
  <r>
    <n v="326"/>
    <s v="Wahyu Firmansyah"/>
    <s v="IDH10004"/>
    <s v="Associate engineer"/>
    <x v="42"/>
    <x v="0"/>
    <s v="KINARYA"/>
    <d v="2024-10-01T00:00:00"/>
    <d v="2024-10-31T00:00:00"/>
    <s v="0 Tahun 3 Bulan 29 Hari "/>
    <n v="30"/>
    <n v="332"/>
    <n v="6"/>
    <n v="2281"/>
    <n v="380.16666666666669"/>
    <n v="138"/>
    <n v="0.2"/>
    <n v="1"/>
    <n v="0.36299868478737396"/>
    <n v="7.2599736957474792E-2"/>
    <d v="1899-12-30T01:09:36"/>
    <d v="1899-12-30T01:00:02"/>
    <d v="1899-12-30T00:00:00"/>
    <n v="1"/>
    <n v="1"/>
    <n v="0"/>
    <n v="0.8"/>
    <n v="2"/>
    <n v="0.66666666666666663"/>
    <n v="0.16666666666666666"/>
    <d v="1899-12-30T00:00:00"/>
    <n v="1.25"/>
    <n v="5"/>
    <n v="0"/>
    <n v="0"/>
    <n v="1"/>
    <n v="1"/>
    <n v="1"/>
    <n v="0"/>
    <n v="0"/>
    <n v="1"/>
    <n v="1"/>
    <n v="1"/>
    <n v="1"/>
    <n v="6"/>
    <n v="0.75"/>
    <n v="0.11249999999999999"/>
    <n v="75"/>
    <n v="75"/>
    <n v="80"/>
    <n v="80"/>
    <n v="80"/>
    <n v="0.8"/>
    <n v="390"/>
    <n v="0.98717948717948723"/>
    <n v="0.19743589743589746"/>
    <n v="4.05"/>
    <n v="78"/>
    <n v="0.54920230106003887"/>
    <s v="New CE"/>
    <s v="Stay"/>
    <s v="Associate engineer"/>
  </r>
  <r>
    <n v="327"/>
    <s v="Faisal Abdul Aziz"/>
    <s v="IDH80021"/>
    <s v="Associate engineer"/>
    <x v="46"/>
    <x v="0"/>
    <s v="IMPACT"/>
    <d v="2023-02-09T00:00:00"/>
    <d v="2024-10-31T00:00:00"/>
    <s v="1 Tahun 11 Bulan 21 Hari "/>
    <n v="630"/>
    <n v="313"/>
    <n v="6"/>
    <n v="2164"/>
    <n v="360.66666666666669"/>
    <n v="349"/>
    <n v="0.8"/>
    <n v="4"/>
    <n v="0.96765249537892783"/>
    <n v="0.19353049907578557"/>
    <d v="1912-06-20T02:10:59"/>
    <d v="1924-12-05T03:16:55"/>
    <d v="1899-12-30T00:00:00"/>
    <n v="0"/>
    <n v="0"/>
    <n v="0"/>
    <n v="0"/>
    <n v="0"/>
    <n v="0"/>
    <n v="0"/>
    <d v="1899-12-30T03:01:38"/>
    <n v="0.5"/>
    <n v="2"/>
    <n v="0.4"/>
    <n v="0.1"/>
    <n v="1"/>
    <n v="1"/>
    <n v="1"/>
    <n v="0"/>
    <n v="0"/>
    <n v="0"/>
    <n v="0"/>
    <n v="0"/>
    <n v="0.6"/>
    <n v="3"/>
    <n v="0.375"/>
    <n v="5.6249999999999994E-2"/>
    <n v="75"/>
    <n v="75"/>
    <n v="85"/>
    <n v="80"/>
    <n v="90"/>
    <n v="0.8"/>
    <n v="405"/>
    <n v="0.98765432098765427"/>
    <n v="0.19753086419753085"/>
    <n v="2.7"/>
    <n v="81"/>
    <n v="0.54731136327331642"/>
    <s v="Kurang"/>
    <s v="Stay"/>
    <s v="Associate engineer"/>
  </r>
  <r>
    <n v="328"/>
    <s v="Risnanto"/>
    <s v="IDH10005"/>
    <s v="Associate engineer"/>
    <x v="42"/>
    <x v="0"/>
    <s v="KINARYA"/>
    <d v="2024-03-01T00:00:00"/>
    <d v="2024-10-31T00:00:00"/>
    <s v="0 Tahun 10 Bulan 29 Hari "/>
    <n v="244"/>
    <n v="332"/>
    <n v="6"/>
    <n v="2281"/>
    <n v="380.16666666666669"/>
    <n v="193"/>
    <n v="0.4"/>
    <n v="2"/>
    <n v="0.50767207365190703"/>
    <n v="0.10153441473038141"/>
    <d v="1899-12-30T00:50:47"/>
    <d v="1899-12-30T01:14:18"/>
    <d v="1899-12-30T00:00:00"/>
    <n v="1"/>
    <n v="1"/>
    <n v="0"/>
    <n v="0.8"/>
    <n v="2"/>
    <n v="0.66666666666666663"/>
    <n v="0.16666666666666666"/>
    <d v="1899-12-30T00:00:00"/>
    <n v="1.25"/>
    <n v="5"/>
    <n v="0"/>
    <n v="0"/>
    <n v="1"/>
    <n v="1"/>
    <n v="1"/>
    <n v="0"/>
    <n v="0"/>
    <n v="0"/>
    <n v="0"/>
    <n v="0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3.8500000000000005"/>
    <n v="78"/>
    <n v="0.52188697883294544"/>
    <s v="New CE"/>
    <s v="Stay"/>
    <s v="Associate engineer"/>
  </r>
  <r>
    <n v="329"/>
    <s v="Christian Harto"/>
    <s v="IDH10002"/>
    <s v="Associate engineer"/>
    <x v="31"/>
    <x v="1"/>
    <s v="KINARYA"/>
    <d v="2024-06-01T00:00:00"/>
    <d v="2024-10-31T00:00:00"/>
    <s v="0 Tahun 7 Bulan 29 Hari "/>
    <n v="152"/>
    <n v="102"/>
    <n v="3"/>
    <n v="916"/>
    <n v="305.33333333333331"/>
    <n v="120"/>
    <n v="0.2"/>
    <n v="1"/>
    <n v="0.39301310043668125"/>
    <n v="7.8602620087336261E-2"/>
    <d v="1899-12-30T00:57:24"/>
    <d v="1899-12-30T00:00:00"/>
    <d v="1899-12-30T04:30:23"/>
    <n v="1"/>
    <n v="0"/>
    <n v="1"/>
    <n v="0.8"/>
    <n v="2"/>
    <n v="0.66666666666666663"/>
    <n v="0.16666666666666666"/>
    <d v="1899-12-30T00:00:00"/>
    <n v="1.25"/>
    <n v="5"/>
    <n v="0"/>
    <n v="0"/>
    <n v="1"/>
    <n v="1"/>
    <n v="1"/>
    <n v="0"/>
    <n v="1"/>
    <n v="0"/>
    <n v="0"/>
    <n v="0"/>
    <n v="0.8"/>
    <n v="4"/>
    <n v="0.5"/>
    <n v="7.4999999999999997E-2"/>
    <n v="75"/>
    <n v="75"/>
    <n v="90"/>
    <n v="85"/>
    <n v="80"/>
    <n v="0.8"/>
    <n v="405"/>
    <n v="0.98765432098765427"/>
    <n v="0.19753086419753085"/>
    <n v="3.8499999999999996"/>
    <n v="81"/>
    <n v="0.51780015095153376"/>
    <s v="New CE"/>
    <s v="Stay"/>
    <s v="Associate engineer"/>
  </r>
  <r>
    <n v="330"/>
    <s v="Abd. Rasman"/>
    <s v="IDH10006"/>
    <s v="Associate engineer"/>
    <x v="8"/>
    <x v="2"/>
    <s v="KINARYA"/>
    <d v="2024-06-01T00:00:00"/>
    <d v="2024-10-31T00:00:00"/>
    <s v="0 Tahun 7 Bulan 29 Hari "/>
    <n v="152"/>
    <n v="171"/>
    <n v="4"/>
    <n v="1473"/>
    <n v="368.25"/>
    <n v="104"/>
    <n v="0.2"/>
    <n v="1"/>
    <n v="0.28241683638832316"/>
    <n v="5.6483367277664634E-2"/>
    <d v="1913-11-10T17:42:38"/>
    <d v="1899-12-30T00:00:04"/>
    <d v="1899-12-30T01:52:53"/>
    <n v="0"/>
    <n v="1"/>
    <n v="1"/>
    <n v="0.8"/>
    <n v="2"/>
    <n v="0.66666666666666663"/>
    <n v="0.16666666666666666"/>
    <d v="1899-12-30T00:00:00"/>
    <n v="1.25"/>
    <n v="5"/>
    <n v="0"/>
    <n v="0"/>
    <n v="1"/>
    <n v="1"/>
    <n v="1"/>
    <n v="0"/>
    <n v="1"/>
    <n v="1"/>
    <n v="0"/>
    <n v="0"/>
    <n v="1"/>
    <n v="5"/>
    <n v="0.625"/>
    <n v="9.375E-2"/>
    <n v="75"/>
    <n v="75"/>
    <n v="80"/>
    <n v="80"/>
    <n v="80"/>
    <n v="0.8"/>
    <n v="390"/>
    <n v="0.98717948717948723"/>
    <n v="0.19743589743589746"/>
    <n v="4.05"/>
    <n v="78"/>
    <n v="0.51433593138022871"/>
    <s v="New CE"/>
    <s v="Stay"/>
    <s v="Associate engineer"/>
  </r>
  <r>
    <n v="331"/>
    <s v="Tri Sakti Sutrisno"/>
    <s v="IDH10007"/>
    <s v="Associate engineer"/>
    <x v="78"/>
    <x v="0"/>
    <s v="KINARYA"/>
    <d v="2024-03-01T00:00:00"/>
    <d v="2024-10-31T00:00:00"/>
    <s v="0 Tahun 10 Bulan 29 Hari "/>
    <n v="244"/>
    <n v="52"/>
    <n v="1"/>
    <n v="685"/>
    <n v="685"/>
    <n v="199"/>
    <n v="0.2"/>
    <n v="1"/>
    <n v="0.29051094890510948"/>
    <n v="5.8102189781021898E-2"/>
    <d v="1905-06-04T03:45:50"/>
    <d v="1899-12-30T00:34:43"/>
    <d v="1899-12-30T00:00:00"/>
    <n v="0"/>
    <n v="1"/>
    <n v="0"/>
    <n v="0.4"/>
    <n v="1"/>
    <n v="0.33333333333333331"/>
    <n v="8.3333333333333329E-2"/>
    <d v="1899-12-30T00:00:00"/>
    <n v="1.25"/>
    <n v="5"/>
    <n v="0"/>
    <n v="0"/>
    <n v="1"/>
    <n v="1"/>
    <n v="1"/>
    <n v="0"/>
    <n v="1"/>
    <n v="1"/>
    <n v="0"/>
    <n v="1"/>
    <n v="1"/>
    <n v="6"/>
    <n v="0.75"/>
    <n v="0.11249999999999999"/>
    <n v="75"/>
    <n v="75"/>
    <n v="80"/>
    <n v="80"/>
    <n v="80"/>
    <n v="0.8"/>
    <n v="390"/>
    <n v="0.98717948717948723"/>
    <n v="0.19743589743589746"/>
    <n v="3.6500000000000004"/>
    <n v="78"/>
    <n v="0.45137142055025264"/>
    <s v="New CE"/>
    <s v="Stay"/>
    <s v="Associate engineer"/>
  </r>
  <r>
    <n v="332"/>
    <s v="Korniawan"/>
    <s v="IDH10019"/>
    <s v="Associate engineer"/>
    <x v="79"/>
    <x v="2"/>
    <s v="KINARYA"/>
    <d v="2024-10-01T00:00:00"/>
    <d v="2024-10-31T00:00:00"/>
    <s v="0 Tahun 3 Bulan 29 Hari "/>
    <n v="30"/>
    <n v="46"/>
    <n v="1"/>
    <n v="311"/>
    <n v="311"/>
    <n v="22"/>
    <n v="0.2"/>
    <n v="1"/>
    <n v="7.0739549839228297E-2"/>
    <n v="1.414790996784566E-2"/>
    <d v="1899-12-30T00:40:35"/>
    <d v="1899-12-30T00:00:00"/>
    <d v="1899-12-30T00:00:00"/>
    <n v="1"/>
    <n v="0"/>
    <n v="0"/>
    <n v="0.4"/>
    <n v="1"/>
    <n v="0.33333333333333331"/>
    <n v="8.3333333333333329E-2"/>
    <d v="1899-12-30T00:00:00"/>
    <n v="1.25"/>
    <n v="5"/>
    <n v="0"/>
    <n v="0"/>
    <n v="1"/>
    <n v="1"/>
    <n v="1"/>
    <n v="0"/>
    <n v="1"/>
    <n v="1"/>
    <n v="1"/>
    <n v="0"/>
    <n v="1"/>
    <n v="6"/>
    <n v="0.75"/>
    <n v="0.11249999999999999"/>
    <n v="75"/>
    <n v="75"/>
    <n v="75"/>
    <n v="80"/>
    <n v="85"/>
    <n v="0.8"/>
    <n v="390"/>
    <n v="0.98717948717948723"/>
    <n v="0.19743589743589746"/>
    <n v="3.6500000000000004"/>
    <n v="78"/>
    <n v="0.40741714073707647"/>
    <s v="New CE"/>
    <s v="Stay"/>
    <s v="Associate engineer"/>
  </r>
  <r>
    <n v="333"/>
    <s v="Achmad Rizki Firdaus"/>
    <s v="IDH10025"/>
    <s v="Associate engineer"/>
    <x v="0"/>
    <x v="0"/>
    <s v="KINARYA"/>
    <d v="2024-10-01T00:00:00"/>
    <d v="2024-10-31T00:00:00"/>
    <s v="0 Tahun 3 Bulan 29 Hari "/>
    <n v="30"/>
    <n v="1384"/>
    <n v="22"/>
    <n v="6775"/>
    <n v="307.95454545454544"/>
    <n v="17"/>
    <n v="0.2"/>
    <n v="1"/>
    <n v="5.5202952029520296E-2"/>
    <n v="1.104059040590406E-2"/>
    <d v="1899-12-30T00:46:08"/>
    <d v="1899-12-30T00:00:00"/>
    <d v="1899-12-30T00:00:00"/>
    <n v="1"/>
    <n v="0"/>
    <n v="0"/>
    <n v="0.4"/>
    <n v="1"/>
    <n v="0.33333333333333331"/>
    <n v="8.3333333333333329E-2"/>
    <d v="1899-12-30T00:00:00"/>
    <n v="1.25"/>
    <n v="5"/>
    <n v="0"/>
    <n v="0"/>
    <n v="1"/>
    <n v="1"/>
    <n v="1"/>
    <n v="0"/>
    <n v="1"/>
    <n v="1"/>
    <n v="1"/>
    <n v="0"/>
    <n v="1"/>
    <n v="6"/>
    <n v="0.75"/>
    <n v="0.11249999999999999"/>
    <n v="75"/>
    <n v="75"/>
    <n v="80"/>
    <n v="80"/>
    <n v="80"/>
    <n v="0.8"/>
    <n v="390"/>
    <n v="0.98717948717948723"/>
    <n v="0.19743589743589746"/>
    <n v="3.6500000000000004"/>
    <n v="78"/>
    <n v="0.40430982117513481"/>
    <s v="New CE"/>
    <s v="Stay"/>
    <s v="Associate engineer"/>
  </r>
  <r>
    <n v="334"/>
    <s v="Andree Wibisono"/>
    <s v="IDH10017"/>
    <s v="Associate engineer"/>
    <x v="11"/>
    <x v="1"/>
    <s v="KINARYA"/>
    <d v="2024-10-01T00:00:00"/>
    <d v="2024-10-31T00:00:00"/>
    <s v="0 Tahun 3 Bulan 29 Hari "/>
    <n v="30"/>
    <n v="897"/>
    <n v="13"/>
    <n v="6212"/>
    <n v="477.84615384615387"/>
    <n v="24"/>
    <n v="0.2"/>
    <n v="1"/>
    <n v="5.0225370251126847E-2"/>
    <n v="1.004507405022537E-2"/>
    <d v="1899-12-30T01:10:38"/>
    <d v="1899-12-30T00:00:00"/>
    <d v="1899-12-30T00:00:00"/>
    <n v="1"/>
    <n v="0"/>
    <n v="0"/>
    <n v="0.4"/>
    <n v="1"/>
    <n v="0.33333333333333331"/>
    <n v="8.3333333333333329E-2"/>
    <d v="1899-12-30T00:00:00"/>
    <n v="1.25"/>
    <n v="5"/>
    <n v="0"/>
    <n v="0"/>
    <n v="1"/>
    <n v="1"/>
    <n v="1"/>
    <n v="0"/>
    <n v="1"/>
    <n v="1"/>
    <n v="1"/>
    <n v="0"/>
    <n v="1"/>
    <n v="6"/>
    <n v="0.75"/>
    <n v="0.11249999999999999"/>
    <n v="75"/>
    <n v="75"/>
    <n v="90"/>
    <n v="85"/>
    <n v="80"/>
    <n v="0.8"/>
    <n v="405"/>
    <n v="0.98765432098765427"/>
    <n v="0.19753086419753085"/>
    <n v="3.6500000000000004"/>
    <n v="81"/>
    <n v="0.40340927158108952"/>
    <s v="New CE"/>
    <s v="Stay"/>
    <s v="Associate engineer"/>
  </r>
  <r>
    <n v="335"/>
    <s v="Izwan Kahfi"/>
    <s v="IDH10023"/>
    <s v="Associate engineer"/>
    <x v="17"/>
    <x v="2"/>
    <s v="KINARYA"/>
    <d v="2024-10-01T00:00:00"/>
    <d v="2024-10-31T00:00:00"/>
    <s v="0 Tahun 3 Bulan 29 Hari "/>
    <n v="30"/>
    <n v="612"/>
    <n v="11"/>
    <n v="5254"/>
    <n v="477.63636363636363"/>
    <n v="15"/>
    <n v="0.2"/>
    <n v="1"/>
    <n v="3.1404644080700421E-2"/>
    <n v="6.2809288161400842E-3"/>
    <d v="1899-12-30T00:58:08"/>
    <d v="1899-12-30T00:00:00"/>
    <d v="1899-12-30T00:00:00"/>
    <n v="1"/>
    <n v="0"/>
    <n v="0"/>
    <n v="0.4"/>
    <n v="1"/>
    <n v="0.33333333333333331"/>
    <n v="8.3333333333333329E-2"/>
    <d v="1899-12-30T00:00:00"/>
    <n v="1.25"/>
    <n v="5"/>
    <n v="0"/>
    <n v="0"/>
    <n v="1"/>
    <n v="1"/>
    <n v="1"/>
    <n v="0"/>
    <n v="1"/>
    <n v="1"/>
    <n v="1"/>
    <n v="0"/>
    <n v="1"/>
    <n v="6"/>
    <n v="0.75"/>
    <n v="0.11249999999999999"/>
    <n v="75"/>
    <n v="75"/>
    <n v="75"/>
    <n v="85"/>
    <n v="80"/>
    <n v="0.8"/>
    <n v="390"/>
    <n v="0.98717948717948723"/>
    <n v="0.19743589743589746"/>
    <n v="3.6500000000000004"/>
    <n v="78"/>
    <n v="0.39955015958537088"/>
    <s v="New CE"/>
    <s v="Stay"/>
    <s v="Associate engineer"/>
  </r>
  <r>
    <n v="336"/>
    <s v="Harma Arby L. Nafis"/>
    <s v="IDH10024"/>
    <s v="Associate engineer"/>
    <x v="16"/>
    <x v="2"/>
    <s v="KINARYA"/>
    <d v="2024-10-01T00:00:00"/>
    <d v="2024-10-31T00:00:00"/>
    <s v="0 Tahun 3 Bulan 29 Hari "/>
    <n v="30"/>
    <n v="211"/>
    <n v="4"/>
    <n v="1415"/>
    <n v="353.75"/>
    <n v="6"/>
    <n v="0.2"/>
    <n v="1"/>
    <n v="1.6961130742049468E-2"/>
    <n v="3.3922261484098937E-3"/>
    <d v="1899-12-30T00:51:53"/>
    <d v="1899-12-30T00:00:00"/>
    <d v="1899-12-30T00:00:00"/>
    <n v="1"/>
    <n v="0"/>
    <n v="0"/>
    <n v="0.4"/>
    <n v="1"/>
    <n v="0.33333333333333331"/>
    <n v="8.3333333333333329E-2"/>
    <d v="1899-12-30T00:00:00"/>
    <n v="1.25"/>
    <n v="5"/>
    <n v="0"/>
    <n v="0"/>
    <n v="1"/>
    <n v="1"/>
    <n v="1"/>
    <n v="0"/>
    <n v="1"/>
    <n v="1"/>
    <n v="1"/>
    <n v="0"/>
    <n v="1"/>
    <n v="6"/>
    <n v="0.75"/>
    <n v="0.11249999999999999"/>
    <n v="75"/>
    <n v="75"/>
    <n v="75"/>
    <n v="80"/>
    <n v="85"/>
    <n v="0.8"/>
    <n v="390"/>
    <n v="0.98717948717948723"/>
    <n v="0.19743589743589746"/>
    <n v="3.6500000000000004"/>
    <n v="78"/>
    <n v="0.39666145691764065"/>
    <s v="New CE"/>
    <s v="Stay"/>
    <s v="Associate engineer"/>
  </r>
  <r>
    <n v="337"/>
    <s v="M Fachrul Hidayat"/>
    <s v="IDH10022"/>
    <s v="Associate engineer"/>
    <x v="72"/>
    <x v="1"/>
    <s v="KINARYA"/>
    <d v="2024-06-01T00:00:00"/>
    <d v="2024-10-31T00:00:00"/>
    <s v="0 Tahun 7 Bulan 29 Hari "/>
    <n v="152"/>
    <n v="194"/>
    <n v="2"/>
    <n v="1461"/>
    <n v="730.5"/>
    <n v="11"/>
    <n v="0.2"/>
    <n v="1"/>
    <n v="1.5058179329226557E-2"/>
    <n v="3.0116358658453116E-3"/>
    <d v="1899-12-30T00:49:22"/>
    <d v="1899-12-30T00:00:00"/>
    <d v="1899-12-30T00:00:00"/>
    <n v="1"/>
    <n v="0"/>
    <n v="0"/>
    <n v="0.4"/>
    <n v="1"/>
    <n v="0.33333333333333331"/>
    <n v="8.3333333333333329E-2"/>
    <d v="1899-12-30T00:00:00"/>
    <n v="1.25"/>
    <n v="5"/>
    <n v="0"/>
    <n v="0"/>
    <n v="1"/>
    <n v="1"/>
    <n v="1"/>
    <n v="0"/>
    <n v="1"/>
    <n v="1"/>
    <n v="1"/>
    <n v="0"/>
    <n v="1"/>
    <n v="6"/>
    <n v="0.75"/>
    <n v="0.11249999999999999"/>
    <n v="75"/>
    <n v="75"/>
    <n v="90"/>
    <n v="85"/>
    <n v="80"/>
    <n v="0.8"/>
    <n v="405"/>
    <n v="0.98765432098765427"/>
    <n v="0.19753086419753085"/>
    <n v="3.6500000000000004"/>
    <n v="81"/>
    <n v="0.39637583339670945"/>
    <s v="New CE"/>
    <s v="Stay"/>
    <s v="Associate engineer"/>
  </r>
  <r>
    <n v="338"/>
    <s v="Nicola Sandra"/>
    <s v="IDH10016"/>
    <s v="Associate engineer"/>
    <x v="10"/>
    <x v="2"/>
    <s v="KINARYA"/>
    <d v="2024-10-01T00:00:00"/>
    <d v="2024-10-31T00:00:00"/>
    <s v="0 Tahun 3 Bulan 29 Hari "/>
    <n v="30"/>
    <n v="69"/>
    <n v="1"/>
    <n v="505"/>
    <n v="505"/>
    <n v="6"/>
    <n v="0.2"/>
    <n v="1"/>
    <n v="1.1881188118811881E-2"/>
    <n v="2.3762376237623766E-3"/>
    <d v="1899-12-30T00:00:00"/>
    <d v="1899-12-30T00:00:00"/>
    <d v="1899-12-30T06:33:04"/>
    <n v="0"/>
    <n v="0"/>
    <n v="1"/>
    <n v="0.4"/>
    <n v="1"/>
    <n v="0.33333333333333331"/>
    <n v="8.3333333333333329E-2"/>
    <d v="1899-12-30T00:00:00"/>
    <n v="1.25"/>
    <n v="5"/>
    <n v="0"/>
    <n v="0"/>
    <n v="1"/>
    <n v="1"/>
    <n v="1"/>
    <n v="0"/>
    <n v="1"/>
    <n v="1"/>
    <n v="1"/>
    <n v="0"/>
    <n v="1"/>
    <n v="6"/>
    <n v="0.75"/>
    <n v="0.11249999999999999"/>
    <n v="75"/>
    <n v="75"/>
    <n v="75"/>
    <n v="75"/>
    <n v="75"/>
    <n v="0.8"/>
    <n v="375"/>
    <n v="0.98666666666666669"/>
    <n v="0.19733333333333336"/>
    <n v="3.6500000000000004"/>
    <n v="75"/>
    <n v="0.39554290429042904"/>
    <s v="New CE"/>
    <s v="Stay"/>
    <s v="Associate engineer"/>
  </r>
  <r>
    <n v="339"/>
    <s v="Taufiqurahman Yusuf"/>
    <s v="IDH10003"/>
    <s v="Associate engineer"/>
    <x v="43"/>
    <x v="2"/>
    <s v="KINARYA"/>
    <d v="2024-06-01T00:00:00"/>
    <d v="2024-10-31T00:00:00"/>
    <s v="0 Tahun 7 Bulan 29 Hari "/>
    <n v="152"/>
    <n v="142"/>
    <n v="3"/>
    <n v="1369"/>
    <n v="456.33333333333331"/>
    <n v="210"/>
    <n v="0.4"/>
    <n v="2"/>
    <n v="0.46018991964937911"/>
    <n v="9.2037983929875833E-2"/>
    <d v="1902-01-03T14:27:17"/>
    <d v="1920-10-17T01:54:45"/>
    <d v="1899-12-30T00:00:00"/>
    <n v="0"/>
    <n v="0"/>
    <n v="0"/>
    <n v="0"/>
    <n v="0"/>
    <n v="0"/>
    <n v="0"/>
    <d v="1899-12-30T00:00:00"/>
    <n v="1.25"/>
    <n v="5"/>
    <n v="0"/>
    <n v="0"/>
    <n v="1"/>
    <n v="1"/>
    <n v="1"/>
    <n v="0"/>
    <n v="0"/>
    <n v="0"/>
    <n v="0"/>
    <n v="0"/>
    <n v="0.6"/>
    <n v="3"/>
    <n v="0.375"/>
    <n v="5.6249999999999994E-2"/>
    <n v="75"/>
    <n v="75"/>
    <n v="75"/>
    <n v="80"/>
    <n v="80"/>
    <n v="0.8"/>
    <n v="385"/>
    <n v="0.98701298701298701"/>
    <n v="0.19740259740259741"/>
    <n v="3.05"/>
    <n v="77"/>
    <n v="0.34569058133247321"/>
    <s v="New CE"/>
    <s v="Stay"/>
    <s v="Associate engineer"/>
  </r>
  <r>
    <n v="340"/>
    <s v="Dani Abi Sulaeman"/>
    <s v="IDH10018"/>
    <s v="Associate engineer"/>
    <x v="50"/>
    <x v="0"/>
    <s v="KINARYA"/>
    <d v="2024-10-01T00:00:00"/>
    <d v="2024-10-31T00:00:00"/>
    <s v="0 Tahun 3 Bulan 29 Hari "/>
    <n v="30"/>
    <n v="98"/>
    <n v="1"/>
    <n v="454"/>
    <n v="454"/>
    <n v="7"/>
    <n v="0.2"/>
    <n v="1"/>
    <n v="1.5418502202643172E-2"/>
    <n v="3.0837004405286344E-3"/>
    <d v="1899-12-30T01:25:27"/>
    <d v="1899-12-30T00:00:00"/>
    <d v="1899-12-30T00:00:00"/>
    <n v="1"/>
    <n v="0"/>
    <n v="0"/>
    <n v="0.4"/>
    <n v="1"/>
    <n v="0.33333333333333331"/>
    <n v="8.3333333333333329E-2"/>
    <d v="1899-12-30T00:00:00"/>
    <n v="1.25"/>
    <n v="5"/>
    <n v="0"/>
    <n v="0"/>
    <n v="1"/>
    <n v="1"/>
    <n v="1"/>
    <n v="0"/>
    <n v="0"/>
    <n v="0"/>
    <n v="0"/>
    <n v="0"/>
    <n v="0.6"/>
    <n v="3"/>
    <n v="0.375"/>
    <n v="5.6249999999999994E-2"/>
    <n v="75"/>
    <n v="75"/>
    <n v="80"/>
    <n v="80"/>
    <n v="80"/>
    <n v="0.8"/>
    <n v="390"/>
    <n v="0.98717948717948723"/>
    <n v="0.19743589743589746"/>
    <n v="3.25"/>
    <n v="78"/>
    <n v="0.34010293120975943"/>
    <s v="New CE"/>
    <s v="Stay"/>
    <s v="Associate engineer"/>
  </r>
  <r>
    <n v="341"/>
    <s v="Yusril Affandi"/>
    <s v="IDH10021"/>
    <s v="Associate engineer"/>
    <x v="11"/>
    <x v="1"/>
    <s v="KINARYA"/>
    <d v="2024-06-01T00:00:00"/>
    <d v="2024-10-31T00:00:00"/>
    <s v="0 Tahun 7 Bulan 29 Hari "/>
    <n v="152"/>
    <n v="897"/>
    <n v="13"/>
    <n v="6212"/>
    <n v="477.84615384615387"/>
    <n v="21"/>
    <n v="0.2"/>
    <n v="1"/>
    <n v="4.3947198969735993E-2"/>
    <n v="8.7894397939471992E-3"/>
    <d v="1899-12-30T02:01:24"/>
    <d v="1899-12-30T00:00:00"/>
    <d v="1899-12-30T00:00:00"/>
    <n v="0"/>
    <n v="0"/>
    <n v="0"/>
    <n v="0"/>
    <n v="0"/>
    <n v="0"/>
    <n v="0"/>
    <d v="1899-12-30T00:00:00"/>
    <n v="1.25"/>
    <n v="5"/>
    <n v="0"/>
    <n v="0"/>
    <n v="1"/>
    <n v="1"/>
    <n v="1"/>
    <n v="0"/>
    <n v="1"/>
    <n v="1"/>
    <n v="1"/>
    <n v="0"/>
    <n v="1"/>
    <n v="6"/>
    <n v="0.75"/>
    <n v="0.11249999999999999"/>
    <n v="75"/>
    <n v="75"/>
    <n v="90"/>
    <n v="85"/>
    <n v="80"/>
    <n v="0.8"/>
    <n v="405"/>
    <n v="0.98765432098765427"/>
    <n v="0.19753086419753085"/>
    <n v="3.25"/>
    <n v="81"/>
    <n v="0.31882030399147804"/>
    <s v="New CE"/>
    <s v="Stay"/>
    <s v="Associate engineer"/>
  </r>
  <r>
    <n v="342"/>
    <s v="M Daniswara Gagah Surya L"/>
    <s v="IDH10026"/>
    <s v="Associate engineer"/>
    <x v="23"/>
    <x v="0"/>
    <s v="KINARYA"/>
    <d v="2024-10-01T00:00:00"/>
    <d v="2024-10-31T00:00:00"/>
    <s v="0 Tahun 3 Bulan 29 Hari "/>
    <n v="30"/>
    <n v="305"/>
    <n v="6"/>
    <n v="2074"/>
    <n v="345.66666666666669"/>
    <n v="8"/>
    <n v="0.2"/>
    <n v="1"/>
    <n v="2.3143683702989391E-2"/>
    <n v="4.6287367405978786E-3"/>
    <d v="1899-12-30T00:00:00"/>
    <d v="1899-12-30T00:00:00"/>
    <d v="1899-12-30T00:00:00"/>
    <n v="0"/>
    <n v="0"/>
    <n v="0"/>
    <n v="0"/>
    <n v="0"/>
    <n v="0"/>
    <n v="0"/>
    <d v="1899-12-30T00:00:00"/>
    <n v="1.25"/>
    <n v="5"/>
    <n v="0"/>
    <n v="0"/>
    <n v="1"/>
    <n v="1"/>
    <n v="1"/>
    <n v="0"/>
    <n v="1"/>
    <n v="1"/>
    <n v="1"/>
    <n v="0"/>
    <n v="1"/>
    <n v="6"/>
    <n v="0.75"/>
    <n v="0.11249999999999999"/>
    <n v="75"/>
    <n v="75"/>
    <n v="80"/>
    <n v="80"/>
    <n v="80"/>
    <n v="0.8"/>
    <n v="390"/>
    <n v="0.98717948717948723"/>
    <n v="0.19743589743589746"/>
    <n v="3.25"/>
    <n v="78"/>
    <n v="0.31456463417649533"/>
    <s v="New CE"/>
    <s v="Stay"/>
    <s v="Associate engineer"/>
  </r>
  <r>
    <n v="343"/>
    <s v="Khiyarul Umam"/>
    <s v="IDH10020"/>
    <s v="Associate engineer"/>
    <x v="78"/>
    <x v="0"/>
    <s v="KINARYA"/>
    <d v="2024-10-01T00:00:00"/>
    <d v="2024-10-31T00:00:00"/>
    <s v="0 Tahun 3 Bulan 29 Hari "/>
    <n v="30"/>
    <n v="52"/>
    <n v="2"/>
    <n v="685"/>
    <n v="342.5"/>
    <n v="7"/>
    <n v="0.2"/>
    <n v="1"/>
    <n v="2.0437956204379562E-2"/>
    <n v="4.0875912408759128E-3"/>
    <d v="1899-12-30T00:00:00"/>
    <d v="1899-12-30T00:00:00"/>
    <d v="1899-12-30T00:00:00"/>
    <n v="0"/>
    <n v="0"/>
    <n v="0"/>
    <n v="0"/>
    <n v="0"/>
    <n v="0"/>
    <n v="0"/>
    <d v="1899-12-30T00:00:00"/>
    <n v="1.25"/>
    <n v="5"/>
    <n v="0"/>
    <n v="0"/>
    <n v="1"/>
    <n v="1"/>
    <n v="1"/>
    <n v="0"/>
    <n v="1"/>
    <n v="1"/>
    <n v="1"/>
    <n v="0"/>
    <n v="1"/>
    <n v="6"/>
    <n v="0.75"/>
    <n v="0.11249999999999999"/>
    <n v="75"/>
    <n v="75"/>
    <n v="80"/>
    <n v="80"/>
    <n v="80"/>
    <n v="0.8"/>
    <n v="390"/>
    <n v="0.98717948717948723"/>
    <n v="0.19743589743589746"/>
    <n v="3.25"/>
    <n v="78"/>
    <n v="0.31402348867677338"/>
    <s v="New CE"/>
    <s v="Stay"/>
    <s v="Associate engineer"/>
  </r>
  <r>
    <n v="344"/>
    <s v="Serdistari Akun Benares"/>
    <s v="IDHEDC0019"/>
    <s v="Associate engineer"/>
    <x v="80"/>
    <x v="1"/>
    <s v="KINARYA"/>
    <d v="2024-10-01T00:00:00"/>
    <d v="2024-10-31T00:00:00"/>
    <s v="0 Tahun 3 Bulan 29 Hari "/>
    <n v="30"/>
    <n v="0"/>
    <n v="1"/>
    <n v="0"/>
    <n v="0"/>
    <n v="0"/>
    <n v="0.2"/>
    <n v="1"/>
    <n v="0"/>
    <n v="0"/>
    <d v="1899-12-30T00:00:00"/>
    <d v="1899-12-30T00:00:00"/>
    <d v="1899-12-30T00:00:00"/>
    <n v="0"/>
    <n v="0"/>
    <n v="0"/>
    <n v="0"/>
    <n v="0"/>
    <n v="0"/>
    <n v="0"/>
    <d v="1899-12-30T00:00:00"/>
    <n v="1.25"/>
    <n v="5"/>
    <n v="0"/>
    <n v="0"/>
    <n v="1"/>
    <n v="1"/>
    <n v="1"/>
    <n v="0"/>
    <n v="1"/>
    <n v="1"/>
    <n v="1"/>
    <n v="0"/>
    <n v="1"/>
    <n v="6"/>
    <n v="0.75"/>
    <n v="0.11249999999999999"/>
    <n v="75"/>
    <n v="75"/>
    <n v="90"/>
    <n v="85"/>
    <n v="80"/>
    <n v="0.8"/>
    <n v="405"/>
    <n v="0.98765432098765427"/>
    <n v="0.19753086419753085"/>
    <n v="3.25"/>
    <n v="81"/>
    <n v="0.31003086419753084"/>
    <s v="New CE"/>
    <s v="Stay"/>
    <s v="Associate engineer"/>
  </r>
  <r>
    <n v="345"/>
    <s v="Ignatius Ehak Mukin"/>
    <s v="IDHEDC0021"/>
    <s v="Associate engineer"/>
    <x v="81"/>
    <x v="1"/>
    <s v="KINARYA"/>
    <d v="2024-10-01T00:00:00"/>
    <d v="2024-10-31T00:00:00"/>
    <s v="0 Tahun 3 Bulan 29 Hari "/>
    <n v="30"/>
    <n v="0"/>
    <n v="1"/>
    <n v="0"/>
    <n v="0"/>
    <n v="0"/>
    <n v="0.2"/>
    <n v="1"/>
    <n v="0"/>
    <n v="0"/>
    <d v="1899-12-30T00:00:00"/>
    <d v="1899-12-30T00:00:00"/>
    <d v="1899-12-30T00:00:00"/>
    <n v="0"/>
    <n v="0"/>
    <n v="0"/>
    <n v="0"/>
    <n v="0"/>
    <n v="0"/>
    <n v="0"/>
    <d v="1899-12-30T00:00:00"/>
    <n v="1.25"/>
    <n v="5"/>
    <n v="0"/>
    <n v="0"/>
    <n v="1"/>
    <n v="1"/>
    <n v="1"/>
    <n v="0"/>
    <n v="1"/>
    <n v="1"/>
    <n v="1"/>
    <n v="0"/>
    <n v="1"/>
    <n v="6"/>
    <n v="0.75"/>
    <n v="0.11249999999999999"/>
    <n v="75"/>
    <n v="75"/>
    <n v="90"/>
    <n v="85"/>
    <n v="80"/>
    <n v="0.8"/>
    <n v="405"/>
    <n v="0.98765432098765427"/>
    <n v="0.19753086419753085"/>
    <n v="3.25"/>
    <n v="81"/>
    <n v="0.31003086419753084"/>
    <s v="New CE"/>
    <s v="Stay"/>
    <s v="Associate engineer"/>
  </r>
  <r>
    <n v="346"/>
    <s v="Arianja"/>
    <s v="IDH10033"/>
    <s v="Associate engineer"/>
    <x v="1"/>
    <x v="1"/>
    <s v="KINARYA"/>
    <d v="2024-11-05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47"/>
    <s v="Erik Ekstrada"/>
    <s v="IDH10028"/>
    <s v="Associate engineer"/>
    <x v="17"/>
    <x v="2"/>
    <s v="KINARYA"/>
    <d v="2024-11-07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48"/>
    <s v="Virgil Steven Weol"/>
    <s v="IDH10031"/>
    <s v="Associate engineer"/>
    <x v="52"/>
    <x v="2"/>
    <s v="KINARYA"/>
    <d v="2024-11-05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49"/>
    <s v="Muhammad Arka Syah"/>
    <s v="IDH10030"/>
    <s v="Associate engineer"/>
    <x v="49"/>
    <x v="2"/>
    <s v="KINARYA"/>
    <d v="2024-11-07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50"/>
    <s v="Farhan Abdul Razaaq"/>
    <s v="DH10035"/>
    <s v="Associate engineer"/>
    <x v="17"/>
    <x v="2"/>
    <s v="KINARYA"/>
    <d v="2025-01-2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51"/>
    <s v="Ahmad Chidhir Sofyan"/>
    <s v="IDH10036"/>
    <s v="Associate engineer"/>
    <x v="47"/>
    <x v="0"/>
    <s v="KINARYA"/>
    <d v="2025-01-14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52"/>
    <s v="Rahmad Ibrahim"/>
    <s v="IDH10038"/>
    <s v="Associate engineer"/>
    <x v="76"/>
    <x v="0"/>
    <s v="KINARYA"/>
    <d v="2025-01-14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53"/>
    <s v="Faisal Nurur Ramadhan"/>
    <s v="IDH10039"/>
    <s v="Associate engineer"/>
    <x v="46"/>
    <x v="0"/>
    <s v="KINARYA"/>
    <d v="2025-01-14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54"/>
    <s v="Ade Rizky Cipta Pratama"/>
    <s v="IDH10040"/>
    <s v="Associate engineer"/>
    <x v="24"/>
    <x v="0"/>
    <s v="KINARYA"/>
    <d v="2025-01-14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55"/>
    <s v="Anggit Wijanarko Rakhmatullah"/>
    <s v="IDH10041"/>
    <s v="Associate engineer"/>
    <x v="23"/>
    <x v="0"/>
    <s v="KINARYA"/>
    <d v="2025-01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56"/>
    <s v="Adi Surya Darma"/>
    <s v="IDH10042"/>
    <s v="Associate engineer"/>
    <x v="68"/>
    <x v="2"/>
    <s v="KINARYA"/>
    <d v="2025-01-2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57"/>
    <s v="Habibullah"/>
    <s v="IDH10043"/>
    <s v="Associate engineer"/>
    <x v="82"/>
    <x v="2"/>
    <s v="KINARYA"/>
    <d v="2025-01-2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58"/>
    <s v="Muhammad Hamzah Fadillah"/>
    <s v="IDB10026"/>
    <s v="Associate engineer"/>
    <x v="11"/>
    <x v="1"/>
    <s v="KINARYA"/>
    <d v="2024-11-05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59"/>
    <s v="Muhammad Rizwan"/>
    <s v="IDH10027"/>
    <s v="Associate engineer"/>
    <x v="12"/>
    <x v="1"/>
    <s v="KINARYA"/>
    <d v="2024-11-05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60"/>
    <s v="Basuki Catur Putra"/>
    <s v="IDH10029"/>
    <s v="Associate engineer"/>
    <x v="47"/>
    <x v="0"/>
    <s v="KINARYA"/>
    <d v="2024-11-07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61"/>
    <s v="Muhammad Habiburohman"/>
    <s v="IDH10032"/>
    <s v="Associate engineer"/>
    <x v="83"/>
    <x v="0"/>
    <s v="KINARYA"/>
    <d v="2024-11-05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526B32-4806-42B3-AC29-165C26F3DB43}" name="PivotTable1" cacheId="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62">
    <pivotField showAll="0"/>
    <pivotField dataField="1"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numFmtId="1" showAll="0"/>
    <pivotField showAll="0"/>
    <pivotField numFmtId="2" showAll="0"/>
    <pivotField showAll="0"/>
    <pivotField numFmtId="9" showAll="0"/>
    <pivotField numFmtId="9" showAll="0"/>
    <pivotField numFmtId="20" showAll="0"/>
    <pivotField numFmtId="20" showAll="0"/>
    <pivotField numFmtId="20" showAll="0"/>
    <pivotField numFmtId="2" showAll="0"/>
    <pivotField numFmtId="2" showAll="0"/>
    <pivotField numFmtId="2" showAll="0"/>
    <pivotField numFmtId="2" showAll="0"/>
    <pivotField showAll="0"/>
    <pivotField numFmtId="10" showAll="0"/>
    <pivotField numFmtId="10" showAll="0"/>
    <pivotField numFmtId="21" showAll="0"/>
    <pivotField numFmtId="2" showAll="0"/>
    <pivotField showAll="0"/>
    <pivotField numFmtId="10"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numFmtId="10" showAll="0"/>
    <pivotField numFmtId="10" showAll="0"/>
    <pivotField numFmtId="1" showAll="0"/>
    <pivotField numFmtId="1" showAll="0"/>
    <pivotField numFmtId="1" showAll="0"/>
    <pivotField numFmtId="1" showAll="0"/>
    <pivotField numFmtId="1" showAll="0"/>
    <pivotField numFmtId="2" showAll="0"/>
    <pivotField showAll="0"/>
    <pivotField numFmtId="10" showAll="0"/>
    <pivotField numFmtId="10" showAll="0"/>
    <pivotField numFmtId="2" showAll="0"/>
    <pivotField numFmtId="2" showAll="0"/>
    <pivotField numFmtId="10" showAll="0"/>
    <pivotField showAll="0"/>
    <pivotField showAll="0"/>
    <pivotField axis="axisRow" showAll="0">
      <items count="6">
        <item x="2"/>
        <item x="1"/>
        <item h="1" x="4"/>
        <item x="0"/>
        <item h="1" x="3"/>
        <item t="default"/>
      </items>
    </pivotField>
  </pivotFields>
  <rowFields count="1">
    <field x="61"/>
  </rowFields>
  <rowItems count="4">
    <i>
      <x/>
    </i>
    <i>
      <x v="1"/>
    </i>
    <i>
      <x v="3"/>
    </i>
    <i t="grand">
      <x/>
    </i>
  </rowItems>
  <colItems count="1">
    <i/>
  </colItems>
  <dataFields count="1">
    <dataField name="Count of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C6A684-C7B4-47C5-B26E-85C9974D3F8D}" name="PivotTable1" cacheId="1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8" firstHeaderRow="1" firstDataRow="1" firstDataCol="1" rowPageCount="1" colPageCount="1"/>
  <pivotFields count="62">
    <pivotField showAll="0"/>
    <pivotField dataField="1" showAll="0"/>
    <pivotField showAll="0"/>
    <pivotField showAll="0"/>
    <pivotField axis="axisRow" showAll="0" sortType="descending">
      <items count="85">
        <item x="77"/>
        <item x="37"/>
        <item x="80"/>
        <item x="49"/>
        <item x="3"/>
        <item x="60"/>
        <item x="51"/>
        <item x="65"/>
        <item x="41"/>
        <item x="35"/>
        <item x="30"/>
        <item x="29"/>
        <item x="59"/>
        <item x="15"/>
        <item x="58"/>
        <item x="21"/>
        <item x="33"/>
        <item x="42"/>
        <item x="17"/>
        <item x="72"/>
        <item x="39"/>
        <item x="73"/>
        <item x="14"/>
        <item x="11"/>
        <item x="1"/>
        <item x="12"/>
        <item x="36"/>
        <item x="31"/>
        <item x="61"/>
        <item x="24"/>
        <item x="54"/>
        <item x="25"/>
        <item x="48"/>
        <item x="6"/>
        <item x="5"/>
        <item x="81"/>
        <item x="67"/>
        <item x="20"/>
        <item x="9"/>
        <item x="76"/>
        <item x="52"/>
        <item x="2"/>
        <item x="43"/>
        <item x="34"/>
        <item x="70"/>
        <item x="13"/>
        <item x="16"/>
        <item x="10"/>
        <item x="40"/>
        <item x="19"/>
        <item x="44"/>
        <item x="78"/>
        <item x="66"/>
        <item x="8"/>
        <item x="38"/>
        <item x="50"/>
        <item x="18"/>
        <item x="69"/>
        <item x="28"/>
        <item x="53"/>
        <item x="63"/>
        <item x="62"/>
        <item x="27"/>
        <item x="68"/>
        <item x="4"/>
        <item x="32"/>
        <item x="23"/>
        <item x="75"/>
        <item x="55"/>
        <item x="0"/>
        <item x="22"/>
        <item x="71"/>
        <item x="56"/>
        <item x="46"/>
        <item x="64"/>
        <item x="79"/>
        <item x="7"/>
        <item x="74"/>
        <item x="26"/>
        <item x="47"/>
        <item x="82"/>
        <item x="83"/>
        <item x="57"/>
        <item x="4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4">
        <item x="1"/>
        <item x="0"/>
        <item x="2"/>
        <item t="default"/>
      </items>
    </pivotField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85">
    <i>
      <x v="69"/>
    </i>
    <i>
      <x v="25"/>
    </i>
    <i>
      <x v="23"/>
    </i>
    <i>
      <x v="4"/>
    </i>
    <i>
      <x v="24"/>
    </i>
    <i>
      <x v="70"/>
    </i>
    <i>
      <x v="18"/>
    </i>
    <i>
      <x v="79"/>
    </i>
    <i>
      <x v="43"/>
    </i>
    <i>
      <x v="64"/>
    </i>
    <i>
      <x v="9"/>
    </i>
    <i>
      <x v="56"/>
    </i>
    <i>
      <x v="66"/>
    </i>
    <i>
      <x v="38"/>
    </i>
    <i>
      <x v="48"/>
    </i>
    <i>
      <x v="29"/>
    </i>
    <i>
      <x v="34"/>
    </i>
    <i>
      <x v="60"/>
    </i>
    <i>
      <x v="14"/>
    </i>
    <i>
      <x v="73"/>
    </i>
    <i>
      <x v="17"/>
    </i>
    <i>
      <x v="39"/>
    </i>
    <i>
      <x v="6"/>
    </i>
    <i>
      <x v="16"/>
    </i>
    <i>
      <x v="53"/>
    </i>
    <i>
      <x v="46"/>
    </i>
    <i>
      <x v="57"/>
    </i>
    <i>
      <x v="65"/>
    </i>
    <i>
      <x v="74"/>
    </i>
    <i>
      <x v="8"/>
    </i>
    <i>
      <x v="68"/>
    </i>
    <i>
      <x v="40"/>
    </i>
    <i>
      <x v="63"/>
    </i>
    <i>
      <x v="28"/>
    </i>
    <i>
      <x v="26"/>
    </i>
    <i>
      <x v="37"/>
    </i>
    <i>
      <x v="58"/>
    </i>
    <i>
      <x v="42"/>
    </i>
    <i>
      <x v="11"/>
    </i>
    <i>
      <x v="3"/>
    </i>
    <i>
      <x v="27"/>
    </i>
    <i>
      <x v="50"/>
    </i>
    <i>
      <x v="32"/>
    </i>
    <i>
      <x v="19"/>
    </i>
    <i>
      <x v="1"/>
    </i>
    <i>
      <x v="51"/>
    </i>
    <i>
      <x v="49"/>
    </i>
    <i>
      <x v="76"/>
    </i>
    <i>
      <x v="72"/>
    </i>
    <i>
      <x v="55"/>
    </i>
    <i>
      <x v="13"/>
    </i>
    <i>
      <x v="36"/>
    </i>
    <i>
      <x v="5"/>
    </i>
    <i>
      <x v="7"/>
    </i>
    <i>
      <x v="71"/>
    </i>
    <i>
      <x v="22"/>
    </i>
    <i>
      <x v="30"/>
    </i>
    <i>
      <x v="47"/>
    </i>
    <i>
      <x v="54"/>
    </i>
    <i>
      <x v="20"/>
    </i>
    <i>
      <x v="75"/>
    </i>
    <i>
      <x v="15"/>
    </i>
    <i>
      <x v="31"/>
    </i>
    <i>
      <x v="61"/>
    </i>
    <i>
      <x v="12"/>
    </i>
    <i>
      <x v="62"/>
    </i>
    <i>
      <x v="77"/>
    </i>
    <i>
      <x v="35"/>
    </i>
    <i>
      <x v="81"/>
    </i>
    <i>
      <x v="2"/>
    </i>
    <i>
      <x v="21"/>
    </i>
    <i>
      <x v="10"/>
    </i>
    <i>
      <x v="82"/>
    </i>
    <i>
      <x v="52"/>
    </i>
    <i>
      <x v="59"/>
    </i>
    <i>
      <x v="67"/>
    </i>
    <i>
      <x v="78"/>
    </i>
    <i>
      <x v="44"/>
    </i>
    <i>
      <x v="80"/>
    </i>
    <i>
      <x v="45"/>
    </i>
    <i>
      <x v="83"/>
    </i>
    <i>
      <x v="33"/>
    </i>
    <i>
      <x/>
    </i>
    <i>
      <x v="41"/>
    </i>
    <i t="grand">
      <x/>
    </i>
  </rowItems>
  <colItems count="1">
    <i/>
  </colItems>
  <pageFields count="1">
    <pageField fld="5" hier="-1"/>
  </pageFields>
  <dataFields count="1">
    <dataField name="Count of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0A1BC-3AA1-4184-BE21-0A33E4C5A95F}">
  <dimension ref="A2:O73"/>
  <sheetViews>
    <sheetView topLeftCell="E52" zoomScale="70" zoomScaleNormal="70" workbookViewId="0">
      <selection activeCell="J4" sqref="J4:J73"/>
    </sheetView>
  </sheetViews>
  <sheetFormatPr defaultColWidth="9.1796875" defaultRowHeight="21.5" x14ac:dyDescent="0.9"/>
  <cols>
    <col min="1" max="1" width="7.08984375" style="3" bestFit="1" customWidth="1"/>
    <col min="2" max="2" width="45.81640625" style="3" bestFit="1" customWidth="1"/>
    <col min="3" max="3" width="14" style="3" bestFit="1" customWidth="1"/>
    <col min="4" max="4" width="21.1796875" style="3" bestFit="1" customWidth="1"/>
    <col min="5" max="5" width="16.26953125" style="3" bestFit="1" customWidth="1"/>
    <col min="6" max="6" width="16.453125" style="3" bestFit="1" customWidth="1"/>
    <col min="7" max="7" width="18.81640625" style="3" bestFit="1" customWidth="1"/>
    <col min="8" max="8" width="30.81640625" style="3" customWidth="1"/>
    <col min="9" max="9" width="22.26953125" style="3" bestFit="1" customWidth="1"/>
    <col min="10" max="10" width="18.81640625" style="3" bestFit="1" customWidth="1"/>
    <col min="11" max="11" width="17.26953125" style="3" bestFit="1" customWidth="1"/>
    <col min="12" max="12" width="20" style="3" bestFit="1" customWidth="1"/>
    <col min="13" max="13" width="17.81640625" style="3" bestFit="1" customWidth="1"/>
    <col min="14" max="14" width="15.453125" style="3" bestFit="1" customWidth="1"/>
    <col min="15" max="15" width="20.54296875" style="3" bestFit="1" customWidth="1"/>
    <col min="16" max="16" width="12.7265625" style="3" bestFit="1" customWidth="1"/>
    <col min="17" max="16384" width="9.1796875" style="3"/>
  </cols>
  <sheetData>
    <row r="2" spans="1:15" x14ac:dyDescent="0.9">
      <c r="J2" s="78" t="s">
        <v>4</v>
      </c>
      <c r="K2" s="78"/>
      <c r="L2" s="78"/>
      <c r="M2" s="78"/>
      <c r="N2" s="78"/>
      <c r="O2" s="78"/>
    </row>
    <row r="3" spans="1:15" ht="43" x14ac:dyDescent="0.9">
      <c r="A3" s="4" t="s">
        <v>8</v>
      </c>
      <c r="B3" s="4" t="s">
        <v>9</v>
      </c>
      <c r="C3" s="4" t="s">
        <v>10</v>
      </c>
      <c r="D3" s="4" t="s">
        <v>12</v>
      </c>
      <c r="E3" s="4" t="s">
        <v>13</v>
      </c>
      <c r="F3" s="4" t="s">
        <v>14</v>
      </c>
      <c r="G3" s="4" t="s">
        <v>15</v>
      </c>
      <c r="H3" s="4" t="s">
        <v>17</v>
      </c>
      <c r="I3" s="4" t="s">
        <v>901</v>
      </c>
      <c r="J3" s="5" t="s">
        <v>36</v>
      </c>
      <c r="K3" s="5" t="s">
        <v>37</v>
      </c>
      <c r="L3" s="5" t="s">
        <v>38</v>
      </c>
      <c r="M3" s="5" t="s">
        <v>854</v>
      </c>
      <c r="N3" s="5" t="s">
        <v>39</v>
      </c>
      <c r="O3" s="5" t="s">
        <v>850</v>
      </c>
    </row>
    <row r="4" spans="1:15" x14ac:dyDescent="0.9">
      <c r="A4" s="6">
        <v>1</v>
      </c>
      <c r="B4" s="6" t="s">
        <v>46</v>
      </c>
      <c r="C4" s="7" t="s">
        <v>47</v>
      </c>
      <c r="D4" s="6" t="s">
        <v>49</v>
      </c>
      <c r="E4" s="6" t="s">
        <v>50</v>
      </c>
      <c r="F4" s="6" t="s">
        <v>51</v>
      </c>
      <c r="G4" s="8">
        <v>44466</v>
      </c>
      <c r="H4" s="6" t="s">
        <v>822</v>
      </c>
      <c r="I4" s="6" t="s">
        <v>48</v>
      </c>
      <c r="J4" s="9">
        <v>4.6500000000000004</v>
      </c>
      <c r="K4" s="9">
        <v>83</v>
      </c>
      <c r="L4" s="10">
        <v>0.98321630657432058</v>
      </c>
      <c r="M4" s="11" t="s">
        <v>852</v>
      </c>
      <c r="N4" s="11" t="s">
        <v>855</v>
      </c>
      <c r="O4" s="12" t="s">
        <v>851</v>
      </c>
    </row>
    <row r="5" spans="1:15" x14ac:dyDescent="0.9">
      <c r="A5" s="6">
        <v>2</v>
      </c>
      <c r="B5" s="6" t="s">
        <v>52</v>
      </c>
      <c r="C5" s="7" t="s">
        <v>53</v>
      </c>
      <c r="D5" s="6" t="s">
        <v>43</v>
      </c>
      <c r="E5" s="6" t="s">
        <v>44</v>
      </c>
      <c r="F5" s="6" t="s">
        <v>55</v>
      </c>
      <c r="G5" s="8">
        <v>44795</v>
      </c>
      <c r="H5" s="6" t="s">
        <v>823</v>
      </c>
      <c r="I5" s="6" t="s">
        <v>54</v>
      </c>
      <c r="J5" s="9">
        <v>4.25</v>
      </c>
      <c r="K5" s="9">
        <v>81</v>
      </c>
      <c r="L5" s="10">
        <v>0.98197766616555049</v>
      </c>
      <c r="M5" s="11" t="s">
        <v>852</v>
      </c>
      <c r="N5" s="11" t="s">
        <v>855</v>
      </c>
      <c r="O5" s="12" t="s">
        <v>48</v>
      </c>
    </row>
    <row r="6" spans="1:15" x14ac:dyDescent="0.9">
      <c r="A6" s="6">
        <v>3</v>
      </c>
      <c r="B6" s="6" t="s">
        <v>56</v>
      </c>
      <c r="C6" s="7" t="s">
        <v>57</v>
      </c>
      <c r="D6" s="6" t="s">
        <v>43</v>
      </c>
      <c r="E6" s="6" t="s">
        <v>44</v>
      </c>
      <c r="F6" s="6" t="s">
        <v>45</v>
      </c>
      <c r="G6" s="8">
        <v>43472</v>
      </c>
      <c r="H6" s="6" t="s">
        <v>824</v>
      </c>
      <c r="I6" s="6" t="s">
        <v>48</v>
      </c>
      <c r="J6" s="9">
        <v>4.8</v>
      </c>
      <c r="K6" s="9">
        <v>78</v>
      </c>
      <c r="L6" s="10">
        <v>0.97543189989592194</v>
      </c>
      <c r="M6" s="11" t="s">
        <v>852</v>
      </c>
      <c r="N6" s="11" t="s">
        <v>855</v>
      </c>
      <c r="O6" s="12" t="s">
        <v>851</v>
      </c>
    </row>
    <row r="7" spans="1:15" x14ac:dyDescent="0.9">
      <c r="A7" s="6">
        <v>4</v>
      </c>
      <c r="B7" s="6" t="s">
        <v>58</v>
      </c>
      <c r="C7" s="7" t="s">
        <v>59</v>
      </c>
      <c r="D7" s="6" t="s">
        <v>60</v>
      </c>
      <c r="E7" s="6" t="s">
        <v>50</v>
      </c>
      <c r="F7" s="6" t="s">
        <v>61</v>
      </c>
      <c r="G7" s="8">
        <v>45131</v>
      </c>
      <c r="H7" s="6" t="s">
        <v>825</v>
      </c>
      <c r="I7" s="6" t="s">
        <v>54</v>
      </c>
      <c r="J7" s="9">
        <v>5.25</v>
      </c>
      <c r="K7" s="9">
        <v>81</v>
      </c>
      <c r="L7" s="10">
        <v>0.97395413152426347</v>
      </c>
      <c r="M7" s="11" t="s">
        <v>852</v>
      </c>
      <c r="N7" s="11" t="s">
        <v>855</v>
      </c>
      <c r="O7" s="12" t="s">
        <v>48</v>
      </c>
    </row>
    <row r="8" spans="1:15" x14ac:dyDescent="0.9">
      <c r="A8" s="6">
        <v>5</v>
      </c>
      <c r="B8" s="6" t="s">
        <v>68</v>
      </c>
      <c r="C8" s="7" t="s">
        <v>69</v>
      </c>
      <c r="D8" s="6" t="s">
        <v>70</v>
      </c>
      <c r="E8" s="6" t="s">
        <v>50</v>
      </c>
      <c r="F8" s="6" t="s">
        <v>61</v>
      </c>
      <c r="G8" s="8">
        <v>45231</v>
      </c>
      <c r="H8" s="6" t="s">
        <v>826</v>
      </c>
      <c r="I8" s="6" t="s">
        <v>54</v>
      </c>
      <c r="J8" s="9">
        <v>5.0999999999999996</v>
      </c>
      <c r="K8" s="9">
        <v>81</v>
      </c>
      <c r="L8" s="10">
        <v>0.96735734234663107</v>
      </c>
      <c r="M8" s="11" t="s">
        <v>852</v>
      </c>
      <c r="N8" s="11" t="s">
        <v>855</v>
      </c>
      <c r="O8" s="12" t="s">
        <v>48</v>
      </c>
    </row>
    <row r="9" spans="1:15" x14ac:dyDescent="0.9">
      <c r="A9" s="6">
        <v>6</v>
      </c>
      <c r="B9" s="6" t="s">
        <v>76</v>
      </c>
      <c r="C9" s="7" t="s">
        <v>77</v>
      </c>
      <c r="D9" s="6" t="s">
        <v>78</v>
      </c>
      <c r="E9" s="6" t="s">
        <v>50</v>
      </c>
      <c r="F9" s="6" t="s">
        <v>61</v>
      </c>
      <c r="G9" s="8">
        <v>45173</v>
      </c>
      <c r="H9" s="6" t="s">
        <v>827</v>
      </c>
      <c r="I9" s="6" t="s">
        <v>54</v>
      </c>
      <c r="J9" s="9">
        <v>5.3</v>
      </c>
      <c r="K9" s="9">
        <v>81</v>
      </c>
      <c r="L9" s="10">
        <v>0.96294753086419749</v>
      </c>
      <c r="M9" s="11" t="s">
        <v>852</v>
      </c>
      <c r="N9" s="11" t="s">
        <v>855</v>
      </c>
      <c r="O9" s="12" t="s">
        <v>48</v>
      </c>
    </row>
    <row r="10" spans="1:15" x14ac:dyDescent="0.9">
      <c r="A10" s="6">
        <v>7</v>
      </c>
      <c r="B10" s="55" t="s">
        <v>90</v>
      </c>
      <c r="C10" s="7" t="s">
        <v>91</v>
      </c>
      <c r="D10" s="6" t="s">
        <v>92</v>
      </c>
      <c r="E10" s="6" t="s">
        <v>74</v>
      </c>
      <c r="F10" s="6" t="s">
        <v>51</v>
      </c>
      <c r="G10" s="8">
        <v>44690</v>
      </c>
      <c r="H10" s="6" t="s">
        <v>828</v>
      </c>
      <c r="I10" s="6" t="s">
        <v>48</v>
      </c>
      <c r="J10" s="9">
        <v>5.0999999999999996</v>
      </c>
      <c r="K10" s="9">
        <v>82</v>
      </c>
      <c r="L10" s="10">
        <v>0.95355107461965716</v>
      </c>
      <c r="M10" s="11" t="s">
        <v>852</v>
      </c>
      <c r="N10" s="11" t="s">
        <v>855</v>
      </c>
      <c r="O10" s="12" t="s">
        <v>851</v>
      </c>
    </row>
    <row r="11" spans="1:15" x14ac:dyDescent="0.9">
      <c r="A11" s="6">
        <v>8</v>
      </c>
      <c r="B11" s="6" t="s">
        <v>93</v>
      </c>
      <c r="C11" s="7" t="s">
        <v>94</v>
      </c>
      <c r="D11" s="6" t="s">
        <v>95</v>
      </c>
      <c r="E11" s="6" t="s">
        <v>50</v>
      </c>
      <c r="F11" s="6" t="s">
        <v>55</v>
      </c>
      <c r="G11" s="8">
        <v>43740</v>
      </c>
      <c r="H11" s="6" t="s">
        <v>829</v>
      </c>
      <c r="I11" s="6" t="s">
        <v>48</v>
      </c>
      <c r="J11" s="9">
        <v>4.6500000000000004</v>
      </c>
      <c r="K11" s="9">
        <v>87</v>
      </c>
      <c r="L11" s="10">
        <v>0.95334211315140882</v>
      </c>
      <c r="M11" s="11" t="s">
        <v>852</v>
      </c>
      <c r="N11" s="11" t="s">
        <v>855</v>
      </c>
      <c r="O11" s="12" t="s">
        <v>851</v>
      </c>
    </row>
    <row r="12" spans="1:15" x14ac:dyDescent="0.9">
      <c r="A12" s="6">
        <v>9</v>
      </c>
      <c r="B12" s="6" t="s">
        <v>102</v>
      </c>
      <c r="C12" s="7" t="s">
        <v>103</v>
      </c>
      <c r="D12" s="6" t="s">
        <v>70</v>
      </c>
      <c r="E12" s="6" t="s">
        <v>50</v>
      </c>
      <c r="F12" s="6" t="s">
        <v>55</v>
      </c>
      <c r="G12" s="8">
        <v>44837</v>
      </c>
      <c r="H12" s="6" t="s">
        <v>830</v>
      </c>
      <c r="I12" s="6" t="s">
        <v>48</v>
      </c>
      <c r="J12" s="9">
        <v>5.25</v>
      </c>
      <c r="K12" s="9">
        <v>80</v>
      </c>
      <c r="L12" s="10">
        <v>0.94793380462724941</v>
      </c>
      <c r="M12" s="11" t="s">
        <v>852</v>
      </c>
      <c r="N12" s="11" t="s">
        <v>855</v>
      </c>
      <c r="O12" s="12" t="s">
        <v>851</v>
      </c>
    </row>
    <row r="13" spans="1:15" x14ac:dyDescent="0.9">
      <c r="A13" s="6">
        <v>10</v>
      </c>
      <c r="B13" s="6" t="s">
        <v>104</v>
      </c>
      <c r="C13" s="7" t="s">
        <v>105</v>
      </c>
      <c r="D13" s="6" t="s">
        <v>106</v>
      </c>
      <c r="E13" s="6" t="s">
        <v>74</v>
      </c>
      <c r="F13" s="6" t="s">
        <v>61</v>
      </c>
      <c r="G13" s="8">
        <v>45173</v>
      </c>
      <c r="H13" s="6" t="s">
        <v>827</v>
      </c>
      <c r="I13" s="6" t="s">
        <v>54</v>
      </c>
      <c r="J13" s="9">
        <v>4.8499999999999996</v>
      </c>
      <c r="K13" s="9">
        <v>81</v>
      </c>
      <c r="L13" s="10">
        <v>0.94306657848324515</v>
      </c>
      <c r="M13" s="11" t="s">
        <v>852</v>
      </c>
      <c r="N13" s="11" t="s">
        <v>855</v>
      </c>
      <c r="O13" s="12" t="s">
        <v>48</v>
      </c>
    </row>
    <row r="14" spans="1:15" x14ac:dyDescent="0.9">
      <c r="A14" s="6">
        <v>11</v>
      </c>
      <c r="B14" s="6" t="s">
        <v>107</v>
      </c>
      <c r="C14" s="7" t="s">
        <v>108</v>
      </c>
      <c r="D14" s="6" t="s">
        <v>43</v>
      </c>
      <c r="E14" s="6" t="s">
        <v>44</v>
      </c>
      <c r="F14" s="6" t="s">
        <v>61</v>
      </c>
      <c r="G14" s="8">
        <v>44966</v>
      </c>
      <c r="H14" s="6" t="s">
        <v>831</v>
      </c>
      <c r="I14" s="6" t="s">
        <v>54</v>
      </c>
      <c r="J14" s="9">
        <v>4.25</v>
      </c>
      <c r="K14" s="9">
        <v>74</v>
      </c>
      <c r="L14" s="10">
        <v>0.93823118413616569</v>
      </c>
      <c r="M14" s="11" t="s">
        <v>852</v>
      </c>
      <c r="N14" s="11" t="s">
        <v>855</v>
      </c>
      <c r="O14" s="12" t="s">
        <v>48</v>
      </c>
    </row>
    <row r="15" spans="1:15" x14ac:dyDescent="0.9">
      <c r="A15" s="6">
        <v>12</v>
      </c>
      <c r="B15" s="6" t="s">
        <v>109</v>
      </c>
      <c r="C15" s="7" t="s">
        <v>110</v>
      </c>
      <c r="D15" s="6" t="s">
        <v>111</v>
      </c>
      <c r="E15" s="6" t="s">
        <v>44</v>
      </c>
      <c r="F15" s="6" t="s">
        <v>61</v>
      </c>
      <c r="G15" s="8">
        <v>45075</v>
      </c>
      <c r="H15" s="6" t="s">
        <v>832</v>
      </c>
      <c r="I15" s="6" t="s">
        <v>54</v>
      </c>
      <c r="J15" s="9">
        <v>5.05</v>
      </c>
      <c r="K15" s="9">
        <v>83</v>
      </c>
      <c r="L15" s="10">
        <v>0.9349656109467811</v>
      </c>
      <c r="M15" s="11" t="s">
        <v>852</v>
      </c>
      <c r="N15" s="11" t="s">
        <v>855</v>
      </c>
      <c r="O15" s="12" t="s">
        <v>48</v>
      </c>
    </row>
    <row r="16" spans="1:15" x14ac:dyDescent="0.9">
      <c r="A16" s="6">
        <v>13</v>
      </c>
      <c r="B16" s="6" t="s">
        <v>208</v>
      </c>
      <c r="C16" s="7" t="s">
        <v>209</v>
      </c>
      <c r="D16" s="6" t="s">
        <v>182</v>
      </c>
      <c r="E16" s="6" t="s">
        <v>74</v>
      </c>
      <c r="F16" s="6" t="s">
        <v>55</v>
      </c>
      <c r="G16" s="8">
        <v>44228</v>
      </c>
      <c r="H16" s="6" t="s">
        <v>842</v>
      </c>
      <c r="I16" s="6" t="s">
        <v>48</v>
      </c>
      <c r="J16" s="9">
        <v>5.05</v>
      </c>
      <c r="K16" s="9">
        <v>84</v>
      </c>
      <c r="L16" s="10">
        <v>0.9290316221654249</v>
      </c>
      <c r="M16" s="11" t="s">
        <v>852</v>
      </c>
      <c r="N16" s="11" t="s">
        <v>855</v>
      </c>
      <c r="O16" s="12" t="s">
        <v>851</v>
      </c>
    </row>
    <row r="17" spans="1:15" x14ac:dyDescent="0.9">
      <c r="A17" s="6">
        <v>14</v>
      </c>
      <c r="B17" s="6" t="s">
        <v>118</v>
      </c>
      <c r="C17" s="7" t="s">
        <v>119</v>
      </c>
      <c r="D17" s="6" t="s">
        <v>120</v>
      </c>
      <c r="E17" s="6" t="s">
        <v>74</v>
      </c>
      <c r="F17" s="6" t="s">
        <v>55</v>
      </c>
      <c r="G17" s="8">
        <v>44123</v>
      </c>
      <c r="H17" s="6" t="s">
        <v>833</v>
      </c>
      <c r="I17" s="6" t="s">
        <v>48</v>
      </c>
      <c r="J17" s="9">
        <v>4.8499999999999996</v>
      </c>
      <c r="K17" s="9">
        <v>81</v>
      </c>
      <c r="L17" s="10">
        <v>0.92538086419753085</v>
      </c>
      <c r="M17" s="11" t="s">
        <v>852</v>
      </c>
      <c r="N17" s="11" t="s">
        <v>855</v>
      </c>
      <c r="O17" s="12" t="s">
        <v>851</v>
      </c>
    </row>
    <row r="18" spans="1:15" x14ac:dyDescent="0.9">
      <c r="A18" s="6">
        <v>15</v>
      </c>
      <c r="B18" s="6" t="s">
        <v>121</v>
      </c>
      <c r="C18" s="7" t="s">
        <v>122</v>
      </c>
      <c r="D18" s="6" t="s">
        <v>123</v>
      </c>
      <c r="E18" s="6" t="s">
        <v>44</v>
      </c>
      <c r="F18" s="6" t="s">
        <v>45</v>
      </c>
      <c r="G18" s="8">
        <v>43836</v>
      </c>
      <c r="H18" s="6" t="s">
        <v>834</v>
      </c>
      <c r="I18" s="6" t="s">
        <v>48</v>
      </c>
      <c r="J18" s="9">
        <v>5.25</v>
      </c>
      <c r="K18" s="9">
        <v>85</v>
      </c>
      <c r="L18" s="10">
        <v>0.92099605631726378</v>
      </c>
      <c r="M18" s="11" t="s">
        <v>852</v>
      </c>
      <c r="N18" s="11" t="s">
        <v>855</v>
      </c>
      <c r="O18" s="12" t="s">
        <v>851</v>
      </c>
    </row>
    <row r="19" spans="1:15" x14ac:dyDescent="0.9">
      <c r="A19" s="6">
        <v>16</v>
      </c>
      <c r="B19" s="6" t="s">
        <v>124</v>
      </c>
      <c r="C19" s="7" t="s">
        <v>125</v>
      </c>
      <c r="D19" s="6" t="s">
        <v>67</v>
      </c>
      <c r="E19" s="6" t="s">
        <v>44</v>
      </c>
      <c r="F19" s="6" t="s">
        <v>55</v>
      </c>
      <c r="G19" s="8">
        <v>44882</v>
      </c>
      <c r="H19" s="6" t="s">
        <v>835</v>
      </c>
      <c r="I19" s="6" t="s">
        <v>54</v>
      </c>
      <c r="J19" s="9">
        <v>4.8499999999999996</v>
      </c>
      <c r="K19" s="9">
        <v>78</v>
      </c>
      <c r="L19" s="10">
        <v>0.92060563713221</v>
      </c>
      <c r="M19" s="11" t="s">
        <v>852</v>
      </c>
      <c r="N19" s="11" t="s">
        <v>855</v>
      </c>
      <c r="O19" s="12" t="s">
        <v>48</v>
      </c>
    </row>
    <row r="20" spans="1:15" x14ac:dyDescent="0.9">
      <c r="A20" s="6">
        <v>17</v>
      </c>
      <c r="B20" s="6" t="s">
        <v>126</v>
      </c>
      <c r="C20" s="7" t="s">
        <v>127</v>
      </c>
      <c r="D20" s="6" t="s">
        <v>128</v>
      </c>
      <c r="E20" s="6" t="s">
        <v>74</v>
      </c>
      <c r="F20" s="6" t="s">
        <v>61</v>
      </c>
      <c r="G20" s="8">
        <v>45173</v>
      </c>
      <c r="H20" s="6" t="s">
        <v>827</v>
      </c>
      <c r="I20" s="6" t="s">
        <v>54</v>
      </c>
      <c r="J20" s="9">
        <v>4.5999999999999996</v>
      </c>
      <c r="K20" s="9">
        <v>81</v>
      </c>
      <c r="L20" s="10">
        <v>0.91858684384129674</v>
      </c>
      <c r="M20" s="11" t="s">
        <v>852</v>
      </c>
      <c r="N20" s="11" t="s">
        <v>855</v>
      </c>
      <c r="O20" s="12" t="s">
        <v>48</v>
      </c>
    </row>
    <row r="21" spans="1:15" x14ac:dyDescent="0.9">
      <c r="A21" s="6">
        <v>18</v>
      </c>
      <c r="B21" s="6" t="s">
        <v>129</v>
      </c>
      <c r="C21" s="7" t="s">
        <v>130</v>
      </c>
      <c r="D21" s="6" t="s">
        <v>43</v>
      </c>
      <c r="E21" s="6" t="s">
        <v>44</v>
      </c>
      <c r="F21" s="6" t="s">
        <v>51</v>
      </c>
      <c r="G21" s="8">
        <v>44690</v>
      </c>
      <c r="H21" s="6" t="s">
        <v>828</v>
      </c>
      <c r="I21" s="6" t="s">
        <v>54</v>
      </c>
      <c r="J21" s="9">
        <v>4.45</v>
      </c>
      <c r="K21" s="9">
        <v>79</v>
      </c>
      <c r="L21" s="10">
        <v>0.91753600510688649</v>
      </c>
      <c r="M21" s="11" t="s">
        <v>852</v>
      </c>
      <c r="N21" s="11" t="s">
        <v>855</v>
      </c>
      <c r="O21" s="12" t="s">
        <v>48</v>
      </c>
    </row>
    <row r="22" spans="1:15" x14ac:dyDescent="0.9">
      <c r="A22" s="6">
        <v>19</v>
      </c>
      <c r="B22" s="6" t="s">
        <v>131</v>
      </c>
      <c r="C22" s="7" t="s">
        <v>132</v>
      </c>
      <c r="D22" s="6" t="s">
        <v>133</v>
      </c>
      <c r="E22" s="6" t="s">
        <v>50</v>
      </c>
      <c r="F22" s="6" t="s">
        <v>45</v>
      </c>
      <c r="G22" s="8">
        <v>44291</v>
      </c>
      <c r="H22" s="6" t="s">
        <v>836</v>
      </c>
      <c r="I22" s="6" t="s">
        <v>48</v>
      </c>
      <c r="J22" s="9">
        <v>4.9000000000000004</v>
      </c>
      <c r="K22" s="9">
        <v>82</v>
      </c>
      <c r="L22" s="10">
        <v>0.91434312638580928</v>
      </c>
      <c r="M22" s="11" t="s">
        <v>852</v>
      </c>
      <c r="N22" s="11" t="s">
        <v>855</v>
      </c>
      <c r="O22" s="12" t="s">
        <v>851</v>
      </c>
    </row>
    <row r="23" spans="1:15" x14ac:dyDescent="0.9">
      <c r="A23" s="6">
        <v>20</v>
      </c>
      <c r="B23" s="6" t="s">
        <v>134</v>
      </c>
      <c r="C23" s="7" t="s">
        <v>135</v>
      </c>
      <c r="D23" s="6" t="s">
        <v>136</v>
      </c>
      <c r="E23" s="6" t="s">
        <v>44</v>
      </c>
      <c r="F23" s="6" t="s">
        <v>61</v>
      </c>
      <c r="G23" s="8">
        <v>44935</v>
      </c>
      <c r="H23" s="6" t="s">
        <v>837</v>
      </c>
      <c r="I23" s="6" t="s">
        <v>54</v>
      </c>
      <c r="J23" s="9">
        <v>4.7</v>
      </c>
      <c r="K23" s="9">
        <v>78</v>
      </c>
      <c r="L23" s="10">
        <v>0.91222013080137487</v>
      </c>
      <c r="M23" s="11" t="s">
        <v>852</v>
      </c>
      <c r="N23" s="11" t="s">
        <v>855</v>
      </c>
      <c r="O23" s="12" t="s">
        <v>48</v>
      </c>
    </row>
    <row r="24" spans="1:15" x14ac:dyDescent="0.9">
      <c r="A24" s="6">
        <v>21</v>
      </c>
      <c r="B24" s="6" t="s">
        <v>142</v>
      </c>
      <c r="C24" s="7" t="s">
        <v>143</v>
      </c>
      <c r="D24" s="6" t="s">
        <v>144</v>
      </c>
      <c r="E24" s="6" t="s">
        <v>74</v>
      </c>
      <c r="F24" s="6" t="s">
        <v>61</v>
      </c>
      <c r="G24" s="8">
        <v>45180</v>
      </c>
      <c r="H24" s="6" t="s">
        <v>838</v>
      </c>
      <c r="I24" s="6" t="s">
        <v>54</v>
      </c>
      <c r="J24" s="9">
        <v>4.8499999999999996</v>
      </c>
      <c r="K24" s="9">
        <v>77</v>
      </c>
      <c r="L24" s="10">
        <v>0.90230745304564208</v>
      </c>
      <c r="M24" s="11" t="s">
        <v>852</v>
      </c>
      <c r="N24" s="11" t="s">
        <v>855</v>
      </c>
      <c r="O24" s="12" t="s">
        <v>48</v>
      </c>
    </row>
    <row r="25" spans="1:15" x14ac:dyDescent="0.9">
      <c r="A25" s="6">
        <v>22</v>
      </c>
      <c r="B25" s="6" t="s">
        <v>145</v>
      </c>
      <c r="C25" s="7" t="s">
        <v>146</v>
      </c>
      <c r="D25" s="6" t="s">
        <v>95</v>
      </c>
      <c r="E25" s="6" t="s">
        <v>50</v>
      </c>
      <c r="F25" s="6" t="s">
        <v>55</v>
      </c>
      <c r="G25" s="8">
        <v>44291</v>
      </c>
      <c r="H25" s="6" t="s">
        <v>836</v>
      </c>
      <c r="I25" s="6" t="s">
        <v>54</v>
      </c>
      <c r="J25" s="9">
        <v>4.9000000000000004</v>
      </c>
      <c r="K25" s="9">
        <v>81</v>
      </c>
      <c r="L25" s="10">
        <v>0.9022797373462752</v>
      </c>
      <c r="M25" s="11" t="s">
        <v>852</v>
      </c>
      <c r="N25" s="11" t="s">
        <v>855</v>
      </c>
      <c r="O25" s="12" t="s">
        <v>48</v>
      </c>
    </row>
    <row r="26" spans="1:15" x14ac:dyDescent="0.9">
      <c r="A26" s="6">
        <v>23</v>
      </c>
      <c r="B26" s="6" t="s">
        <v>147</v>
      </c>
      <c r="C26" s="7" t="s">
        <v>148</v>
      </c>
      <c r="D26" s="6" t="s">
        <v>43</v>
      </c>
      <c r="E26" s="6" t="s">
        <v>44</v>
      </c>
      <c r="F26" s="6" t="s">
        <v>55</v>
      </c>
      <c r="G26" s="8">
        <v>44795</v>
      </c>
      <c r="H26" s="6" t="s">
        <v>823</v>
      </c>
      <c r="I26" s="6" t="s">
        <v>54</v>
      </c>
      <c r="J26" s="9">
        <v>4.55</v>
      </c>
      <c r="K26" s="9">
        <v>84</v>
      </c>
      <c r="L26" s="10">
        <v>0.90080846951326654</v>
      </c>
      <c r="M26" s="11" t="s">
        <v>852</v>
      </c>
      <c r="N26" s="11" t="s">
        <v>855</v>
      </c>
      <c r="O26" s="12" t="s">
        <v>48</v>
      </c>
    </row>
    <row r="27" spans="1:15" x14ac:dyDescent="0.9">
      <c r="A27" s="6">
        <v>24</v>
      </c>
      <c r="B27" s="6" t="s">
        <v>151</v>
      </c>
      <c r="C27" s="7" t="s">
        <v>152</v>
      </c>
      <c r="D27" s="6" t="s">
        <v>153</v>
      </c>
      <c r="E27" s="6" t="s">
        <v>50</v>
      </c>
      <c r="F27" s="6" t="s">
        <v>61</v>
      </c>
      <c r="G27" s="8">
        <v>45114</v>
      </c>
      <c r="H27" s="6" t="s">
        <v>839</v>
      </c>
      <c r="I27" s="6" t="s">
        <v>54</v>
      </c>
      <c r="J27" s="9">
        <v>4.45</v>
      </c>
      <c r="K27" s="9">
        <v>81</v>
      </c>
      <c r="L27" s="10">
        <v>0.89926958600204221</v>
      </c>
      <c r="M27" s="11" t="s">
        <v>853</v>
      </c>
      <c r="N27" s="11" t="s">
        <v>855</v>
      </c>
      <c r="O27" s="12" t="s">
        <v>48</v>
      </c>
    </row>
    <row r="28" spans="1:15" x14ac:dyDescent="0.9">
      <c r="A28" s="6">
        <v>25</v>
      </c>
      <c r="B28" s="6" t="s">
        <v>162</v>
      </c>
      <c r="C28" s="7" t="s">
        <v>163</v>
      </c>
      <c r="D28" s="6" t="s">
        <v>117</v>
      </c>
      <c r="E28" s="6" t="s">
        <v>74</v>
      </c>
      <c r="F28" s="6" t="s">
        <v>51</v>
      </c>
      <c r="G28" s="8">
        <v>44746</v>
      </c>
      <c r="H28" s="6" t="s">
        <v>840</v>
      </c>
      <c r="I28" s="6" t="s">
        <v>54</v>
      </c>
      <c r="J28" s="9">
        <v>4.4000000000000004</v>
      </c>
      <c r="K28" s="9">
        <v>81</v>
      </c>
      <c r="L28" s="10">
        <v>0.89618736383442277</v>
      </c>
      <c r="M28" s="11" t="s">
        <v>853</v>
      </c>
      <c r="N28" s="11" t="s">
        <v>855</v>
      </c>
      <c r="O28" s="12" t="s">
        <v>48</v>
      </c>
    </row>
    <row r="29" spans="1:15" x14ac:dyDescent="0.9">
      <c r="A29" s="6">
        <v>26</v>
      </c>
      <c r="B29" s="6" t="s">
        <v>177</v>
      </c>
      <c r="C29" s="7" t="s">
        <v>178</v>
      </c>
      <c r="D29" s="6" t="s">
        <v>179</v>
      </c>
      <c r="E29" s="6" t="s">
        <v>44</v>
      </c>
      <c r="F29" s="6" t="s">
        <v>55</v>
      </c>
      <c r="G29" s="8">
        <v>44837</v>
      </c>
      <c r="H29" s="6" t="s">
        <v>830</v>
      </c>
      <c r="I29" s="6" t="s">
        <v>54</v>
      </c>
      <c r="J29" s="9">
        <v>4.2</v>
      </c>
      <c r="K29" s="9">
        <v>84</v>
      </c>
      <c r="L29" s="10">
        <v>0.87890556269878872</v>
      </c>
      <c r="M29" s="11" t="s">
        <v>853</v>
      </c>
      <c r="N29" s="11" t="s">
        <v>855</v>
      </c>
      <c r="O29" s="12" t="s">
        <v>48</v>
      </c>
    </row>
    <row r="30" spans="1:15" x14ac:dyDescent="0.9">
      <c r="A30" s="6">
        <v>27</v>
      </c>
      <c r="B30" s="6" t="s">
        <v>183</v>
      </c>
      <c r="C30" s="7" t="s">
        <v>184</v>
      </c>
      <c r="D30" s="6" t="s">
        <v>64</v>
      </c>
      <c r="E30" s="6" t="s">
        <v>44</v>
      </c>
      <c r="F30" s="6" t="s">
        <v>51</v>
      </c>
      <c r="G30" s="8">
        <v>44466</v>
      </c>
      <c r="H30" s="6" t="s">
        <v>822</v>
      </c>
      <c r="I30" s="6" t="s">
        <v>54</v>
      </c>
      <c r="J30" s="9">
        <v>4.5999999999999996</v>
      </c>
      <c r="K30" s="9">
        <v>84</v>
      </c>
      <c r="L30" s="10">
        <v>0.87644575612671849</v>
      </c>
      <c r="M30" s="11" t="s">
        <v>853</v>
      </c>
      <c r="N30" s="11" t="s">
        <v>855</v>
      </c>
      <c r="O30" s="12" t="s">
        <v>48</v>
      </c>
    </row>
    <row r="31" spans="1:15" x14ac:dyDescent="0.9">
      <c r="A31" s="6">
        <v>28</v>
      </c>
      <c r="B31" s="6" t="s">
        <v>190</v>
      </c>
      <c r="C31" s="7" t="s">
        <v>191</v>
      </c>
      <c r="D31" s="6" t="s">
        <v>192</v>
      </c>
      <c r="E31" s="6" t="s">
        <v>50</v>
      </c>
      <c r="F31" s="6" t="s">
        <v>55</v>
      </c>
      <c r="G31" s="8">
        <v>43892</v>
      </c>
      <c r="H31" s="6" t="s">
        <v>841</v>
      </c>
      <c r="I31" s="6" t="s">
        <v>48</v>
      </c>
      <c r="J31" s="9">
        <v>4.45</v>
      </c>
      <c r="K31" s="9">
        <v>83</v>
      </c>
      <c r="L31" s="10">
        <v>0.8758578610251202</v>
      </c>
      <c r="M31" s="11" t="s">
        <v>853</v>
      </c>
      <c r="N31" s="11" t="s">
        <v>855</v>
      </c>
      <c r="O31" s="12" t="s">
        <v>851</v>
      </c>
    </row>
    <row r="32" spans="1:15" x14ac:dyDescent="0.9">
      <c r="A32" s="6">
        <v>29</v>
      </c>
      <c r="B32" s="6" t="s">
        <v>193</v>
      </c>
      <c r="C32" s="7" t="s">
        <v>194</v>
      </c>
      <c r="D32" s="6" t="s">
        <v>195</v>
      </c>
      <c r="E32" s="6" t="s">
        <v>74</v>
      </c>
      <c r="F32" s="6" t="s">
        <v>55</v>
      </c>
      <c r="G32" s="8">
        <v>44882</v>
      </c>
      <c r="H32" s="6" t="s">
        <v>835</v>
      </c>
      <c r="I32" s="6" t="s">
        <v>54</v>
      </c>
      <c r="J32" s="9">
        <v>4.25</v>
      </c>
      <c r="K32" s="9">
        <v>81</v>
      </c>
      <c r="L32" s="10">
        <v>0.87465350570696476</v>
      </c>
      <c r="M32" s="11" t="s">
        <v>853</v>
      </c>
      <c r="N32" s="11" t="s">
        <v>855</v>
      </c>
      <c r="O32" s="12" t="s">
        <v>48</v>
      </c>
    </row>
    <row r="33" spans="1:15" x14ac:dyDescent="0.9">
      <c r="A33" s="6">
        <v>30</v>
      </c>
      <c r="B33" s="6" t="s">
        <v>196</v>
      </c>
      <c r="C33" s="7" t="s">
        <v>197</v>
      </c>
      <c r="D33" s="6" t="s">
        <v>89</v>
      </c>
      <c r="E33" s="6" t="s">
        <v>74</v>
      </c>
      <c r="F33" s="6" t="s">
        <v>61</v>
      </c>
      <c r="G33" s="8">
        <v>45075</v>
      </c>
      <c r="H33" s="6" t="s">
        <v>832</v>
      </c>
      <c r="I33" s="6" t="s">
        <v>54</v>
      </c>
      <c r="J33" s="9">
        <v>4.45</v>
      </c>
      <c r="K33" s="9">
        <v>78</v>
      </c>
      <c r="L33" s="10">
        <v>0.87399959292174301</v>
      </c>
      <c r="M33" s="11" t="s">
        <v>853</v>
      </c>
      <c r="N33" s="11" t="s">
        <v>855</v>
      </c>
      <c r="O33" s="12" t="s">
        <v>48</v>
      </c>
    </row>
    <row r="34" spans="1:15" x14ac:dyDescent="0.9">
      <c r="A34" s="6">
        <v>31</v>
      </c>
      <c r="B34" s="6" t="s">
        <v>198</v>
      </c>
      <c r="C34" s="7" t="s">
        <v>199</v>
      </c>
      <c r="D34" s="6" t="s">
        <v>200</v>
      </c>
      <c r="E34" s="6" t="s">
        <v>50</v>
      </c>
      <c r="F34" s="6" t="s">
        <v>61</v>
      </c>
      <c r="G34" s="8">
        <v>44966</v>
      </c>
      <c r="H34" s="6" t="s">
        <v>831</v>
      </c>
      <c r="I34" s="6" t="s">
        <v>54</v>
      </c>
      <c r="J34" s="9">
        <v>4.25</v>
      </c>
      <c r="K34" s="9">
        <v>81</v>
      </c>
      <c r="L34" s="10">
        <v>0.87385439360929562</v>
      </c>
      <c r="M34" s="11" t="s">
        <v>853</v>
      </c>
      <c r="N34" s="11" t="s">
        <v>855</v>
      </c>
      <c r="O34" s="12" t="s">
        <v>48</v>
      </c>
    </row>
    <row r="35" spans="1:15" x14ac:dyDescent="0.9">
      <c r="A35" s="6">
        <v>32</v>
      </c>
      <c r="B35" s="6" t="s">
        <v>203</v>
      </c>
      <c r="C35" s="7" t="s">
        <v>204</v>
      </c>
      <c r="D35" s="6" t="s">
        <v>205</v>
      </c>
      <c r="E35" s="6" t="s">
        <v>74</v>
      </c>
      <c r="F35" s="6" t="s">
        <v>61</v>
      </c>
      <c r="G35" s="8">
        <v>44966</v>
      </c>
      <c r="H35" s="6" t="s">
        <v>831</v>
      </c>
      <c r="I35" s="6" t="s">
        <v>54</v>
      </c>
      <c r="J35" s="9">
        <v>4.2</v>
      </c>
      <c r="K35" s="9">
        <v>78</v>
      </c>
      <c r="L35" s="10">
        <v>0.87248203599353524</v>
      </c>
      <c r="M35" s="11" t="s">
        <v>853</v>
      </c>
      <c r="N35" s="11" t="s">
        <v>855</v>
      </c>
      <c r="O35" s="12" t="s">
        <v>48</v>
      </c>
    </row>
    <row r="36" spans="1:15" x14ac:dyDescent="0.9">
      <c r="A36" s="6">
        <v>33</v>
      </c>
      <c r="B36" s="6" t="s">
        <v>215</v>
      </c>
      <c r="C36" s="7" t="s">
        <v>216</v>
      </c>
      <c r="D36" s="6" t="s">
        <v>64</v>
      </c>
      <c r="E36" s="6" t="s">
        <v>44</v>
      </c>
      <c r="F36" s="6" t="s">
        <v>51</v>
      </c>
      <c r="G36" s="8">
        <v>44621</v>
      </c>
      <c r="H36" s="6" t="s">
        <v>843</v>
      </c>
      <c r="I36" s="6" t="s">
        <v>54</v>
      </c>
      <c r="J36" s="9">
        <v>4.25</v>
      </c>
      <c r="K36" s="9">
        <v>82</v>
      </c>
      <c r="L36" s="10">
        <v>0.86880400210905884</v>
      </c>
      <c r="M36" s="11" t="s">
        <v>853</v>
      </c>
      <c r="N36" s="11" t="s">
        <v>855</v>
      </c>
      <c r="O36" s="12" t="s">
        <v>48</v>
      </c>
    </row>
    <row r="37" spans="1:15" x14ac:dyDescent="0.9">
      <c r="A37" s="6">
        <v>34</v>
      </c>
      <c r="B37" s="6" t="s">
        <v>219</v>
      </c>
      <c r="C37" s="7" t="s">
        <v>220</v>
      </c>
      <c r="D37" s="6" t="s">
        <v>133</v>
      </c>
      <c r="E37" s="6" t="s">
        <v>50</v>
      </c>
      <c r="F37" s="6" t="s">
        <v>55</v>
      </c>
      <c r="G37" s="8">
        <v>44882</v>
      </c>
      <c r="H37" s="6" t="s">
        <v>835</v>
      </c>
      <c r="I37" s="6" t="s">
        <v>54</v>
      </c>
      <c r="J37" s="9">
        <v>4.2</v>
      </c>
      <c r="K37" s="9">
        <v>81</v>
      </c>
      <c r="L37" s="10">
        <v>0.86656726478880952</v>
      </c>
      <c r="M37" s="11" t="s">
        <v>853</v>
      </c>
      <c r="N37" s="11" t="s">
        <v>855</v>
      </c>
      <c r="O37" s="12" t="s">
        <v>48</v>
      </c>
    </row>
    <row r="38" spans="1:15" x14ac:dyDescent="0.9">
      <c r="A38" s="6">
        <v>35</v>
      </c>
      <c r="B38" s="6" t="s">
        <v>221</v>
      </c>
      <c r="C38" s="7" t="s">
        <v>222</v>
      </c>
      <c r="D38" s="6" t="s">
        <v>223</v>
      </c>
      <c r="E38" s="6" t="s">
        <v>74</v>
      </c>
      <c r="F38" s="6" t="s">
        <v>51</v>
      </c>
      <c r="G38" s="8">
        <v>44691</v>
      </c>
      <c r="H38" s="6" t="s">
        <v>844</v>
      </c>
      <c r="I38" s="6" t="s">
        <v>54</v>
      </c>
      <c r="J38" s="9">
        <v>4.45</v>
      </c>
      <c r="K38" s="9">
        <v>82</v>
      </c>
      <c r="L38" s="10">
        <v>0.86567764227642274</v>
      </c>
      <c r="M38" s="11" t="s">
        <v>853</v>
      </c>
      <c r="N38" s="11" t="s">
        <v>855</v>
      </c>
      <c r="O38" s="12" t="s">
        <v>48</v>
      </c>
    </row>
    <row r="39" spans="1:15" x14ac:dyDescent="0.9">
      <c r="A39" s="6">
        <v>36</v>
      </c>
      <c r="B39" s="6" t="s">
        <v>228</v>
      </c>
      <c r="C39" s="7" t="s">
        <v>229</v>
      </c>
      <c r="D39" s="6" t="s">
        <v>230</v>
      </c>
      <c r="E39" s="6" t="s">
        <v>44</v>
      </c>
      <c r="F39" s="6" t="s">
        <v>45</v>
      </c>
      <c r="G39" s="8">
        <v>43472</v>
      </c>
      <c r="H39" s="6" t="s">
        <v>824</v>
      </c>
      <c r="I39" s="6" t="s">
        <v>48</v>
      </c>
      <c r="J39" s="9">
        <v>4.5999999999999996</v>
      </c>
      <c r="K39" s="9">
        <v>84</v>
      </c>
      <c r="L39" s="10">
        <v>0.86478713909939242</v>
      </c>
      <c r="M39" s="11" t="s">
        <v>853</v>
      </c>
      <c r="N39" s="11" t="s">
        <v>855</v>
      </c>
      <c r="O39" s="12" t="s">
        <v>851</v>
      </c>
    </row>
    <row r="40" spans="1:15" x14ac:dyDescent="0.9">
      <c r="A40" s="6">
        <v>37</v>
      </c>
      <c r="B40" s="6" t="s">
        <v>237</v>
      </c>
      <c r="C40" s="7" t="s">
        <v>238</v>
      </c>
      <c r="D40" s="6" t="s">
        <v>49</v>
      </c>
      <c r="E40" s="6" t="s">
        <v>50</v>
      </c>
      <c r="F40" s="6" t="s">
        <v>55</v>
      </c>
      <c r="G40" s="8">
        <v>44795</v>
      </c>
      <c r="H40" s="6" t="s">
        <v>823</v>
      </c>
      <c r="I40" s="6" t="s">
        <v>54</v>
      </c>
      <c r="J40" s="9">
        <v>4.45</v>
      </c>
      <c r="K40" s="9">
        <v>81</v>
      </c>
      <c r="L40" s="10">
        <v>0.85932066761079495</v>
      </c>
      <c r="M40" s="11" t="s">
        <v>853</v>
      </c>
      <c r="N40" s="11" t="s">
        <v>855</v>
      </c>
      <c r="O40" s="12" t="s">
        <v>48</v>
      </c>
    </row>
    <row r="41" spans="1:15" x14ac:dyDescent="0.9">
      <c r="A41" s="6">
        <v>38</v>
      </c>
      <c r="B41" s="6" t="s">
        <v>242</v>
      </c>
      <c r="C41" s="7" t="s">
        <v>243</v>
      </c>
      <c r="D41" s="6" t="s">
        <v>244</v>
      </c>
      <c r="E41" s="6" t="s">
        <v>74</v>
      </c>
      <c r="F41" s="6" t="s">
        <v>55</v>
      </c>
      <c r="G41" s="8">
        <v>44228</v>
      </c>
      <c r="H41" s="6" t="s">
        <v>842</v>
      </c>
      <c r="I41" s="6" t="s">
        <v>48</v>
      </c>
      <c r="J41" s="9">
        <v>4.05</v>
      </c>
      <c r="K41" s="9">
        <v>87</v>
      </c>
      <c r="L41" s="10">
        <v>0.8592599804615304</v>
      </c>
      <c r="M41" s="11" t="s">
        <v>853</v>
      </c>
      <c r="N41" s="11" t="s">
        <v>855</v>
      </c>
      <c r="O41" s="12" t="s">
        <v>851</v>
      </c>
    </row>
    <row r="42" spans="1:15" x14ac:dyDescent="0.9">
      <c r="A42" s="6">
        <v>39</v>
      </c>
      <c r="B42" s="6" t="s">
        <v>255</v>
      </c>
      <c r="C42" s="7" t="s">
        <v>256</v>
      </c>
      <c r="D42" s="6" t="s">
        <v>257</v>
      </c>
      <c r="E42" s="6" t="s">
        <v>44</v>
      </c>
      <c r="F42" s="6" t="s">
        <v>61</v>
      </c>
      <c r="G42" s="8">
        <v>44966</v>
      </c>
      <c r="H42" s="6" t="s">
        <v>831</v>
      </c>
      <c r="I42" s="6" t="s">
        <v>54</v>
      </c>
      <c r="J42" s="9">
        <v>4.25</v>
      </c>
      <c r="K42" s="9">
        <v>83</v>
      </c>
      <c r="L42" s="10">
        <v>0.85452639857249824</v>
      </c>
      <c r="M42" s="11" t="s">
        <v>853</v>
      </c>
      <c r="N42" s="11" t="s">
        <v>855</v>
      </c>
      <c r="O42" s="12" t="s">
        <v>48</v>
      </c>
    </row>
    <row r="43" spans="1:15" x14ac:dyDescent="0.9">
      <c r="A43" s="6">
        <v>40</v>
      </c>
      <c r="B43" s="6" t="s">
        <v>258</v>
      </c>
      <c r="C43" s="7" t="s">
        <v>259</v>
      </c>
      <c r="D43" s="6" t="s">
        <v>182</v>
      </c>
      <c r="E43" s="6" t="s">
        <v>74</v>
      </c>
      <c r="F43" s="6" t="s">
        <v>75</v>
      </c>
      <c r="G43" s="8">
        <v>45231</v>
      </c>
      <c r="H43" s="6" t="s">
        <v>826</v>
      </c>
      <c r="I43" s="6" t="s">
        <v>54</v>
      </c>
      <c r="J43" s="9">
        <v>4.3999999999999995</v>
      </c>
      <c r="K43" s="9">
        <v>82</v>
      </c>
      <c r="L43" s="10">
        <v>0.85236049343744291</v>
      </c>
      <c r="M43" s="11" t="s">
        <v>853</v>
      </c>
      <c r="N43" s="11" t="s">
        <v>855</v>
      </c>
      <c r="O43" s="12" t="s">
        <v>48</v>
      </c>
    </row>
    <row r="44" spans="1:15" x14ac:dyDescent="0.9">
      <c r="A44" s="6">
        <v>41</v>
      </c>
      <c r="B44" s="6" t="s">
        <v>264</v>
      </c>
      <c r="C44" s="7" t="s">
        <v>265</v>
      </c>
      <c r="D44" s="6" t="s">
        <v>43</v>
      </c>
      <c r="E44" s="6" t="s">
        <v>44</v>
      </c>
      <c r="F44" s="6" t="s">
        <v>45</v>
      </c>
      <c r="G44" s="8">
        <v>43472</v>
      </c>
      <c r="H44" s="6" t="s">
        <v>824</v>
      </c>
      <c r="I44" s="6" t="s">
        <v>48</v>
      </c>
      <c r="J44" s="9">
        <v>4</v>
      </c>
      <c r="K44" s="9">
        <v>77</v>
      </c>
      <c r="L44" s="10">
        <v>0.84993519272855056</v>
      </c>
      <c r="M44" s="11" t="s">
        <v>853</v>
      </c>
      <c r="N44" s="11" t="s">
        <v>855</v>
      </c>
      <c r="O44" s="12" t="s">
        <v>851</v>
      </c>
    </row>
    <row r="45" spans="1:15" x14ac:dyDescent="0.9">
      <c r="A45" s="6">
        <v>42</v>
      </c>
      <c r="B45" s="6" t="s">
        <v>266</v>
      </c>
      <c r="C45" s="7" t="s">
        <v>267</v>
      </c>
      <c r="D45" s="6" t="s">
        <v>268</v>
      </c>
      <c r="E45" s="6" t="s">
        <v>50</v>
      </c>
      <c r="F45" s="6" t="s">
        <v>55</v>
      </c>
      <c r="G45" s="8">
        <v>44882</v>
      </c>
      <c r="H45" s="6" t="s">
        <v>835</v>
      </c>
      <c r="I45" s="6" t="s">
        <v>48</v>
      </c>
      <c r="J45" s="9">
        <v>4.2</v>
      </c>
      <c r="K45" s="9">
        <v>82</v>
      </c>
      <c r="L45" s="10">
        <v>0.84888174183718412</v>
      </c>
      <c r="M45" s="11" t="s">
        <v>853</v>
      </c>
      <c r="N45" s="11" t="s">
        <v>855</v>
      </c>
      <c r="O45" s="12" t="s">
        <v>851</v>
      </c>
    </row>
    <row r="46" spans="1:15" x14ac:dyDescent="0.9">
      <c r="A46" s="6">
        <v>43</v>
      </c>
      <c r="B46" s="6" t="s">
        <v>273</v>
      </c>
      <c r="C46" s="7" t="s">
        <v>274</v>
      </c>
      <c r="D46" s="6" t="s">
        <v>64</v>
      </c>
      <c r="E46" s="6" t="s">
        <v>44</v>
      </c>
      <c r="F46" s="6" t="s">
        <v>61</v>
      </c>
      <c r="G46" s="8">
        <v>44502</v>
      </c>
      <c r="H46" s="6" t="s">
        <v>845</v>
      </c>
      <c r="I46" s="6" t="s">
        <v>54</v>
      </c>
      <c r="J46" s="9">
        <v>4.2</v>
      </c>
      <c r="K46" s="9">
        <v>84</v>
      </c>
      <c r="L46" s="10">
        <v>0.84597504482964747</v>
      </c>
      <c r="M46" s="11" t="s">
        <v>853</v>
      </c>
      <c r="N46" s="11" t="s">
        <v>855</v>
      </c>
      <c r="O46" s="12" t="s">
        <v>48</v>
      </c>
    </row>
    <row r="47" spans="1:15" x14ac:dyDescent="0.9">
      <c r="A47" s="6">
        <v>44</v>
      </c>
      <c r="B47" s="6" t="s">
        <v>275</v>
      </c>
      <c r="C47" s="7" t="s">
        <v>276</v>
      </c>
      <c r="D47" s="6" t="s">
        <v>277</v>
      </c>
      <c r="E47" s="6" t="s">
        <v>74</v>
      </c>
      <c r="F47" s="6" t="s">
        <v>55</v>
      </c>
      <c r="G47" s="8">
        <v>44851</v>
      </c>
      <c r="H47" s="6" t="s">
        <v>846</v>
      </c>
      <c r="I47" s="6" t="s">
        <v>54</v>
      </c>
      <c r="J47" s="9">
        <v>4.3999999999999995</v>
      </c>
      <c r="K47" s="9">
        <v>80</v>
      </c>
      <c r="L47" s="10">
        <v>0.84511521972132897</v>
      </c>
      <c r="M47" s="11" t="s">
        <v>853</v>
      </c>
      <c r="N47" s="11" t="s">
        <v>855</v>
      </c>
      <c r="O47" s="12" t="s">
        <v>48</v>
      </c>
    </row>
    <row r="48" spans="1:15" x14ac:dyDescent="0.9">
      <c r="A48" s="6">
        <v>45</v>
      </c>
      <c r="B48" s="6" t="s">
        <v>280</v>
      </c>
      <c r="C48" s="7" t="s">
        <v>281</v>
      </c>
      <c r="D48" s="6" t="s">
        <v>98</v>
      </c>
      <c r="E48" s="6" t="s">
        <v>50</v>
      </c>
      <c r="F48" s="6" t="s">
        <v>55</v>
      </c>
      <c r="G48" s="8">
        <v>43627</v>
      </c>
      <c r="H48" s="6" t="s">
        <v>847</v>
      </c>
      <c r="I48" s="6" t="s">
        <v>48</v>
      </c>
      <c r="J48" s="9">
        <v>4.25</v>
      </c>
      <c r="K48" s="9">
        <v>83</v>
      </c>
      <c r="L48" s="10">
        <v>0.84135796707958599</v>
      </c>
      <c r="M48" s="11" t="s">
        <v>853</v>
      </c>
      <c r="N48" s="11" t="s">
        <v>855</v>
      </c>
      <c r="O48" s="12" t="s">
        <v>851</v>
      </c>
    </row>
    <row r="49" spans="1:15" x14ac:dyDescent="0.9">
      <c r="A49" s="6">
        <v>46</v>
      </c>
      <c r="B49" s="6" t="s">
        <v>282</v>
      </c>
      <c r="C49" s="7" t="s">
        <v>283</v>
      </c>
      <c r="D49" s="6" t="s">
        <v>284</v>
      </c>
      <c r="E49" s="6" t="s">
        <v>44</v>
      </c>
      <c r="F49" s="6" t="s">
        <v>61</v>
      </c>
      <c r="G49" s="8">
        <v>45173</v>
      </c>
      <c r="H49" s="6" t="s">
        <v>827</v>
      </c>
      <c r="I49" s="6" t="s">
        <v>54</v>
      </c>
      <c r="J49" s="9">
        <v>3.95</v>
      </c>
      <c r="K49" s="9">
        <v>84</v>
      </c>
      <c r="L49" s="10">
        <v>0.84102029578351178</v>
      </c>
      <c r="M49" s="11" t="s">
        <v>853</v>
      </c>
      <c r="N49" s="11" t="s">
        <v>855</v>
      </c>
      <c r="O49" s="12" t="s">
        <v>48</v>
      </c>
    </row>
    <row r="50" spans="1:15" x14ac:dyDescent="0.9">
      <c r="A50" s="6">
        <v>47</v>
      </c>
      <c r="B50" s="6" t="s">
        <v>290</v>
      </c>
      <c r="C50" s="7" t="s">
        <v>291</v>
      </c>
      <c r="D50" s="6" t="s">
        <v>187</v>
      </c>
      <c r="E50" s="6" t="s">
        <v>74</v>
      </c>
      <c r="F50" s="6" t="s">
        <v>61</v>
      </c>
      <c r="G50" s="8">
        <v>45075</v>
      </c>
      <c r="H50" s="6" t="s">
        <v>832</v>
      </c>
      <c r="I50" s="6" t="s">
        <v>54</v>
      </c>
      <c r="J50" s="9">
        <v>4.2</v>
      </c>
      <c r="K50" s="9">
        <v>78</v>
      </c>
      <c r="L50" s="10">
        <v>0.83877573385316762</v>
      </c>
      <c r="M50" s="11" t="s">
        <v>853</v>
      </c>
      <c r="N50" s="11" t="s">
        <v>855</v>
      </c>
      <c r="O50" s="12" t="s">
        <v>48</v>
      </c>
    </row>
    <row r="51" spans="1:15" x14ac:dyDescent="0.9">
      <c r="A51" s="6">
        <v>48</v>
      </c>
      <c r="B51" s="6" t="s">
        <v>292</v>
      </c>
      <c r="C51" s="7" t="s">
        <v>293</v>
      </c>
      <c r="D51" s="6" t="s">
        <v>182</v>
      </c>
      <c r="E51" s="6" t="s">
        <v>74</v>
      </c>
      <c r="F51" s="6" t="s">
        <v>61</v>
      </c>
      <c r="G51" s="8">
        <v>45173</v>
      </c>
      <c r="H51" s="6" t="s">
        <v>827</v>
      </c>
      <c r="I51" s="6" t="s">
        <v>54</v>
      </c>
      <c r="J51" s="9">
        <v>4.4000000000000004</v>
      </c>
      <c r="K51" s="9">
        <v>78</v>
      </c>
      <c r="L51" s="10">
        <v>0.83748712824417049</v>
      </c>
      <c r="M51" s="11" t="s">
        <v>853</v>
      </c>
      <c r="N51" s="11" t="s">
        <v>855</v>
      </c>
      <c r="O51" s="12" t="s">
        <v>48</v>
      </c>
    </row>
    <row r="52" spans="1:15" x14ac:dyDescent="0.9">
      <c r="A52" s="6">
        <v>49</v>
      </c>
      <c r="B52" s="6" t="s">
        <v>307</v>
      </c>
      <c r="C52" s="7" t="s">
        <v>308</v>
      </c>
      <c r="D52" s="6" t="s">
        <v>95</v>
      </c>
      <c r="E52" s="6" t="s">
        <v>50</v>
      </c>
      <c r="F52" s="6" t="s">
        <v>61</v>
      </c>
      <c r="G52" s="8">
        <v>45131</v>
      </c>
      <c r="H52" s="6" t="s">
        <v>825</v>
      </c>
      <c r="I52" s="6" t="s">
        <v>54</v>
      </c>
      <c r="J52" s="9">
        <v>4.5999999999999996</v>
      </c>
      <c r="K52" s="9">
        <v>81</v>
      </c>
      <c r="L52" s="10">
        <v>0.82811146089210053</v>
      </c>
      <c r="M52" s="11" t="s">
        <v>853</v>
      </c>
      <c r="N52" s="11" t="s">
        <v>855</v>
      </c>
      <c r="O52" s="12" t="s">
        <v>48</v>
      </c>
    </row>
    <row r="53" spans="1:15" x14ac:dyDescent="0.9">
      <c r="A53" s="6">
        <v>50</v>
      </c>
      <c r="B53" s="6" t="s">
        <v>311</v>
      </c>
      <c r="C53" s="7" t="s">
        <v>312</v>
      </c>
      <c r="D53" s="6" t="s">
        <v>230</v>
      </c>
      <c r="E53" s="6" t="s">
        <v>44</v>
      </c>
      <c r="F53" s="6" t="s">
        <v>45</v>
      </c>
      <c r="G53" s="8">
        <v>43836</v>
      </c>
      <c r="H53" s="6" t="s">
        <v>834</v>
      </c>
      <c r="I53" s="6" t="s">
        <v>48</v>
      </c>
      <c r="J53" s="9">
        <v>4.2</v>
      </c>
      <c r="K53" s="9">
        <v>84</v>
      </c>
      <c r="L53" s="10">
        <v>0.82762416233481551</v>
      </c>
      <c r="M53" s="11" t="s">
        <v>853</v>
      </c>
      <c r="N53" s="11" t="s">
        <v>855</v>
      </c>
      <c r="O53" s="12" t="s">
        <v>851</v>
      </c>
    </row>
    <row r="54" spans="1:15" x14ac:dyDescent="0.9">
      <c r="A54" s="6">
        <v>51</v>
      </c>
      <c r="B54" s="6" t="s">
        <v>313</v>
      </c>
      <c r="C54" s="7" t="s">
        <v>314</v>
      </c>
      <c r="D54" s="6" t="s">
        <v>315</v>
      </c>
      <c r="E54" s="6" t="s">
        <v>44</v>
      </c>
      <c r="F54" s="6" t="s">
        <v>61</v>
      </c>
      <c r="G54" s="8">
        <v>45173</v>
      </c>
      <c r="H54" s="6" t="s">
        <v>827</v>
      </c>
      <c r="I54" s="6" t="s">
        <v>54</v>
      </c>
      <c r="J54" s="9">
        <v>4.45</v>
      </c>
      <c r="K54" s="9">
        <v>80</v>
      </c>
      <c r="L54" s="10">
        <v>0.82661999321113377</v>
      </c>
      <c r="M54" s="11" t="s">
        <v>853</v>
      </c>
      <c r="N54" s="11" t="s">
        <v>855</v>
      </c>
      <c r="O54" s="12" t="s">
        <v>48</v>
      </c>
    </row>
    <row r="55" spans="1:15" x14ac:dyDescent="0.9">
      <c r="A55" s="6">
        <v>52</v>
      </c>
      <c r="B55" s="6" t="s">
        <v>320</v>
      </c>
      <c r="C55" s="7" t="s">
        <v>321</v>
      </c>
      <c r="D55" s="6" t="s">
        <v>322</v>
      </c>
      <c r="E55" s="6" t="s">
        <v>74</v>
      </c>
      <c r="F55" s="6" t="s">
        <v>55</v>
      </c>
      <c r="G55" s="8">
        <v>44123</v>
      </c>
      <c r="H55" s="6" t="s">
        <v>833</v>
      </c>
      <c r="I55" s="6" t="s">
        <v>48</v>
      </c>
      <c r="J55" s="9">
        <v>4</v>
      </c>
      <c r="K55" s="9">
        <v>78</v>
      </c>
      <c r="L55" s="10">
        <v>0.82396969970240774</v>
      </c>
      <c r="M55" s="11" t="s">
        <v>853</v>
      </c>
      <c r="N55" s="11" t="s">
        <v>855</v>
      </c>
      <c r="O55" s="12" t="s">
        <v>851</v>
      </c>
    </row>
    <row r="56" spans="1:15" x14ac:dyDescent="0.9">
      <c r="A56" s="6">
        <v>53</v>
      </c>
      <c r="B56" s="6" t="s">
        <v>339</v>
      </c>
      <c r="C56" s="7" t="s">
        <v>340</v>
      </c>
      <c r="D56" s="6" t="s">
        <v>187</v>
      </c>
      <c r="E56" s="6" t="s">
        <v>74</v>
      </c>
      <c r="F56" s="6" t="s">
        <v>61</v>
      </c>
      <c r="G56" s="8">
        <v>43682</v>
      </c>
      <c r="H56" s="6" t="s">
        <v>848</v>
      </c>
      <c r="I56" s="6" t="s">
        <v>48</v>
      </c>
      <c r="J56" s="9">
        <v>4.1000000000000005</v>
      </c>
      <c r="K56" s="9">
        <v>81</v>
      </c>
      <c r="L56" s="10">
        <v>0.81878488672367733</v>
      </c>
      <c r="M56" s="11" t="s">
        <v>853</v>
      </c>
      <c r="N56" s="11" t="s">
        <v>855</v>
      </c>
      <c r="O56" s="12" t="s">
        <v>851</v>
      </c>
    </row>
    <row r="57" spans="1:15" x14ac:dyDescent="0.9">
      <c r="A57" s="6">
        <v>54</v>
      </c>
      <c r="B57" s="6" t="s">
        <v>347</v>
      </c>
      <c r="C57" s="7" t="s">
        <v>348</v>
      </c>
      <c r="D57" s="6" t="s">
        <v>349</v>
      </c>
      <c r="E57" s="6" t="s">
        <v>50</v>
      </c>
      <c r="F57" s="6" t="s">
        <v>55</v>
      </c>
      <c r="G57" s="8">
        <v>44795</v>
      </c>
      <c r="H57" s="6" t="s">
        <v>823</v>
      </c>
      <c r="I57" s="6" t="s">
        <v>48</v>
      </c>
      <c r="J57" s="9">
        <v>4.2</v>
      </c>
      <c r="K57" s="9">
        <v>85</v>
      </c>
      <c r="L57" s="10">
        <v>0.81775766488413548</v>
      </c>
      <c r="M57" s="11" t="s">
        <v>853</v>
      </c>
      <c r="N57" s="11" t="s">
        <v>855</v>
      </c>
      <c r="O57" s="12" t="s">
        <v>851</v>
      </c>
    </row>
    <row r="58" spans="1:15" x14ac:dyDescent="0.9">
      <c r="A58" s="6">
        <v>55</v>
      </c>
      <c r="B58" s="6" t="s">
        <v>350</v>
      </c>
      <c r="C58" s="7" t="s">
        <v>351</v>
      </c>
      <c r="D58" s="6" t="s">
        <v>212</v>
      </c>
      <c r="E58" s="6" t="s">
        <v>74</v>
      </c>
      <c r="F58" s="6" t="s">
        <v>61</v>
      </c>
      <c r="G58" s="8">
        <v>44966</v>
      </c>
      <c r="H58" s="6" t="s">
        <v>831</v>
      </c>
      <c r="I58" s="6" t="s">
        <v>54</v>
      </c>
      <c r="J58" s="9">
        <v>4.05</v>
      </c>
      <c r="K58" s="9">
        <v>81</v>
      </c>
      <c r="L58" s="10">
        <v>0.81740069139171012</v>
      </c>
      <c r="M58" s="11" t="s">
        <v>853</v>
      </c>
      <c r="N58" s="11" t="s">
        <v>855</v>
      </c>
      <c r="O58" s="12" t="s">
        <v>48</v>
      </c>
    </row>
    <row r="59" spans="1:15" x14ac:dyDescent="0.9">
      <c r="A59" s="6">
        <v>56</v>
      </c>
      <c r="B59" s="6" t="s">
        <v>352</v>
      </c>
      <c r="C59" s="7" t="s">
        <v>353</v>
      </c>
      <c r="D59" s="6" t="s">
        <v>325</v>
      </c>
      <c r="E59" s="6" t="s">
        <v>44</v>
      </c>
      <c r="F59" s="6" t="s">
        <v>51</v>
      </c>
      <c r="G59" s="8">
        <v>44746</v>
      </c>
      <c r="H59" s="6" t="s">
        <v>840</v>
      </c>
      <c r="I59" s="6" t="s">
        <v>48</v>
      </c>
      <c r="J59" s="9">
        <v>4</v>
      </c>
      <c r="K59" s="9">
        <v>84</v>
      </c>
      <c r="L59" s="10">
        <v>0.81728368176538924</v>
      </c>
      <c r="M59" s="11" t="s">
        <v>853</v>
      </c>
      <c r="N59" s="11" t="s">
        <v>855</v>
      </c>
      <c r="O59" s="12" t="s">
        <v>851</v>
      </c>
    </row>
    <row r="60" spans="1:15" x14ac:dyDescent="0.9">
      <c r="A60" s="6">
        <v>57</v>
      </c>
      <c r="B60" s="6" t="s">
        <v>356</v>
      </c>
      <c r="C60" s="7" t="s">
        <v>357</v>
      </c>
      <c r="D60" s="6" t="s">
        <v>182</v>
      </c>
      <c r="E60" s="6" t="s">
        <v>74</v>
      </c>
      <c r="F60" s="6" t="s">
        <v>75</v>
      </c>
      <c r="G60" s="8">
        <v>45231</v>
      </c>
      <c r="H60" s="6" t="s">
        <v>826</v>
      </c>
      <c r="I60" s="6" t="s">
        <v>54</v>
      </c>
      <c r="J60" s="9">
        <v>4.2</v>
      </c>
      <c r="K60" s="9">
        <v>82</v>
      </c>
      <c r="L60" s="10">
        <v>0.81583831985541022</v>
      </c>
      <c r="M60" s="11" t="s">
        <v>853</v>
      </c>
      <c r="N60" s="11" t="s">
        <v>855</v>
      </c>
      <c r="O60" s="12" t="s">
        <v>48</v>
      </c>
    </row>
    <row r="61" spans="1:15" x14ac:dyDescent="0.9">
      <c r="A61" s="6">
        <v>58</v>
      </c>
      <c r="B61" s="6" t="s">
        <v>360</v>
      </c>
      <c r="C61" s="7" t="s">
        <v>361</v>
      </c>
      <c r="D61" s="6" t="s">
        <v>133</v>
      </c>
      <c r="E61" s="6" t="s">
        <v>50</v>
      </c>
      <c r="F61" s="6" t="s">
        <v>61</v>
      </c>
      <c r="G61" s="8">
        <v>45131</v>
      </c>
      <c r="H61" s="6" t="s">
        <v>825</v>
      </c>
      <c r="I61" s="6" t="s">
        <v>54</v>
      </c>
      <c r="J61" s="9">
        <v>4</v>
      </c>
      <c r="K61" s="9">
        <v>81</v>
      </c>
      <c r="L61" s="10">
        <v>0.81556948208370972</v>
      </c>
      <c r="M61" s="11" t="s">
        <v>853</v>
      </c>
      <c r="N61" s="11" t="s">
        <v>855</v>
      </c>
      <c r="O61" s="12" t="s">
        <v>48</v>
      </c>
    </row>
    <row r="62" spans="1:15" x14ac:dyDescent="0.9">
      <c r="A62" s="6">
        <v>59</v>
      </c>
      <c r="B62" s="6" t="s">
        <v>364</v>
      </c>
      <c r="C62" s="7" t="s">
        <v>365</v>
      </c>
      <c r="D62" s="6" t="s">
        <v>257</v>
      </c>
      <c r="E62" s="6" t="s">
        <v>44</v>
      </c>
      <c r="F62" s="6" t="s">
        <v>61</v>
      </c>
      <c r="G62" s="8">
        <v>44935</v>
      </c>
      <c r="H62" s="6" t="s">
        <v>837</v>
      </c>
      <c r="I62" s="6" t="s">
        <v>54</v>
      </c>
      <c r="J62" s="9">
        <v>4.25</v>
      </c>
      <c r="K62" s="9">
        <v>83</v>
      </c>
      <c r="L62" s="10">
        <v>0.8141410071277847</v>
      </c>
      <c r="M62" s="11" t="s">
        <v>853</v>
      </c>
      <c r="N62" s="11" t="s">
        <v>855</v>
      </c>
      <c r="O62" s="12" t="s">
        <v>48</v>
      </c>
    </row>
    <row r="63" spans="1:15" x14ac:dyDescent="0.9">
      <c r="A63" s="6">
        <v>60</v>
      </c>
      <c r="B63" s="6" t="s">
        <v>373</v>
      </c>
      <c r="C63" s="7" t="s">
        <v>374</v>
      </c>
      <c r="D63" s="6" t="s">
        <v>349</v>
      </c>
      <c r="E63" s="6" t="s">
        <v>50</v>
      </c>
      <c r="F63" s="6" t="s">
        <v>55</v>
      </c>
      <c r="G63" s="8">
        <v>44036</v>
      </c>
      <c r="H63" s="6" t="s">
        <v>849</v>
      </c>
      <c r="I63" s="6" t="s">
        <v>48</v>
      </c>
      <c r="J63" s="9">
        <v>4.25</v>
      </c>
      <c r="K63" s="9">
        <v>81</v>
      </c>
      <c r="L63" s="10">
        <v>0.80964601571268235</v>
      </c>
      <c r="M63" s="11" t="s">
        <v>853</v>
      </c>
      <c r="N63" s="11" t="s">
        <v>855</v>
      </c>
      <c r="O63" s="12" t="s">
        <v>851</v>
      </c>
    </row>
    <row r="64" spans="1:15" x14ac:dyDescent="0.9">
      <c r="A64" s="6">
        <v>61</v>
      </c>
      <c r="B64" s="6" t="s">
        <v>377</v>
      </c>
      <c r="C64" s="7" t="s">
        <v>378</v>
      </c>
      <c r="D64" s="6" t="s">
        <v>349</v>
      </c>
      <c r="E64" s="6" t="s">
        <v>50</v>
      </c>
      <c r="F64" s="6" t="s">
        <v>55</v>
      </c>
      <c r="G64" s="8">
        <v>45231</v>
      </c>
      <c r="H64" s="6" t="s">
        <v>826</v>
      </c>
      <c r="I64" s="6" t="s">
        <v>54</v>
      </c>
      <c r="J64" s="9">
        <v>4</v>
      </c>
      <c r="K64" s="9">
        <v>81</v>
      </c>
      <c r="L64" s="10">
        <v>0.80895662177328853</v>
      </c>
      <c r="M64" s="11" t="s">
        <v>853</v>
      </c>
      <c r="N64" s="11" t="s">
        <v>855</v>
      </c>
      <c r="O64" s="12" t="s">
        <v>48</v>
      </c>
    </row>
    <row r="65" spans="1:15" x14ac:dyDescent="0.9">
      <c r="A65" s="6">
        <v>62</v>
      </c>
      <c r="B65" s="6" t="s">
        <v>379</v>
      </c>
      <c r="C65" s="7" t="s">
        <v>380</v>
      </c>
      <c r="D65" s="6" t="s">
        <v>98</v>
      </c>
      <c r="E65" s="6" t="s">
        <v>50</v>
      </c>
      <c r="F65" s="6" t="s">
        <v>55</v>
      </c>
      <c r="G65" s="8">
        <v>43627</v>
      </c>
      <c r="H65" s="6" t="s">
        <v>847</v>
      </c>
      <c r="I65" s="6" t="s">
        <v>48</v>
      </c>
      <c r="J65" s="9">
        <v>4.25</v>
      </c>
      <c r="K65" s="9">
        <v>83</v>
      </c>
      <c r="L65" s="10">
        <v>0.80887473434987422</v>
      </c>
      <c r="M65" s="11" t="s">
        <v>853</v>
      </c>
      <c r="N65" s="11" t="s">
        <v>855</v>
      </c>
      <c r="O65" s="12" t="s">
        <v>851</v>
      </c>
    </row>
    <row r="66" spans="1:15" x14ac:dyDescent="0.9">
      <c r="A66" s="6">
        <v>63</v>
      </c>
      <c r="B66" s="6" t="s">
        <v>381</v>
      </c>
      <c r="C66" s="7" t="s">
        <v>382</v>
      </c>
      <c r="D66" s="6" t="s">
        <v>141</v>
      </c>
      <c r="E66" s="6" t="s">
        <v>44</v>
      </c>
      <c r="F66" s="6" t="s">
        <v>55</v>
      </c>
      <c r="G66" s="8">
        <v>44837</v>
      </c>
      <c r="H66" s="6" t="s">
        <v>830</v>
      </c>
      <c r="I66" s="6" t="s">
        <v>54</v>
      </c>
      <c r="J66" s="9">
        <v>4</v>
      </c>
      <c r="K66" s="9">
        <v>78</v>
      </c>
      <c r="L66" s="10">
        <v>0.80885331938957328</v>
      </c>
      <c r="M66" s="11" t="s">
        <v>853</v>
      </c>
      <c r="N66" s="11" t="s">
        <v>855</v>
      </c>
      <c r="O66" s="12" t="s">
        <v>48</v>
      </c>
    </row>
    <row r="67" spans="1:15" x14ac:dyDescent="0.9">
      <c r="A67" s="6">
        <v>64</v>
      </c>
      <c r="B67" s="6" t="s">
        <v>383</v>
      </c>
      <c r="C67" s="7" t="s">
        <v>384</v>
      </c>
      <c r="D67" s="6" t="s">
        <v>98</v>
      </c>
      <c r="E67" s="6" t="s">
        <v>50</v>
      </c>
      <c r="F67" s="6" t="s">
        <v>51</v>
      </c>
      <c r="G67" s="8">
        <v>44466</v>
      </c>
      <c r="H67" s="6" t="s">
        <v>822</v>
      </c>
      <c r="I67" s="6" t="s">
        <v>48</v>
      </c>
      <c r="J67" s="9">
        <v>4.05</v>
      </c>
      <c r="K67" s="9">
        <v>83</v>
      </c>
      <c r="L67" s="10">
        <v>0.80882359417549476</v>
      </c>
      <c r="M67" s="11" t="s">
        <v>853</v>
      </c>
      <c r="N67" s="11" t="s">
        <v>855</v>
      </c>
      <c r="O67" s="12" t="s">
        <v>851</v>
      </c>
    </row>
    <row r="68" spans="1:15" x14ac:dyDescent="0.9">
      <c r="A68" s="6">
        <v>65</v>
      </c>
      <c r="B68" s="6" t="s">
        <v>385</v>
      </c>
      <c r="C68" s="7" t="s">
        <v>386</v>
      </c>
      <c r="D68" s="6" t="s">
        <v>349</v>
      </c>
      <c r="E68" s="6" t="s">
        <v>50</v>
      </c>
      <c r="F68" s="6" t="s">
        <v>61</v>
      </c>
      <c r="G68" s="8">
        <v>44935</v>
      </c>
      <c r="H68" s="6" t="s">
        <v>837</v>
      </c>
      <c r="I68" s="6" t="s">
        <v>54</v>
      </c>
      <c r="J68" s="9">
        <v>4.25</v>
      </c>
      <c r="K68" s="9">
        <v>81</v>
      </c>
      <c r="L68" s="10">
        <v>0.808773288439955</v>
      </c>
      <c r="M68" s="11" t="s">
        <v>853</v>
      </c>
      <c r="N68" s="11" t="s">
        <v>855</v>
      </c>
      <c r="O68" s="12" t="s">
        <v>48</v>
      </c>
    </row>
    <row r="69" spans="1:15" x14ac:dyDescent="0.9">
      <c r="A69" s="6">
        <v>66</v>
      </c>
      <c r="B69" s="6" t="s">
        <v>392</v>
      </c>
      <c r="C69" s="7" t="s">
        <v>393</v>
      </c>
      <c r="D69" s="6" t="s">
        <v>257</v>
      </c>
      <c r="E69" s="6" t="s">
        <v>44</v>
      </c>
      <c r="F69" s="6" t="s">
        <v>61</v>
      </c>
      <c r="G69" s="8">
        <v>45075</v>
      </c>
      <c r="H69" s="6" t="s">
        <v>832</v>
      </c>
      <c r="I69" s="6" t="s">
        <v>54</v>
      </c>
      <c r="J69" s="9">
        <v>4.2</v>
      </c>
      <c r="K69" s="9">
        <v>78</v>
      </c>
      <c r="L69" s="10">
        <v>0.8049469950953001</v>
      </c>
      <c r="M69" s="11" t="s">
        <v>853</v>
      </c>
      <c r="N69" s="11" t="s">
        <v>855</v>
      </c>
      <c r="O69" s="12" t="s">
        <v>48</v>
      </c>
    </row>
    <row r="70" spans="1:15" x14ac:dyDescent="0.9">
      <c r="A70" s="6">
        <v>67</v>
      </c>
      <c r="B70" s="6" t="s">
        <v>400</v>
      </c>
      <c r="C70" s="7" t="s">
        <v>401</v>
      </c>
      <c r="D70" s="6" t="s">
        <v>64</v>
      </c>
      <c r="E70" s="6" t="s">
        <v>44</v>
      </c>
      <c r="F70" s="6" t="s">
        <v>51</v>
      </c>
      <c r="G70" s="8">
        <v>44690</v>
      </c>
      <c r="H70" s="6" t="s">
        <v>828</v>
      </c>
      <c r="I70" s="6" t="s">
        <v>54</v>
      </c>
      <c r="J70" s="9">
        <v>4.05</v>
      </c>
      <c r="K70" s="9">
        <v>81</v>
      </c>
      <c r="L70" s="10">
        <v>0.8026842812128725</v>
      </c>
      <c r="M70" s="11" t="s">
        <v>853</v>
      </c>
      <c r="N70" s="11" t="s">
        <v>855</v>
      </c>
      <c r="O70" s="12" t="s">
        <v>48</v>
      </c>
    </row>
    <row r="71" spans="1:15" x14ac:dyDescent="0.9">
      <c r="A71" s="6">
        <v>68</v>
      </c>
      <c r="B71" s="6" t="s">
        <v>402</v>
      </c>
      <c r="C71" s="7" t="s">
        <v>403</v>
      </c>
      <c r="D71" s="6" t="s">
        <v>133</v>
      </c>
      <c r="E71" s="6" t="s">
        <v>50</v>
      </c>
      <c r="F71" s="6" t="s">
        <v>51</v>
      </c>
      <c r="G71" s="8">
        <v>44690</v>
      </c>
      <c r="H71" s="6" t="s">
        <v>828</v>
      </c>
      <c r="I71" s="6" t="s">
        <v>54</v>
      </c>
      <c r="J71" s="9">
        <v>4.05</v>
      </c>
      <c r="K71" s="9">
        <v>81</v>
      </c>
      <c r="L71" s="10">
        <v>0.80263526183241629</v>
      </c>
      <c r="M71" s="11" t="s">
        <v>853</v>
      </c>
      <c r="N71" s="11" t="s">
        <v>855</v>
      </c>
      <c r="O71" s="12" t="s">
        <v>48</v>
      </c>
    </row>
    <row r="72" spans="1:15" x14ac:dyDescent="0.9">
      <c r="A72" s="6">
        <v>69</v>
      </c>
      <c r="B72" s="6" t="s">
        <v>404</v>
      </c>
      <c r="C72" s="7" t="s">
        <v>405</v>
      </c>
      <c r="D72" s="6" t="s">
        <v>98</v>
      </c>
      <c r="E72" s="6" t="s">
        <v>50</v>
      </c>
      <c r="F72" s="6" t="s">
        <v>55</v>
      </c>
      <c r="G72" s="8">
        <v>44795</v>
      </c>
      <c r="H72" s="6" t="s">
        <v>823</v>
      </c>
      <c r="I72" s="6" t="s">
        <v>54</v>
      </c>
      <c r="J72" s="9">
        <v>4.05</v>
      </c>
      <c r="K72" s="9">
        <v>81</v>
      </c>
      <c r="L72" s="10">
        <v>0.80192305064957647</v>
      </c>
      <c r="M72" s="11" t="s">
        <v>853</v>
      </c>
      <c r="N72" s="11" t="s">
        <v>855</v>
      </c>
      <c r="O72" s="12" t="s">
        <v>48</v>
      </c>
    </row>
    <row r="73" spans="1:15" x14ac:dyDescent="0.9">
      <c r="A73" s="6">
        <v>70</v>
      </c>
      <c r="B73" s="6" t="s">
        <v>408</v>
      </c>
      <c r="C73" s="7" t="s">
        <v>409</v>
      </c>
      <c r="D73" s="6" t="s">
        <v>287</v>
      </c>
      <c r="E73" s="6" t="s">
        <v>74</v>
      </c>
      <c r="F73" s="6" t="s">
        <v>55</v>
      </c>
      <c r="G73" s="8">
        <v>44837</v>
      </c>
      <c r="H73" s="6" t="s">
        <v>830</v>
      </c>
      <c r="I73" s="6" t="s">
        <v>54</v>
      </c>
      <c r="J73" s="9">
        <v>3.95</v>
      </c>
      <c r="K73" s="9">
        <v>81</v>
      </c>
      <c r="L73" s="10">
        <v>0.80045544852057127</v>
      </c>
      <c r="M73" s="11" t="s">
        <v>853</v>
      </c>
      <c r="N73" s="11" t="s">
        <v>855</v>
      </c>
      <c r="O73" s="12" t="s">
        <v>48</v>
      </c>
    </row>
  </sheetData>
  <autoFilter ref="A3:O73" xr:uid="{1960A1BC-3AA1-4184-BE21-0A33E4C5A95F}">
    <sortState xmlns:xlrd2="http://schemas.microsoft.com/office/spreadsheetml/2017/richdata2" ref="A4:O73">
      <sortCondition descending="1" ref="L3:L73"/>
    </sortState>
  </autoFilter>
  <mergeCells count="1">
    <mergeCell ref="J2:O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9C95E-3355-4881-B40F-57A3C792F07E}">
  <dimension ref="A3:C7"/>
  <sheetViews>
    <sheetView workbookViewId="0">
      <selection activeCell="E11" sqref="E11"/>
    </sheetView>
  </sheetViews>
  <sheetFormatPr defaultRowHeight="14.5" x14ac:dyDescent="0.35"/>
  <cols>
    <col min="1" max="1" width="16.26953125" bestFit="1" customWidth="1"/>
    <col min="2" max="2" width="13.26953125" bestFit="1" customWidth="1"/>
  </cols>
  <sheetData>
    <row r="3" spans="1:3" x14ac:dyDescent="0.35">
      <c r="A3" s="56" t="s">
        <v>857</v>
      </c>
      <c r="B3" t="s">
        <v>861</v>
      </c>
    </row>
    <row r="4" spans="1:3" x14ac:dyDescent="0.35">
      <c r="A4" s="2" t="s">
        <v>54</v>
      </c>
      <c r="B4">
        <v>149</v>
      </c>
      <c r="C4" s="1">
        <f>GETPIVOTDATA("Name",$A$3,"Assesment","Associate engineer")/GETPIVOTDATA("Name",$A$3)</f>
        <v>0.42571428571428571</v>
      </c>
    </row>
    <row r="5" spans="1:3" x14ac:dyDescent="0.35">
      <c r="A5" s="2" t="s">
        <v>48</v>
      </c>
      <c r="B5">
        <v>134</v>
      </c>
      <c r="C5" s="1">
        <f>GETPIVOTDATA("Name",$A$3,"Assesment","Engineer")/GETPIVOTDATA("Name",$A$3)</f>
        <v>0.38285714285714284</v>
      </c>
    </row>
    <row r="6" spans="1:3" x14ac:dyDescent="0.35">
      <c r="A6" s="2" t="s">
        <v>42</v>
      </c>
      <c r="B6">
        <v>67</v>
      </c>
      <c r="C6" s="1">
        <f>GETPIVOTDATA("Name",$A$3,"Assesment","Senior engineer")/GETPIVOTDATA("Name",$A$3)</f>
        <v>0.19142857142857142</v>
      </c>
    </row>
    <row r="7" spans="1:3" x14ac:dyDescent="0.35">
      <c r="A7" s="2" t="s">
        <v>858</v>
      </c>
      <c r="B7">
        <v>350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1B274-94AE-453A-9A7F-FCBE7E291462}">
  <dimension ref="A1:B88"/>
  <sheetViews>
    <sheetView workbookViewId="0">
      <selection activeCell="B5" sqref="B5"/>
    </sheetView>
  </sheetViews>
  <sheetFormatPr defaultRowHeight="14.5" x14ac:dyDescent="0.35"/>
  <cols>
    <col min="1" max="1" width="15.1796875" bestFit="1" customWidth="1"/>
    <col min="2" max="2" width="13.26953125" bestFit="1" customWidth="1"/>
  </cols>
  <sheetData>
    <row r="1" spans="1:2" x14ac:dyDescent="0.35">
      <c r="A1" s="56" t="s">
        <v>13</v>
      </c>
      <c r="B1" t="s">
        <v>862</v>
      </c>
    </row>
    <row r="3" spans="1:2" x14ac:dyDescent="0.35">
      <c r="A3" s="56" t="s">
        <v>857</v>
      </c>
      <c r="B3" t="s">
        <v>861</v>
      </c>
    </row>
    <row r="4" spans="1:2" x14ac:dyDescent="0.35">
      <c r="A4" s="2" t="s">
        <v>43</v>
      </c>
      <c r="B4">
        <v>24</v>
      </c>
    </row>
    <row r="5" spans="1:2" x14ac:dyDescent="0.35">
      <c r="A5" s="2" t="s">
        <v>98</v>
      </c>
      <c r="B5">
        <v>18</v>
      </c>
    </row>
    <row r="6" spans="1:2" x14ac:dyDescent="0.35">
      <c r="A6" s="2" t="s">
        <v>95</v>
      </c>
      <c r="B6">
        <v>18</v>
      </c>
    </row>
    <row r="7" spans="1:2" x14ac:dyDescent="0.35">
      <c r="A7" s="2" t="s">
        <v>64</v>
      </c>
      <c r="B7">
        <v>15</v>
      </c>
    </row>
    <row r="8" spans="1:2" x14ac:dyDescent="0.35">
      <c r="A8" s="2" t="s">
        <v>49</v>
      </c>
      <c r="B8">
        <v>14</v>
      </c>
    </row>
    <row r="9" spans="1:2" x14ac:dyDescent="0.35">
      <c r="A9" s="2" t="s">
        <v>133</v>
      </c>
      <c r="B9">
        <v>13</v>
      </c>
    </row>
    <row r="10" spans="1:2" x14ac:dyDescent="0.35">
      <c r="A10" s="2" t="s">
        <v>182</v>
      </c>
      <c r="B10">
        <v>12</v>
      </c>
    </row>
    <row r="11" spans="1:2" x14ac:dyDescent="0.35">
      <c r="A11" s="2" t="s">
        <v>257</v>
      </c>
      <c r="B11">
        <v>11</v>
      </c>
    </row>
    <row r="12" spans="1:2" x14ac:dyDescent="0.35">
      <c r="A12" s="2" t="s">
        <v>187</v>
      </c>
      <c r="B12">
        <v>11</v>
      </c>
    </row>
    <row r="13" spans="1:2" x14ac:dyDescent="0.35">
      <c r="A13" s="2" t="s">
        <v>67</v>
      </c>
      <c r="B13">
        <v>10</v>
      </c>
    </row>
    <row r="14" spans="1:2" x14ac:dyDescent="0.35">
      <c r="A14" s="2" t="s">
        <v>192</v>
      </c>
      <c r="B14">
        <v>9</v>
      </c>
    </row>
    <row r="15" spans="1:2" x14ac:dyDescent="0.35">
      <c r="A15" s="2" t="s">
        <v>117</v>
      </c>
      <c r="B15">
        <v>7</v>
      </c>
    </row>
    <row r="16" spans="1:2" x14ac:dyDescent="0.35">
      <c r="A16" s="2" t="s">
        <v>136</v>
      </c>
      <c r="B16">
        <v>7</v>
      </c>
    </row>
    <row r="17" spans="1:2" x14ac:dyDescent="0.35">
      <c r="A17" s="2" t="s">
        <v>89</v>
      </c>
      <c r="B17">
        <v>7</v>
      </c>
    </row>
    <row r="18" spans="1:2" x14ac:dyDescent="0.35">
      <c r="A18" s="2" t="s">
        <v>223</v>
      </c>
      <c r="B18">
        <v>7</v>
      </c>
    </row>
    <row r="19" spans="1:2" x14ac:dyDescent="0.35">
      <c r="A19" s="2" t="s">
        <v>141</v>
      </c>
      <c r="B19">
        <v>7</v>
      </c>
    </row>
    <row r="20" spans="1:2" x14ac:dyDescent="0.35">
      <c r="A20" s="2" t="s">
        <v>70</v>
      </c>
      <c r="B20">
        <v>7</v>
      </c>
    </row>
    <row r="21" spans="1:2" x14ac:dyDescent="0.35">
      <c r="A21" s="2" t="s">
        <v>446</v>
      </c>
      <c r="B21">
        <v>6</v>
      </c>
    </row>
    <row r="22" spans="1:2" x14ac:dyDescent="0.35">
      <c r="A22" s="2" t="s">
        <v>349</v>
      </c>
      <c r="B22">
        <v>6</v>
      </c>
    </row>
    <row r="23" spans="1:2" x14ac:dyDescent="0.35">
      <c r="A23" s="2" t="s">
        <v>252</v>
      </c>
      <c r="B23">
        <v>6</v>
      </c>
    </row>
    <row r="24" spans="1:2" x14ac:dyDescent="0.35">
      <c r="A24" s="2" t="s">
        <v>230</v>
      </c>
      <c r="B24">
        <v>6</v>
      </c>
    </row>
    <row r="25" spans="1:2" x14ac:dyDescent="0.35">
      <c r="A25" s="2" t="s">
        <v>654</v>
      </c>
      <c r="B25">
        <v>6</v>
      </c>
    </row>
    <row r="26" spans="1:2" x14ac:dyDescent="0.35">
      <c r="A26" s="2" t="s">
        <v>287</v>
      </c>
      <c r="B26">
        <v>5</v>
      </c>
    </row>
    <row r="27" spans="1:2" x14ac:dyDescent="0.35">
      <c r="A27" s="2" t="s">
        <v>179</v>
      </c>
      <c r="B27">
        <v>5</v>
      </c>
    </row>
    <row r="28" spans="1:2" x14ac:dyDescent="0.35">
      <c r="A28" s="2" t="s">
        <v>86</v>
      </c>
      <c r="B28">
        <v>4</v>
      </c>
    </row>
    <row r="29" spans="1:2" x14ac:dyDescent="0.35">
      <c r="A29" s="2" t="s">
        <v>114</v>
      </c>
      <c r="B29">
        <v>4</v>
      </c>
    </row>
    <row r="30" spans="1:2" x14ac:dyDescent="0.35">
      <c r="A30" s="2" t="s">
        <v>529</v>
      </c>
      <c r="B30">
        <v>4</v>
      </c>
    </row>
    <row r="31" spans="1:2" x14ac:dyDescent="0.35">
      <c r="A31" s="2" t="s">
        <v>174</v>
      </c>
      <c r="B31">
        <v>4</v>
      </c>
    </row>
    <row r="32" spans="1:2" x14ac:dyDescent="0.35">
      <c r="A32" s="2" t="s">
        <v>457</v>
      </c>
      <c r="B32">
        <v>4</v>
      </c>
    </row>
    <row r="33" spans="1:2" x14ac:dyDescent="0.35">
      <c r="A33" s="2" t="s">
        <v>226</v>
      </c>
      <c r="B33">
        <v>4</v>
      </c>
    </row>
    <row r="34" spans="1:2" x14ac:dyDescent="0.35">
      <c r="A34" s="2" t="s">
        <v>325</v>
      </c>
      <c r="B34">
        <v>4</v>
      </c>
    </row>
    <row r="35" spans="1:2" x14ac:dyDescent="0.35">
      <c r="A35" s="2" t="s">
        <v>300</v>
      </c>
      <c r="B35">
        <v>4</v>
      </c>
    </row>
    <row r="36" spans="1:2" x14ac:dyDescent="0.35">
      <c r="A36" s="2" t="s">
        <v>247</v>
      </c>
      <c r="B36">
        <v>3</v>
      </c>
    </row>
    <row r="37" spans="1:2" x14ac:dyDescent="0.35">
      <c r="A37" s="2" t="s">
        <v>418</v>
      </c>
      <c r="B37">
        <v>3</v>
      </c>
    </row>
    <row r="38" spans="1:2" x14ac:dyDescent="0.35">
      <c r="A38" s="2" t="s">
        <v>195</v>
      </c>
      <c r="B38">
        <v>3</v>
      </c>
    </row>
    <row r="39" spans="1:2" x14ac:dyDescent="0.35">
      <c r="A39" s="2" t="s">
        <v>123</v>
      </c>
      <c r="B39">
        <v>3</v>
      </c>
    </row>
    <row r="40" spans="1:2" x14ac:dyDescent="0.35">
      <c r="A40" s="2" t="s">
        <v>81</v>
      </c>
      <c r="B40">
        <v>3</v>
      </c>
    </row>
    <row r="41" spans="1:2" x14ac:dyDescent="0.35">
      <c r="A41" s="2" t="s">
        <v>241</v>
      </c>
      <c r="B41">
        <v>3</v>
      </c>
    </row>
    <row r="42" spans="1:2" x14ac:dyDescent="0.35">
      <c r="A42" s="2" t="s">
        <v>161</v>
      </c>
      <c r="B42">
        <v>3</v>
      </c>
    </row>
    <row r="43" spans="1:2" x14ac:dyDescent="0.35">
      <c r="A43" s="2" t="s">
        <v>277</v>
      </c>
      <c r="B43">
        <v>3</v>
      </c>
    </row>
    <row r="44" spans="1:2" x14ac:dyDescent="0.35">
      <c r="A44" s="2" t="s">
        <v>171</v>
      </c>
      <c r="B44">
        <v>3</v>
      </c>
    </row>
    <row r="45" spans="1:2" x14ac:dyDescent="0.35">
      <c r="A45" s="2" t="s">
        <v>244</v>
      </c>
      <c r="B45">
        <v>3</v>
      </c>
    </row>
    <row r="46" spans="1:2" x14ac:dyDescent="0.35">
      <c r="A46" s="2" t="s">
        <v>268</v>
      </c>
      <c r="B46">
        <v>3</v>
      </c>
    </row>
    <row r="47" spans="1:2" x14ac:dyDescent="0.35">
      <c r="A47" s="2" t="s">
        <v>580</v>
      </c>
      <c r="B47">
        <v>3</v>
      </c>
    </row>
    <row r="48" spans="1:2" x14ac:dyDescent="0.35">
      <c r="A48" s="2" t="s">
        <v>200</v>
      </c>
      <c r="B48">
        <v>2</v>
      </c>
    </row>
    <row r="49" spans="1:2" x14ac:dyDescent="0.35">
      <c r="A49" s="2" t="s">
        <v>790</v>
      </c>
      <c r="B49">
        <v>2</v>
      </c>
    </row>
    <row r="50" spans="1:2" x14ac:dyDescent="0.35">
      <c r="A50" s="2" t="s">
        <v>120</v>
      </c>
      <c r="B50">
        <v>2</v>
      </c>
    </row>
    <row r="51" spans="1:2" x14ac:dyDescent="0.35">
      <c r="A51" s="2" t="s">
        <v>78</v>
      </c>
      <c r="B51">
        <v>2</v>
      </c>
    </row>
    <row r="52" spans="1:2" x14ac:dyDescent="0.35">
      <c r="A52" s="2" t="s">
        <v>328</v>
      </c>
      <c r="B52">
        <v>2</v>
      </c>
    </row>
    <row r="53" spans="1:2" x14ac:dyDescent="0.35">
      <c r="A53" s="2" t="s">
        <v>284</v>
      </c>
      <c r="B53">
        <v>2</v>
      </c>
    </row>
    <row r="54" spans="1:2" x14ac:dyDescent="0.35">
      <c r="A54" s="2" t="s">
        <v>111</v>
      </c>
      <c r="B54">
        <v>2</v>
      </c>
    </row>
    <row r="55" spans="1:2" x14ac:dyDescent="0.35">
      <c r="A55" s="2" t="s">
        <v>480</v>
      </c>
      <c r="B55">
        <v>2</v>
      </c>
    </row>
    <row r="56" spans="1:2" x14ac:dyDescent="0.35">
      <c r="A56" s="2" t="s">
        <v>391</v>
      </c>
      <c r="B56">
        <v>2</v>
      </c>
    </row>
    <row r="57" spans="1:2" x14ac:dyDescent="0.35">
      <c r="A57" s="2" t="s">
        <v>462</v>
      </c>
      <c r="B57">
        <v>2</v>
      </c>
    </row>
    <row r="58" spans="1:2" x14ac:dyDescent="0.35">
      <c r="A58" s="2" t="s">
        <v>549</v>
      </c>
      <c r="B58">
        <v>2</v>
      </c>
    </row>
    <row r="59" spans="1:2" x14ac:dyDescent="0.35">
      <c r="A59" s="2" t="s">
        <v>106</v>
      </c>
      <c r="B59">
        <v>2</v>
      </c>
    </row>
    <row r="60" spans="1:2" x14ac:dyDescent="0.35">
      <c r="A60" s="2" t="s">
        <v>322</v>
      </c>
      <c r="B60">
        <v>2</v>
      </c>
    </row>
    <row r="61" spans="1:2" x14ac:dyDescent="0.35">
      <c r="A61" s="2" t="s">
        <v>92</v>
      </c>
      <c r="B61">
        <v>2</v>
      </c>
    </row>
    <row r="62" spans="1:2" x14ac:dyDescent="0.35">
      <c r="A62" s="2" t="s">
        <v>205</v>
      </c>
      <c r="B62">
        <v>2</v>
      </c>
    </row>
    <row r="63" spans="1:2" x14ac:dyDescent="0.35">
      <c r="A63" s="2" t="s">
        <v>212</v>
      </c>
      <c r="B63">
        <v>2</v>
      </c>
    </row>
    <row r="64" spans="1:2" x14ac:dyDescent="0.35">
      <c r="A64" s="2" t="s">
        <v>793</v>
      </c>
      <c r="B64">
        <v>1</v>
      </c>
    </row>
    <row r="65" spans="1:2" x14ac:dyDescent="0.35">
      <c r="A65" s="2" t="s">
        <v>128</v>
      </c>
      <c r="B65">
        <v>1</v>
      </c>
    </row>
    <row r="66" spans="1:2" x14ac:dyDescent="0.35">
      <c r="A66" s="2" t="s">
        <v>144</v>
      </c>
      <c r="B66">
        <v>1</v>
      </c>
    </row>
    <row r="67" spans="1:2" x14ac:dyDescent="0.35">
      <c r="A67" s="2" t="s">
        <v>423</v>
      </c>
      <c r="B67">
        <v>1</v>
      </c>
    </row>
    <row r="68" spans="1:2" x14ac:dyDescent="0.35">
      <c r="A68" s="2" t="s">
        <v>370</v>
      </c>
      <c r="B68">
        <v>1</v>
      </c>
    </row>
    <row r="69" spans="1:2" x14ac:dyDescent="0.35">
      <c r="A69" s="2" t="s">
        <v>156</v>
      </c>
      <c r="B69">
        <v>1</v>
      </c>
    </row>
    <row r="70" spans="1:2" x14ac:dyDescent="0.35">
      <c r="A70" s="2" t="s">
        <v>614</v>
      </c>
      <c r="B70">
        <v>1</v>
      </c>
    </row>
    <row r="71" spans="1:2" x14ac:dyDescent="0.35">
      <c r="A71" s="2" t="s">
        <v>821</v>
      </c>
      <c r="B71">
        <v>1</v>
      </c>
    </row>
    <row r="72" spans="1:2" x14ac:dyDescent="0.35">
      <c r="A72" s="2" t="s">
        <v>896</v>
      </c>
      <c r="B72">
        <v>1</v>
      </c>
    </row>
    <row r="73" spans="1:2" x14ac:dyDescent="0.35">
      <c r="A73" s="2" t="s">
        <v>818</v>
      </c>
      <c r="B73">
        <v>1</v>
      </c>
    </row>
    <row r="74" spans="1:2" x14ac:dyDescent="0.35">
      <c r="A74" s="2" t="s">
        <v>595</v>
      </c>
      <c r="B74">
        <v>1</v>
      </c>
    </row>
    <row r="75" spans="1:2" x14ac:dyDescent="0.35">
      <c r="A75" s="2" t="s">
        <v>168</v>
      </c>
      <c r="B75">
        <v>1</v>
      </c>
    </row>
    <row r="76" spans="1:2" x14ac:dyDescent="0.35">
      <c r="A76" s="2" t="s">
        <v>898</v>
      </c>
      <c r="B76">
        <v>1</v>
      </c>
    </row>
    <row r="77" spans="1:2" x14ac:dyDescent="0.35">
      <c r="A77" s="2" t="s">
        <v>475</v>
      </c>
      <c r="B77">
        <v>1</v>
      </c>
    </row>
    <row r="78" spans="1:2" x14ac:dyDescent="0.35">
      <c r="A78" s="2" t="s">
        <v>315</v>
      </c>
      <c r="B78">
        <v>1</v>
      </c>
    </row>
    <row r="79" spans="1:2" x14ac:dyDescent="0.35">
      <c r="A79" s="2" t="s">
        <v>621</v>
      </c>
      <c r="B79">
        <v>1</v>
      </c>
    </row>
    <row r="80" spans="1:2" x14ac:dyDescent="0.35">
      <c r="A80" s="2" t="s">
        <v>153</v>
      </c>
      <c r="B80">
        <v>1</v>
      </c>
    </row>
    <row r="81" spans="1:2" x14ac:dyDescent="0.35">
      <c r="A81" s="2" t="s">
        <v>534</v>
      </c>
      <c r="B81">
        <v>1</v>
      </c>
    </row>
    <row r="82" spans="1:2" x14ac:dyDescent="0.35">
      <c r="A82" s="2" t="s">
        <v>884</v>
      </c>
      <c r="B82">
        <v>1</v>
      </c>
    </row>
    <row r="83" spans="1:2" x14ac:dyDescent="0.35">
      <c r="A83" s="2" t="s">
        <v>101</v>
      </c>
      <c r="B83">
        <v>1</v>
      </c>
    </row>
    <row r="84" spans="1:2" x14ac:dyDescent="0.35">
      <c r="A84" s="2" t="s">
        <v>227</v>
      </c>
      <c r="B84">
        <v>1</v>
      </c>
    </row>
    <row r="85" spans="1:2" x14ac:dyDescent="0.35">
      <c r="A85" s="2" t="s">
        <v>73</v>
      </c>
      <c r="B85">
        <v>1</v>
      </c>
    </row>
    <row r="86" spans="1:2" x14ac:dyDescent="0.35">
      <c r="A86" s="2" t="s">
        <v>667</v>
      </c>
      <c r="B86">
        <v>1</v>
      </c>
    </row>
    <row r="87" spans="1:2" x14ac:dyDescent="0.35">
      <c r="A87" s="2" t="s">
        <v>60</v>
      </c>
      <c r="B87">
        <v>1</v>
      </c>
    </row>
    <row r="88" spans="1:2" x14ac:dyDescent="0.35">
      <c r="A88" s="2" t="s">
        <v>858</v>
      </c>
      <c r="B88">
        <v>361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9F7EF-4F0A-4B15-9F78-E57DF93D2316}">
  <dimension ref="A1:BM365"/>
  <sheetViews>
    <sheetView tabSelected="1" topLeftCell="A4" zoomScaleNormal="100" workbookViewId="0">
      <selection activeCell="B5" sqref="B5:B9"/>
    </sheetView>
  </sheetViews>
  <sheetFormatPr defaultRowHeight="14.5" x14ac:dyDescent="0.35"/>
  <cols>
    <col min="2" max="2" width="35.54296875" bestFit="1" customWidth="1"/>
    <col min="3" max="3" width="11.6328125" bestFit="1" customWidth="1"/>
    <col min="4" max="4" width="16.7265625" bestFit="1" customWidth="1"/>
    <col min="5" max="5" width="15.1796875" bestFit="1" customWidth="1"/>
    <col min="8" max="8" width="10.1796875" bestFit="1" customWidth="1"/>
    <col min="9" max="9" width="9.453125" bestFit="1" customWidth="1"/>
    <col min="10" max="10" width="23.1796875" bestFit="1" customWidth="1"/>
    <col min="61" max="61" width="15.1796875" bestFit="1" customWidth="1"/>
    <col min="62" max="62" width="15.1796875" customWidth="1"/>
    <col min="63" max="63" width="16.26953125" bestFit="1" customWidth="1"/>
    <col min="64" max="64" width="22.81640625" customWidth="1"/>
  </cols>
  <sheetData>
    <row r="1" spans="1:64" x14ac:dyDescent="0.35">
      <c r="A1" s="59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61">
        <v>6.25E-2</v>
      </c>
      <c r="V1" s="61">
        <v>0.125</v>
      </c>
      <c r="W1" s="61">
        <v>0</v>
      </c>
      <c r="X1" s="62"/>
      <c r="Y1" s="61">
        <v>2.7777777777777776E-2</v>
      </c>
      <c r="Z1" s="62">
        <f>(Y1/U1)*2</f>
        <v>0.88888888888888884</v>
      </c>
      <c r="AA1" s="62">
        <f>35%/Z1</f>
        <v>0.39374999999999999</v>
      </c>
      <c r="AB1" s="63"/>
      <c r="AC1" s="63"/>
      <c r="AD1" s="63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  <c r="BA1" s="59"/>
      <c r="BB1" s="59"/>
      <c r="BC1" s="59"/>
      <c r="BD1" s="59"/>
      <c r="BE1" s="59"/>
      <c r="BF1" s="59"/>
      <c r="BG1" s="59"/>
      <c r="BH1" s="59"/>
      <c r="BI1" s="59"/>
      <c r="BJ1" s="59"/>
      <c r="BK1" s="59"/>
      <c r="BL1" s="59"/>
    </row>
    <row r="2" spans="1:64" ht="21" customHeight="1" x14ac:dyDescent="0.5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80" t="s">
        <v>0</v>
      </c>
      <c r="O2" s="80"/>
      <c r="P2" s="80"/>
      <c r="Q2" s="80"/>
      <c r="R2" s="80"/>
      <c r="S2" s="80"/>
      <c r="T2" s="80"/>
      <c r="U2" s="80" t="s">
        <v>1</v>
      </c>
      <c r="V2" s="80"/>
      <c r="W2" s="80"/>
      <c r="X2" s="80"/>
      <c r="Y2" s="80"/>
      <c r="Z2" s="80"/>
      <c r="AA2" s="80"/>
      <c r="AB2" s="80"/>
      <c r="AC2" s="80"/>
      <c r="AD2" s="80"/>
      <c r="AE2" s="80" t="s">
        <v>2</v>
      </c>
      <c r="AF2" s="80"/>
      <c r="AG2" s="80"/>
      <c r="AH2" s="80"/>
      <c r="AI2" s="80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0" t="s">
        <v>3</v>
      </c>
      <c r="AW2" s="80"/>
      <c r="AX2" s="80"/>
      <c r="AY2" s="80"/>
      <c r="AZ2" s="80"/>
      <c r="BA2" s="80"/>
      <c r="BB2" s="80"/>
      <c r="BC2" s="80"/>
      <c r="BD2" s="80"/>
      <c r="BE2" s="80"/>
      <c r="BF2" s="79" t="s">
        <v>4</v>
      </c>
      <c r="BG2" s="79"/>
      <c r="BH2" s="79"/>
      <c r="BI2" s="79"/>
      <c r="BJ2" s="79"/>
      <c r="BK2" s="79"/>
      <c r="BL2" s="59"/>
    </row>
    <row r="3" spans="1:64" ht="21" x14ac:dyDescent="0.5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64"/>
      <c r="O3" s="64"/>
      <c r="P3" s="64"/>
      <c r="Q3" s="64">
        <v>40</v>
      </c>
      <c r="R3" s="64"/>
      <c r="S3" s="64"/>
      <c r="T3" s="64"/>
      <c r="U3" s="64"/>
      <c r="V3" s="64"/>
      <c r="W3" s="64"/>
      <c r="X3" s="64"/>
      <c r="Y3" s="64">
        <v>25</v>
      </c>
      <c r="Z3" s="64"/>
      <c r="AA3" s="64"/>
      <c r="AB3" s="64"/>
      <c r="AC3" s="64"/>
      <c r="AD3" s="64"/>
      <c r="AE3" s="64"/>
      <c r="AF3" s="64"/>
      <c r="AG3" s="64">
        <v>25</v>
      </c>
      <c r="AH3" s="64"/>
      <c r="AI3" s="64"/>
      <c r="AJ3" s="81"/>
      <c r="AK3" s="81"/>
      <c r="AL3" s="81"/>
      <c r="AM3" s="81"/>
      <c r="AN3" s="81">
        <v>15</v>
      </c>
      <c r="AO3" s="81"/>
      <c r="AP3" s="81"/>
      <c r="AQ3" s="81"/>
      <c r="AR3" s="81"/>
      <c r="AS3" s="81"/>
      <c r="AT3" s="81"/>
      <c r="AU3" s="81"/>
      <c r="AV3" s="64" t="s">
        <v>5</v>
      </c>
      <c r="AW3" s="64" t="s">
        <v>6</v>
      </c>
      <c r="AX3" s="64" t="s">
        <v>7</v>
      </c>
      <c r="AY3" s="64" t="s">
        <v>7</v>
      </c>
      <c r="AZ3" s="64" t="s">
        <v>7</v>
      </c>
      <c r="BA3" s="64"/>
      <c r="BB3" s="64"/>
      <c r="BC3" s="64"/>
      <c r="BD3" s="64"/>
      <c r="BE3" s="64">
        <v>20</v>
      </c>
      <c r="BF3" s="79"/>
      <c r="BG3" s="79"/>
      <c r="BH3" s="79"/>
      <c r="BI3" s="79"/>
      <c r="BJ3" s="79"/>
      <c r="BK3" s="79"/>
      <c r="BL3" s="59"/>
    </row>
    <row r="4" spans="1:64" ht="116" x14ac:dyDescent="0.35">
      <c r="A4" s="14" t="s">
        <v>8</v>
      </c>
      <c r="B4" s="14" t="s">
        <v>9</v>
      </c>
      <c r="C4" s="14" t="s">
        <v>10</v>
      </c>
      <c r="D4" s="75" t="s">
        <v>11</v>
      </c>
      <c r="E4" s="14" t="s">
        <v>12</v>
      </c>
      <c r="F4" s="14" t="s">
        <v>13</v>
      </c>
      <c r="G4" s="14" t="s">
        <v>14</v>
      </c>
      <c r="H4" s="14" t="s">
        <v>15</v>
      </c>
      <c r="I4" s="14" t="s">
        <v>16</v>
      </c>
      <c r="J4" s="14" t="s">
        <v>17</v>
      </c>
      <c r="K4" s="14" t="s">
        <v>18</v>
      </c>
      <c r="L4" s="14" t="s">
        <v>19</v>
      </c>
      <c r="M4" s="14" t="s">
        <v>20</v>
      </c>
      <c r="N4" s="14" t="s">
        <v>21</v>
      </c>
      <c r="O4" s="14" t="s">
        <v>22</v>
      </c>
      <c r="P4" s="14" t="s">
        <v>23</v>
      </c>
      <c r="Q4" s="15" t="s">
        <v>24</v>
      </c>
      <c r="R4" s="15" t="s">
        <v>25</v>
      </c>
      <c r="S4" s="15" t="s">
        <v>26</v>
      </c>
      <c r="T4" s="15" t="s">
        <v>27</v>
      </c>
      <c r="U4" s="14" t="s">
        <v>28</v>
      </c>
      <c r="V4" s="14" t="s">
        <v>29</v>
      </c>
      <c r="W4" s="14" t="s">
        <v>30</v>
      </c>
      <c r="X4" s="14" t="s">
        <v>28</v>
      </c>
      <c r="Y4" s="14" t="s">
        <v>29</v>
      </c>
      <c r="Z4" s="14" t="s">
        <v>30</v>
      </c>
      <c r="AA4" s="15" t="s">
        <v>24</v>
      </c>
      <c r="AB4" s="15" t="s">
        <v>25</v>
      </c>
      <c r="AC4" s="15" t="s">
        <v>26</v>
      </c>
      <c r="AD4" s="15" t="s">
        <v>27</v>
      </c>
      <c r="AE4" s="14" t="s">
        <v>2</v>
      </c>
      <c r="AF4" s="15" t="s">
        <v>24</v>
      </c>
      <c r="AG4" s="15" t="s">
        <v>25</v>
      </c>
      <c r="AH4" s="15" t="s">
        <v>26</v>
      </c>
      <c r="AI4" s="15" t="s">
        <v>27</v>
      </c>
      <c r="AJ4" s="16" t="str">
        <f ca="1">IFERROR(__xludf.DUMMYFUNCTION("""COMPUTED_VALUE"""),"SR")</f>
        <v>SR</v>
      </c>
      <c r="AK4" s="16" t="str">
        <f ca="1">IFERROR(__xludf.DUMMYFUNCTION("""COMPUTED_VALUE"""),"VS")</f>
        <v>VS</v>
      </c>
      <c r="AL4" s="16" t="str">
        <f ca="1">IFERROR(__xludf.DUMMYFUNCTION("""COMPUTED_VALUE"""),"TCR")</f>
        <v>TCR</v>
      </c>
      <c r="AM4" s="16" t="str">
        <f ca="1">IFERROR(__xludf.DUMMYFUNCTION("""COMPUTED_VALUE"""),"CASHSHOTER")</f>
        <v>CASHSHOTER</v>
      </c>
      <c r="AN4" s="16" t="str">
        <f ca="1">IFERROR(__xludf.DUMMYFUNCTION("""COMPUTED_VALUE"""),"EDC")</f>
        <v>EDC</v>
      </c>
      <c r="AO4" s="16" t="str">
        <f ca="1">IFERROR(__xludf.DUMMYFUNCTION("""COMPUTED_VALUE"""),"UPS")</f>
        <v>UPS</v>
      </c>
      <c r="AP4" s="16" t="str">
        <f ca="1">IFERROR(__xludf.DUMMYFUNCTION("""COMPUTED_VALUE"""),"POS")</f>
        <v>POS</v>
      </c>
      <c r="AQ4" s="16" t="str">
        <f ca="1">IFERROR(__xludf.DUMMYFUNCTION("""COMPUTED_VALUE"""),"MOBILE APP")</f>
        <v>MOBILE APP</v>
      </c>
      <c r="AR4" s="17" t="s">
        <v>24</v>
      </c>
      <c r="AS4" s="17" t="s">
        <v>25</v>
      </c>
      <c r="AT4" s="17" t="s">
        <v>26</v>
      </c>
      <c r="AU4" s="17" t="s">
        <v>27</v>
      </c>
      <c r="AV4" s="14" t="s">
        <v>31</v>
      </c>
      <c r="AW4" s="14" t="s">
        <v>32</v>
      </c>
      <c r="AX4" s="14" t="s">
        <v>33</v>
      </c>
      <c r="AY4" s="14" t="s">
        <v>34</v>
      </c>
      <c r="AZ4" s="14" t="s">
        <v>35</v>
      </c>
      <c r="BA4" s="14" t="s">
        <v>902</v>
      </c>
      <c r="BB4" s="15" t="s">
        <v>24</v>
      </c>
      <c r="BC4" s="15" t="s">
        <v>25</v>
      </c>
      <c r="BD4" s="15" t="s">
        <v>26</v>
      </c>
      <c r="BE4" s="15" t="s">
        <v>27</v>
      </c>
      <c r="BF4" s="18" t="s">
        <v>36</v>
      </c>
      <c r="BG4" s="18" t="s">
        <v>37</v>
      </c>
      <c r="BH4" s="18" t="s">
        <v>38</v>
      </c>
      <c r="BI4" s="18" t="s">
        <v>854</v>
      </c>
      <c r="BJ4" s="18" t="s">
        <v>39</v>
      </c>
      <c r="BK4" s="57" t="s">
        <v>850</v>
      </c>
      <c r="BL4" s="18" t="s">
        <v>863</v>
      </c>
    </row>
    <row r="5" spans="1:64" x14ac:dyDescent="0.35">
      <c r="A5" s="19">
        <v>1</v>
      </c>
      <c r="B5" s="13" t="s">
        <v>40</v>
      </c>
      <c r="C5" s="20" t="s">
        <v>41</v>
      </c>
      <c r="D5" s="76" t="s">
        <v>42</v>
      </c>
      <c r="E5" s="13" t="s">
        <v>43</v>
      </c>
      <c r="F5" s="13" t="s">
        <v>44</v>
      </c>
      <c r="G5" s="13" t="s">
        <v>45</v>
      </c>
      <c r="H5" s="65">
        <v>42948</v>
      </c>
      <c r="I5" s="21">
        <f ca="1">TODAY()</f>
        <v>45974</v>
      </c>
      <c r="J5" s="13" t="str">
        <f t="shared" ref="J5:J68" ca="1" si="0">DATEDIF(H5,NOW(),"Y") &amp; " Tahun " &amp; DATEDIF(H5,NOW(),"YM") &amp; " Bulan " &amp; DATEDIF(H5,NOW(),"MD") &amp; " Hari "</f>
        <v xml:space="preserve">8 Tahun 3 Bulan 12 Hari </v>
      </c>
      <c r="K5" s="13">
        <f ca="1">1440*(I5-H5)</f>
        <v>4357440</v>
      </c>
      <c r="L5" s="13">
        <v>1384</v>
      </c>
      <c r="M5" s="13">
        <v>22</v>
      </c>
      <c r="N5" s="13">
        <v>6775</v>
      </c>
      <c r="O5" s="22">
        <f t="shared" ref="O5:O68" si="1">N5/M5</f>
        <v>307.95454545454544</v>
      </c>
      <c r="P5" s="13">
        <v>619</v>
      </c>
      <c r="Q5" s="23">
        <f t="shared" ref="Q5:Q68" si="2">IF(R5=5, 1, IF(R5=4, 0.8, IF(R5=3, 0.6, IF(R5=2, 0.4, IF(R5=1, 0.2, 0)))))</f>
        <v>1</v>
      </c>
      <c r="R5" s="24">
        <f t="shared" ref="R5:R68" si="3">IF(S5&gt;=100%, 5, IF(S5&gt;=80%, 4, IF(S5&gt;=60%, 3, IF(S5&gt;=40%, 2, IF(S5&gt;=0%, 1, "")))))</f>
        <v>5</v>
      </c>
      <c r="S5" s="25">
        <f t="shared" ref="S5:S19" si="4">P5/O5</f>
        <v>2.0100369003690037</v>
      </c>
      <c r="T5" s="25">
        <f t="shared" ref="T5:T68" si="5">20%*S5</f>
        <v>0.40200738007380077</v>
      </c>
      <c r="U5" s="26">
        <v>6524.6932035246564</v>
      </c>
      <c r="V5" s="26">
        <v>1.2430555555555556E-2</v>
      </c>
      <c r="W5" s="26">
        <v>0</v>
      </c>
      <c r="X5" s="27">
        <f>IF(U5=TIME(0,0,0), 0, IF(U5&lt;=TIME(1,30,0), 1, 0))</f>
        <v>0</v>
      </c>
      <c r="Y5" s="27">
        <f t="shared" ref="Y5:Y17" si="6">IF(V5=TIME(0,0,0), 0, IF(V5&lt;=TIME(3,0,0), 1, 0))</f>
        <v>1</v>
      </c>
      <c r="Z5" s="27">
        <f t="shared" ref="Z5:Z33" si="7">IF(W5=TIME(0,0,0),0, IF(W5&gt;=TIME(24,0,0), 1, 0))</f>
        <v>0</v>
      </c>
      <c r="AA5" s="23">
        <f t="shared" ref="AA5:AA15" si="8">IF(AB5=3, 1.25, IF(AB5=2, 0.8, IF(AB5=1, 0.4, IF(AB5=0, 0, 0))))</f>
        <v>0.4</v>
      </c>
      <c r="AB5" s="24">
        <f t="shared" ref="AB5:AB36" si="9">X5+Y5+Z5</f>
        <v>1</v>
      </c>
      <c r="AC5" s="28">
        <f t="shared" ref="AC5:AC68" si="10">AB5/3</f>
        <v>0.33333333333333331</v>
      </c>
      <c r="AD5" s="29">
        <f t="shared" ref="AD5:AD68" si="11">25%*AC5</f>
        <v>8.3333333333333329E-2</v>
      </c>
      <c r="AE5" s="30">
        <v>3.3242877492877493E-2</v>
      </c>
      <c r="AF5" s="23">
        <f t="shared" ref="AF5:AF68" si="12">IF(AG5=5, 1.25, IF(AG5=4, 1, IF(AG5=3, 0.75, IF(AG5=2, 0.5, IF(AG5=1, 0.25, 0)))))</f>
        <v>1.25</v>
      </c>
      <c r="AG5" s="24">
        <f t="shared" ref="AG5:AG36" si="13">IF(AE5="",0,IF(AE5&lt;=TIME(1,0,0),5,IF(AE5&lt;=TIME(2,0,0),4,IF(AE5&lt;=TIME(3,0,0),3,IF(AE5&lt;=TIME(4,0,0),2,IF(AE5&lt;TIME(8,0,0),1,0))))))</f>
        <v>5</v>
      </c>
      <c r="AH5" s="28">
        <f t="shared" ref="AH5:AH68" si="14">IF(AE5=TIME(0,0,0),0%,AG5/5)</f>
        <v>1</v>
      </c>
      <c r="AI5" s="29">
        <f t="shared" ref="AI5:AI68" si="15">25%*AH5</f>
        <v>0.25</v>
      </c>
      <c r="AJ5" s="31">
        <v>1</v>
      </c>
      <c r="AK5" s="31">
        <v>1</v>
      </c>
      <c r="AL5" s="31">
        <v>1</v>
      </c>
      <c r="AM5" s="31">
        <v>0</v>
      </c>
      <c r="AN5" s="31">
        <v>0</v>
      </c>
      <c r="AO5" s="31">
        <v>0</v>
      </c>
      <c r="AP5" s="31">
        <v>0</v>
      </c>
      <c r="AQ5" s="31">
        <v>0</v>
      </c>
      <c r="AR5" s="23">
        <f t="shared" ref="AR5:AR68" si="16">IF(AS5&gt;=5, 1, IF(AS5=4, 0.8, IF(AS5=3, 0.6, IF(AS5=2, 0.4, IF(AS5=1, 0.2, 0)))))</f>
        <v>0.6</v>
      </c>
      <c r="AS5" s="24">
        <f t="shared" ref="AS5:AS68" si="17">SUM(AJ5:AQ5)</f>
        <v>3</v>
      </c>
      <c r="AT5" s="28">
        <f t="shared" ref="AT5:AT68" si="18">AS5/8</f>
        <v>0.375</v>
      </c>
      <c r="AU5" s="28">
        <f t="shared" ref="AU5:AU68" si="19">15%*AT5</f>
        <v>5.6249999999999994E-2</v>
      </c>
      <c r="AV5" s="32">
        <v>80</v>
      </c>
      <c r="AW5" s="32">
        <v>85</v>
      </c>
      <c r="AX5" s="32">
        <v>90</v>
      </c>
      <c r="AY5" s="32">
        <v>85</v>
      </c>
      <c r="AZ5" s="32">
        <v>85</v>
      </c>
      <c r="BA5" s="32">
        <v>100</v>
      </c>
      <c r="BB5" s="23">
        <f t="shared" ref="BB5:BB68" ca="1" si="20">IF(BI5&gt;="Sangat Baik", 1, IF(BI5&gt;="Baik", 0.8, IF(BI5&gt;="Cukup", 0.6, IF(BI5&gt;="Kurang", 0.4, IF(BI5&gt;="Sangat Kurang", 0.2, 0)))))</f>
        <v>1</v>
      </c>
      <c r="BC5" s="33">
        <f>AVERAGE(AV5:BA5)</f>
        <v>87.5</v>
      </c>
      <c r="BD5" s="28">
        <f t="shared" ref="BD5:BD68" si="21">100%-(5/BC5)</f>
        <v>0.94285714285714284</v>
      </c>
      <c r="BE5" s="28">
        <f t="shared" ref="BE5:BE68" si="22">20%*BD5</f>
        <v>0.18857142857142858</v>
      </c>
      <c r="BF5" s="34">
        <f ca="1">Q5+AA5+AF5+AR5+BB5</f>
        <v>4.25</v>
      </c>
      <c r="BG5" s="34">
        <f>AVERAGE(AV5:AZ5)</f>
        <v>85</v>
      </c>
      <c r="BH5" s="35">
        <f>T5+AD5+AI5+AU5+BE5</f>
        <v>0.98016214197856277</v>
      </c>
      <c r="BI5" s="36" t="str">
        <f ca="1">IF(K5&lt;365,"New CE",(IF(BH5&gt;=100%,"Promote",IF(BH5&gt;=90%,"Sangat Baik",IF(BH5&gt;=80%,"Baik",IF(BH5&gt;=70%,"Lebih Dari Cukup",IF(BH5&gt;=60%,"Cukup","Kurang")))))))</f>
        <v>Sangat Baik</v>
      </c>
      <c r="BJ5" s="36" t="s">
        <v>860</v>
      </c>
      <c r="BK5" s="58" t="s">
        <v>42</v>
      </c>
      <c r="BL5" s="59" t="e" cm="1">
        <f t="array" ref="BL5:BL349">VLOOKUP(B5:B349,'[2]Cuti diambil'!$B$3:$B$120,1,0)</f>
        <v>#N/A</v>
      </c>
    </row>
    <row r="6" spans="1:64" x14ac:dyDescent="0.35">
      <c r="A6" s="19">
        <v>2</v>
      </c>
      <c r="B6" s="13" t="s">
        <v>46</v>
      </c>
      <c r="C6" s="20" t="s">
        <v>47</v>
      </c>
      <c r="D6" s="76" t="s">
        <v>48</v>
      </c>
      <c r="E6" s="13" t="s">
        <v>49</v>
      </c>
      <c r="F6" s="13" t="s">
        <v>50</v>
      </c>
      <c r="G6" s="13" t="s">
        <v>51</v>
      </c>
      <c r="H6" s="65">
        <v>44466</v>
      </c>
      <c r="I6" s="21">
        <f t="shared" ref="I6:I69" ca="1" si="23">TODAY()</f>
        <v>45974</v>
      </c>
      <c r="J6" s="13" t="str">
        <f t="shared" ca="1" si="0"/>
        <v xml:space="preserve">4 Tahun 1 Bulan 17 Hari </v>
      </c>
      <c r="K6" s="13">
        <f t="shared" ref="K6:K69" ca="1" si="24">1440*(I6-H6)</f>
        <v>2171520</v>
      </c>
      <c r="L6" s="13">
        <v>893</v>
      </c>
      <c r="M6" s="13">
        <v>14</v>
      </c>
      <c r="N6" s="13">
        <v>6172</v>
      </c>
      <c r="O6" s="22">
        <f t="shared" si="1"/>
        <v>440.85714285714283</v>
      </c>
      <c r="P6" s="13">
        <v>749</v>
      </c>
      <c r="Q6" s="23">
        <f t="shared" si="2"/>
        <v>1</v>
      </c>
      <c r="R6" s="24">
        <f t="shared" si="3"/>
        <v>5</v>
      </c>
      <c r="S6" s="25">
        <f t="shared" si="4"/>
        <v>1.6989630589760207</v>
      </c>
      <c r="T6" s="25">
        <f t="shared" si="5"/>
        <v>0.33979261179520415</v>
      </c>
      <c r="U6" s="26">
        <v>35448.482450528143</v>
      </c>
      <c r="V6" s="26">
        <v>45465.602199074077</v>
      </c>
      <c r="W6" s="26">
        <v>45443.787083333336</v>
      </c>
      <c r="X6" s="27">
        <f>IF(U6=TIME(0,0,0), 0, IF(U6&lt;=TIME(1,30,0), 1, 0))</f>
        <v>0</v>
      </c>
      <c r="Y6" s="27">
        <f t="shared" si="6"/>
        <v>0</v>
      </c>
      <c r="Z6" s="27">
        <f t="shared" si="7"/>
        <v>1</v>
      </c>
      <c r="AA6" s="23">
        <f t="shared" si="8"/>
        <v>0.4</v>
      </c>
      <c r="AB6" s="24">
        <f t="shared" si="9"/>
        <v>1</v>
      </c>
      <c r="AC6" s="28">
        <f t="shared" si="10"/>
        <v>0.33333333333333331</v>
      </c>
      <c r="AD6" s="29">
        <f t="shared" si="11"/>
        <v>8.3333333333333329E-2</v>
      </c>
      <c r="AE6" s="30">
        <v>4.0585069444444448E-2</v>
      </c>
      <c r="AF6" s="23">
        <f t="shared" si="12"/>
        <v>1.25</v>
      </c>
      <c r="AG6" s="24">
        <f t="shared" si="13"/>
        <v>5</v>
      </c>
      <c r="AH6" s="28">
        <f t="shared" si="14"/>
        <v>1</v>
      </c>
      <c r="AI6" s="29">
        <f t="shared" si="15"/>
        <v>0.25</v>
      </c>
      <c r="AJ6" s="31">
        <v>1</v>
      </c>
      <c r="AK6" s="31">
        <v>1</v>
      </c>
      <c r="AL6" s="31">
        <v>1</v>
      </c>
      <c r="AM6" s="31">
        <v>1</v>
      </c>
      <c r="AN6" s="31">
        <v>0</v>
      </c>
      <c r="AO6" s="31">
        <v>0</v>
      </c>
      <c r="AP6" s="31">
        <v>1</v>
      </c>
      <c r="AQ6" s="31">
        <v>1</v>
      </c>
      <c r="AR6" s="23">
        <f t="shared" si="16"/>
        <v>1</v>
      </c>
      <c r="AS6" s="24">
        <f t="shared" si="17"/>
        <v>6</v>
      </c>
      <c r="AT6" s="28">
        <f t="shared" si="18"/>
        <v>0.75</v>
      </c>
      <c r="AU6" s="28">
        <f t="shared" si="19"/>
        <v>0.11249999999999999</v>
      </c>
      <c r="AV6" s="32">
        <v>85</v>
      </c>
      <c r="AW6" s="32">
        <v>65</v>
      </c>
      <c r="AX6" s="32">
        <v>85</v>
      </c>
      <c r="AY6" s="32">
        <v>90</v>
      </c>
      <c r="AZ6" s="32">
        <v>90</v>
      </c>
      <c r="BA6" s="32">
        <v>100</v>
      </c>
      <c r="BB6" s="23">
        <f t="shared" ca="1" si="20"/>
        <v>1</v>
      </c>
      <c r="BC6" s="33">
        <f t="shared" ref="BC6:BC69" si="25">AVERAGE(AV6:BA6)</f>
        <v>85.833333333333329</v>
      </c>
      <c r="BD6" s="28">
        <f t="shared" si="21"/>
        <v>0.94174757281553401</v>
      </c>
      <c r="BE6" s="28">
        <f t="shared" si="22"/>
        <v>0.18834951456310681</v>
      </c>
      <c r="BF6" s="34">
        <f ca="1">Q6+AA6+AF6+AR6+BB6</f>
        <v>4.6500000000000004</v>
      </c>
      <c r="BG6" s="34">
        <f>AVERAGE(AV6:AZ6)</f>
        <v>83</v>
      </c>
      <c r="BH6" s="35">
        <f>T6+AD6+AI6+AU6+BE6</f>
        <v>0.97397545969164423</v>
      </c>
      <c r="BI6" s="36" t="str">
        <f ca="1">IF(K6&lt;365,"New CE",(IF(BH6&gt;=100%,"Promote",IF(BH6&gt;=90%,"Sangat Baik",IF(BH6&gt;=80%,"Baik",IF(BH6&gt;=70%,"Lebih Dari Cukup",IF(BH6&gt;=60%,"Cukup","Kurang")))))))</f>
        <v>Sangat Baik</v>
      </c>
      <c r="BJ6" s="36" t="s">
        <v>855</v>
      </c>
      <c r="BK6" s="58" t="s">
        <v>851</v>
      </c>
      <c r="BL6" s="59" t="e">
        <v>#N/A</v>
      </c>
    </row>
    <row r="7" spans="1:64" x14ac:dyDescent="0.35">
      <c r="A7" s="19">
        <v>3</v>
      </c>
      <c r="B7" s="13" t="s">
        <v>52</v>
      </c>
      <c r="C7" s="20" t="s">
        <v>53</v>
      </c>
      <c r="D7" s="76" t="s">
        <v>54</v>
      </c>
      <c r="E7" s="13" t="s">
        <v>43</v>
      </c>
      <c r="F7" s="13" t="s">
        <v>44</v>
      </c>
      <c r="G7" s="13" t="s">
        <v>55</v>
      </c>
      <c r="H7" s="65">
        <v>44795</v>
      </c>
      <c r="I7" s="21">
        <f t="shared" ca="1" si="23"/>
        <v>45974</v>
      </c>
      <c r="J7" s="13" t="str">
        <f t="shared" ca="1" si="0"/>
        <v xml:space="preserve">3 Tahun 2 Bulan 22 Hari </v>
      </c>
      <c r="K7" s="13">
        <f t="shared" ca="1" si="24"/>
        <v>1697760</v>
      </c>
      <c r="L7" s="13">
        <v>1384</v>
      </c>
      <c r="M7" s="13">
        <v>22</v>
      </c>
      <c r="N7" s="13">
        <v>6775</v>
      </c>
      <c r="O7" s="22">
        <f t="shared" si="1"/>
        <v>307.95454545454544</v>
      </c>
      <c r="P7" s="13">
        <v>608</v>
      </c>
      <c r="Q7" s="23">
        <f t="shared" si="2"/>
        <v>1</v>
      </c>
      <c r="R7" s="24">
        <f t="shared" si="3"/>
        <v>5</v>
      </c>
      <c r="S7" s="25">
        <f t="shared" si="4"/>
        <v>1.9743173431734318</v>
      </c>
      <c r="T7" s="25">
        <f t="shared" si="5"/>
        <v>0.39486346863468635</v>
      </c>
      <c r="U7" s="26">
        <v>2756.2573153993644</v>
      </c>
      <c r="V7" s="26">
        <v>0</v>
      </c>
      <c r="W7" s="26">
        <v>1.2210648148148148E-3</v>
      </c>
      <c r="X7" s="27">
        <f>IF(U7=TIME(0,0,0), 0, IF(U7&lt;=TIME(1,30,0), 1, 0))</f>
        <v>0</v>
      </c>
      <c r="Y7" s="27">
        <f t="shared" si="6"/>
        <v>0</v>
      </c>
      <c r="Z7" s="27">
        <f t="shared" si="7"/>
        <v>1</v>
      </c>
      <c r="AA7" s="23">
        <f t="shared" si="8"/>
        <v>0.4</v>
      </c>
      <c r="AB7" s="24">
        <f t="shared" si="9"/>
        <v>1</v>
      </c>
      <c r="AC7" s="28">
        <f t="shared" si="10"/>
        <v>0.33333333333333331</v>
      </c>
      <c r="AD7" s="29">
        <f t="shared" si="11"/>
        <v>8.3333333333333329E-2</v>
      </c>
      <c r="AE7" s="30">
        <v>4.1657363214102849E-2</v>
      </c>
      <c r="AF7" s="23">
        <f t="shared" si="12"/>
        <v>1.25</v>
      </c>
      <c r="AG7" s="24">
        <f t="shared" si="13"/>
        <v>5</v>
      </c>
      <c r="AH7" s="28">
        <f t="shared" si="14"/>
        <v>1</v>
      </c>
      <c r="AI7" s="29">
        <f t="shared" si="15"/>
        <v>0.25</v>
      </c>
      <c r="AJ7" s="31">
        <v>1</v>
      </c>
      <c r="AK7" s="31">
        <v>1</v>
      </c>
      <c r="AL7" s="31">
        <v>1</v>
      </c>
      <c r="AM7" s="31">
        <v>0</v>
      </c>
      <c r="AN7" s="31">
        <v>0</v>
      </c>
      <c r="AO7" s="31">
        <v>0</v>
      </c>
      <c r="AP7" s="31">
        <v>0</v>
      </c>
      <c r="AQ7" s="31">
        <v>0</v>
      </c>
      <c r="AR7" s="23">
        <f t="shared" si="16"/>
        <v>0.6</v>
      </c>
      <c r="AS7" s="24">
        <f t="shared" si="17"/>
        <v>3</v>
      </c>
      <c r="AT7" s="28">
        <f t="shared" si="18"/>
        <v>0.375</v>
      </c>
      <c r="AU7" s="28">
        <f t="shared" si="19"/>
        <v>5.6249999999999994E-2</v>
      </c>
      <c r="AV7" s="32">
        <v>75</v>
      </c>
      <c r="AW7" s="32">
        <v>70</v>
      </c>
      <c r="AX7" s="32">
        <v>80</v>
      </c>
      <c r="AY7" s="32">
        <v>90</v>
      </c>
      <c r="AZ7" s="32">
        <v>90</v>
      </c>
      <c r="BA7" s="32">
        <v>100</v>
      </c>
      <c r="BB7" s="23">
        <f t="shared" ca="1" si="20"/>
        <v>1</v>
      </c>
      <c r="BC7" s="33">
        <f t="shared" si="25"/>
        <v>84.166666666666671</v>
      </c>
      <c r="BD7" s="28">
        <f t="shared" si="21"/>
        <v>0.94059405940594054</v>
      </c>
      <c r="BE7" s="28">
        <f t="shared" si="22"/>
        <v>0.18811881188118812</v>
      </c>
      <c r="BF7" s="34">
        <f ca="1">Q7+AA7+AF7+AR7+BB7</f>
        <v>4.25</v>
      </c>
      <c r="BG7" s="34">
        <f>AVERAGE(AV7:AZ7)</f>
        <v>81</v>
      </c>
      <c r="BH7" s="35">
        <f>T7+AD7+AI7+AU7+BE7</f>
        <v>0.97256561384920781</v>
      </c>
      <c r="BI7" s="36" t="str">
        <f ca="1">IF(K7&lt;365,"New CE",(IF(BH7&gt;=100%,"Promote",IF(BH7&gt;=90%,"Sangat Baik",IF(BH7&gt;=80%,"Baik",IF(BH7&gt;=70%,"Lebih Dari Cukup",IF(BH7&gt;=60%,"Cukup","Kurang")))))))</f>
        <v>Sangat Baik</v>
      </c>
      <c r="BJ7" s="36" t="s">
        <v>855</v>
      </c>
      <c r="BK7" s="58" t="s">
        <v>48</v>
      </c>
      <c r="BL7" s="59" t="e">
        <v>#N/A</v>
      </c>
    </row>
    <row r="8" spans="1:64" x14ac:dyDescent="0.35">
      <c r="A8" s="19">
        <v>4</v>
      </c>
      <c r="B8" s="13" t="s">
        <v>56</v>
      </c>
      <c r="C8" s="20" t="s">
        <v>57</v>
      </c>
      <c r="D8" s="76" t="s">
        <v>48</v>
      </c>
      <c r="E8" s="13" t="s">
        <v>43</v>
      </c>
      <c r="F8" s="13" t="s">
        <v>44</v>
      </c>
      <c r="G8" s="13" t="s">
        <v>45</v>
      </c>
      <c r="H8" s="65">
        <v>43472</v>
      </c>
      <c r="I8" s="21">
        <f t="shared" ca="1" si="23"/>
        <v>45974</v>
      </c>
      <c r="J8" s="13" t="str">
        <f t="shared" ca="1" si="0"/>
        <v xml:space="preserve">6 Tahun 10 Bulan 6 Hari </v>
      </c>
      <c r="K8" s="13">
        <f t="shared" ca="1" si="24"/>
        <v>3602880</v>
      </c>
      <c r="L8" s="13">
        <v>1384</v>
      </c>
      <c r="M8" s="13">
        <v>22</v>
      </c>
      <c r="N8" s="13">
        <v>6775</v>
      </c>
      <c r="O8" s="22">
        <f t="shared" si="1"/>
        <v>307.95454545454544</v>
      </c>
      <c r="P8" s="13">
        <v>489</v>
      </c>
      <c r="Q8" s="23">
        <f t="shared" si="2"/>
        <v>1</v>
      </c>
      <c r="R8" s="24">
        <f t="shared" si="3"/>
        <v>5</v>
      </c>
      <c r="S8" s="25">
        <f t="shared" si="4"/>
        <v>1.5878966789667897</v>
      </c>
      <c r="T8" s="25">
        <f t="shared" si="5"/>
        <v>0.31757933579335795</v>
      </c>
      <c r="U8" s="26">
        <v>2.2081386292834883E-2</v>
      </c>
      <c r="V8" s="26">
        <v>6.9444444444444444E-5</v>
      </c>
      <c r="W8" s="26">
        <v>0</v>
      </c>
      <c r="X8" s="27">
        <f>IF(U8=TIME(0,0,0), 0, IF(U8&lt;=TIME(1,30,0), 1, 0))</f>
        <v>1</v>
      </c>
      <c r="Y8" s="27">
        <f t="shared" si="6"/>
        <v>1</v>
      </c>
      <c r="Z8" s="27">
        <f t="shared" si="7"/>
        <v>0</v>
      </c>
      <c r="AA8" s="23">
        <f t="shared" si="8"/>
        <v>0.8</v>
      </c>
      <c r="AB8" s="24">
        <f t="shared" si="9"/>
        <v>2</v>
      </c>
      <c r="AC8" s="28">
        <f t="shared" si="10"/>
        <v>0.66666666666666663</v>
      </c>
      <c r="AD8" s="29">
        <f t="shared" si="11"/>
        <v>0.16666666666666666</v>
      </c>
      <c r="AE8" s="30">
        <v>4.7419856266149862E-2</v>
      </c>
      <c r="AF8" s="23">
        <f t="shared" si="12"/>
        <v>1</v>
      </c>
      <c r="AG8" s="24">
        <f t="shared" si="13"/>
        <v>4</v>
      </c>
      <c r="AH8" s="28">
        <f t="shared" si="14"/>
        <v>0.8</v>
      </c>
      <c r="AI8" s="29">
        <f t="shared" si="15"/>
        <v>0.2</v>
      </c>
      <c r="AJ8" s="31">
        <v>1</v>
      </c>
      <c r="AK8" s="31">
        <v>1</v>
      </c>
      <c r="AL8" s="31">
        <v>1</v>
      </c>
      <c r="AM8" s="31">
        <v>1</v>
      </c>
      <c r="AN8" s="31">
        <v>0</v>
      </c>
      <c r="AO8" s="31">
        <v>1</v>
      </c>
      <c r="AP8" s="31">
        <v>0</v>
      </c>
      <c r="AQ8" s="31">
        <v>0</v>
      </c>
      <c r="AR8" s="23">
        <f t="shared" si="16"/>
        <v>1</v>
      </c>
      <c r="AS8" s="24">
        <f t="shared" si="17"/>
        <v>5</v>
      </c>
      <c r="AT8" s="28">
        <f t="shared" si="18"/>
        <v>0.625</v>
      </c>
      <c r="AU8" s="28">
        <f t="shared" si="19"/>
        <v>9.375E-2</v>
      </c>
      <c r="AV8" s="32">
        <v>75</v>
      </c>
      <c r="AW8" s="32">
        <v>75</v>
      </c>
      <c r="AX8" s="32">
        <v>80</v>
      </c>
      <c r="AY8" s="32">
        <v>80</v>
      </c>
      <c r="AZ8" s="32">
        <v>80</v>
      </c>
      <c r="BA8" s="32">
        <v>100</v>
      </c>
      <c r="BB8" s="23">
        <f t="shared" ca="1" si="20"/>
        <v>1</v>
      </c>
      <c r="BC8" s="33">
        <f t="shared" si="25"/>
        <v>81.666666666666671</v>
      </c>
      <c r="BD8" s="28">
        <f t="shared" si="21"/>
        <v>0.93877551020408168</v>
      </c>
      <c r="BE8" s="28">
        <f t="shared" si="22"/>
        <v>0.18775510204081636</v>
      </c>
      <c r="BF8" s="34">
        <f ca="1">Q8+AA8+AF8+AR8+BB8</f>
        <v>4.8</v>
      </c>
      <c r="BG8" s="34">
        <f>AVERAGE(AV8:AZ8)</f>
        <v>78</v>
      </c>
      <c r="BH8" s="35">
        <f>T8+AD8+AI8+AU8+BE8</f>
        <v>0.9657511045008409</v>
      </c>
      <c r="BI8" s="36" t="str">
        <f ca="1">IF(K8&lt;365,"New CE",(IF(BH8&gt;=100%,"Promote",IF(BH8&gt;=90%,"Sangat Baik",IF(BH8&gt;=80%,"Baik",IF(BH8&gt;=70%,"Lebih Dari Cukup",IF(BH8&gt;=60%,"Cukup","Kurang")))))))</f>
        <v>Sangat Baik</v>
      </c>
      <c r="BJ8" s="36" t="s">
        <v>855</v>
      </c>
      <c r="BK8" s="58" t="s">
        <v>851</v>
      </c>
      <c r="BL8" s="59" t="e">
        <v>#N/A</v>
      </c>
    </row>
    <row r="9" spans="1:64" x14ac:dyDescent="0.35">
      <c r="A9" s="19">
        <v>5</v>
      </c>
      <c r="B9" s="13" t="s">
        <v>58</v>
      </c>
      <c r="C9" s="20" t="s">
        <v>59</v>
      </c>
      <c r="D9" s="76" t="s">
        <v>54</v>
      </c>
      <c r="E9" s="13" t="s">
        <v>60</v>
      </c>
      <c r="F9" s="13" t="s">
        <v>50</v>
      </c>
      <c r="G9" s="13" t="s">
        <v>61</v>
      </c>
      <c r="H9" s="65">
        <v>45131</v>
      </c>
      <c r="I9" s="21">
        <f t="shared" ca="1" si="23"/>
        <v>45974</v>
      </c>
      <c r="J9" s="13" t="str">
        <f t="shared" ca="1" si="0"/>
        <v xml:space="preserve">2 Tahun 3 Bulan 20 Hari </v>
      </c>
      <c r="K9" s="13">
        <f t="shared" ca="1" si="24"/>
        <v>1213920</v>
      </c>
      <c r="L9" s="13">
        <v>25</v>
      </c>
      <c r="M9" s="13">
        <v>1</v>
      </c>
      <c r="N9" s="13">
        <v>202</v>
      </c>
      <c r="O9" s="22">
        <f t="shared" si="1"/>
        <v>202</v>
      </c>
      <c r="P9" s="13">
        <v>235</v>
      </c>
      <c r="Q9" s="23">
        <f t="shared" si="2"/>
        <v>1</v>
      </c>
      <c r="R9" s="24">
        <f t="shared" si="3"/>
        <v>5</v>
      </c>
      <c r="S9" s="25">
        <f t="shared" si="4"/>
        <v>1.1633663366336633</v>
      </c>
      <c r="T9" s="25">
        <f t="shared" si="5"/>
        <v>0.23267326732673266</v>
      </c>
      <c r="U9" s="26">
        <v>6.0416666666666667E-2</v>
      </c>
      <c r="V9" s="26">
        <v>6.850694444444444E-2</v>
      </c>
      <c r="W9" s="26">
        <v>2527.6854951131681</v>
      </c>
      <c r="X9" s="27">
        <f>IF(U9=TIME(0,0,0), 0, IF(U9&lt;=TIME(1,30,0), 1, 0))</f>
        <v>1</v>
      </c>
      <c r="Y9" s="27">
        <f t="shared" si="6"/>
        <v>1</v>
      </c>
      <c r="Z9" s="27">
        <f t="shared" si="7"/>
        <v>1</v>
      </c>
      <c r="AA9" s="23">
        <f t="shared" si="8"/>
        <v>1.25</v>
      </c>
      <c r="AB9" s="24">
        <f t="shared" si="9"/>
        <v>3</v>
      </c>
      <c r="AC9" s="28">
        <f t="shared" si="10"/>
        <v>1</v>
      </c>
      <c r="AD9" s="29">
        <f t="shared" si="11"/>
        <v>0.25</v>
      </c>
      <c r="AE9" s="30">
        <v>6.5990425084175075E-2</v>
      </c>
      <c r="AF9" s="23">
        <f t="shared" si="12"/>
        <v>1</v>
      </c>
      <c r="AG9" s="24">
        <f t="shared" si="13"/>
        <v>4</v>
      </c>
      <c r="AH9" s="28">
        <f t="shared" si="14"/>
        <v>0.8</v>
      </c>
      <c r="AI9" s="29">
        <f t="shared" si="15"/>
        <v>0.2</v>
      </c>
      <c r="AJ9" s="31">
        <v>1</v>
      </c>
      <c r="AK9" s="31">
        <v>1</v>
      </c>
      <c r="AL9" s="31">
        <v>1</v>
      </c>
      <c r="AM9" s="31">
        <v>0</v>
      </c>
      <c r="AN9" s="31">
        <v>1</v>
      </c>
      <c r="AO9" s="31">
        <v>1</v>
      </c>
      <c r="AP9" s="31">
        <v>0</v>
      </c>
      <c r="AQ9" s="31">
        <v>0</v>
      </c>
      <c r="AR9" s="23">
        <f t="shared" si="16"/>
        <v>1</v>
      </c>
      <c r="AS9" s="24">
        <f t="shared" si="17"/>
        <v>5</v>
      </c>
      <c r="AT9" s="28">
        <f t="shared" si="18"/>
        <v>0.625</v>
      </c>
      <c r="AU9" s="28">
        <f t="shared" si="19"/>
        <v>9.375E-2</v>
      </c>
      <c r="AV9" s="32">
        <v>75</v>
      </c>
      <c r="AW9" s="32">
        <v>75</v>
      </c>
      <c r="AX9" s="32">
        <v>90</v>
      </c>
      <c r="AY9" s="32">
        <v>85</v>
      </c>
      <c r="AZ9" s="32">
        <v>80</v>
      </c>
      <c r="BA9" s="32">
        <v>100</v>
      </c>
      <c r="BB9" s="23">
        <f t="shared" ca="1" si="20"/>
        <v>1</v>
      </c>
      <c r="BC9" s="33">
        <f t="shared" si="25"/>
        <v>84.166666666666671</v>
      </c>
      <c r="BD9" s="28">
        <f t="shared" si="21"/>
        <v>0.94059405940594054</v>
      </c>
      <c r="BE9" s="28">
        <f t="shared" si="22"/>
        <v>0.18811881188118812</v>
      </c>
      <c r="BF9" s="34">
        <f ca="1">Q9+AA9+AF9+AR9+BB9</f>
        <v>5.25</v>
      </c>
      <c r="BG9" s="34">
        <f>AVERAGE(AV9:AZ9)</f>
        <v>81</v>
      </c>
      <c r="BH9" s="35">
        <f>T9+AD9+AI9+AU9+BE9</f>
        <v>0.96454207920792068</v>
      </c>
      <c r="BI9" s="36" t="str">
        <f ca="1">IF(K9&lt;365,"New CE",(IF(BH9&gt;=100%,"Promote",IF(BH9&gt;=90%,"Sangat Baik",IF(BH9&gt;=80%,"Baik",IF(BH9&gt;=70%,"Lebih Dari Cukup",IF(BH9&gt;=60%,"Cukup","Kurang")))))))</f>
        <v>Sangat Baik</v>
      </c>
      <c r="BJ9" s="36" t="s">
        <v>855</v>
      </c>
      <c r="BK9" s="58" t="s">
        <v>48</v>
      </c>
      <c r="BL9" s="59" t="e">
        <v>#N/A</v>
      </c>
    </row>
    <row r="10" spans="1:64" x14ac:dyDescent="0.35">
      <c r="A10" s="19">
        <v>6</v>
      </c>
      <c r="B10" s="13" t="s">
        <v>62</v>
      </c>
      <c r="C10" s="20" t="s">
        <v>63</v>
      </c>
      <c r="D10" s="76" t="s">
        <v>42</v>
      </c>
      <c r="E10" s="13" t="s">
        <v>64</v>
      </c>
      <c r="F10" s="13" t="s">
        <v>44</v>
      </c>
      <c r="G10" s="13" t="s">
        <v>55</v>
      </c>
      <c r="H10" s="65">
        <v>43418</v>
      </c>
      <c r="I10" s="21">
        <f t="shared" ca="1" si="23"/>
        <v>45974</v>
      </c>
      <c r="J10" s="13" t="str">
        <f t="shared" ca="1" si="0"/>
        <v xml:space="preserve">6 Tahun 11 Bulan 30 Hari </v>
      </c>
      <c r="K10" s="13">
        <f t="shared" ca="1" si="24"/>
        <v>3680640</v>
      </c>
      <c r="L10" s="13">
        <v>872</v>
      </c>
      <c r="M10" s="13">
        <v>15</v>
      </c>
      <c r="N10" s="13">
        <v>5975</v>
      </c>
      <c r="O10" s="22">
        <f t="shared" si="1"/>
        <v>398.33333333333331</v>
      </c>
      <c r="P10" s="13">
        <v>454</v>
      </c>
      <c r="Q10" s="23">
        <f t="shared" si="2"/>
        <v>1</v>
      </c>
      <c r="R10" s="24">
        <f t="shared" si="3"/>
        <v>5</v>
      </c>
      <c r="S10" s="25">
        <f t="shared" si="4"/>
        <v>1.1397489539748955</v>
      </c>
      <c r="T10" s="25">
        <f t="shared" si="5"/>
        <v>0.22794979079497912</v>
      </c>
      <c r="U10" s="26">
        <v>8654.0686829438509</v>
      </c>
      <c r="V10" s="26">
        <v>9.2592592592592588E-5</v>
      </c>
      <c r="W10" s="26">
        <v>0</v>
      </c>
      <c r="X10" s="27">
        <v>1</v>
      </c>
      <c r="Y10" s="27">
        <f t="shared" si="6"/>
        <v>1</v>
      </c>
      <c r="Z10" s="27">
        <f t="shared" si="7"/>
        <v>0</v>
      </c>
      <c r="AA10" s="23">
        <f t="shared" si="8"/>
        <v>0.8</v>
      </c>
      <c r="AB10" s="24">
        <f t="shared" si="9"/>
        <v>2</v>
      </c>
      <c r="AC10" s="28">
        <f t="shared" si="10"/>
        <v>0.66666666666666663</v>
      </c>
      <c r="AD10" s="29">
        <f t="shared" si="11"/>
        <v>0.16666666666666666</v>
      </c>
      <c r="AE10" s="30">
        <v>2.8150568181818179E-2</v>
      </c>
      <c r="AF10" s="23">
        <f t="shared" si="12"/>
        <v>1.25</v>
      </c>
      <c r="AG10" s="24">
        <f t="shared" si="13"/>
        <v>5</v>
      </c>
      <c r="AH10" s="28">
        <f t="shared" si="14"/>
        <v>1</v>
      </c>
      <c r="AI10" s="29">
        <f t="shared" si="15"/>
        <v>0.25</v>
      </c>
      <c r="AJ10" s="31">
        <v>1</v>
      </c>
      <c r="AK10" s="31">
        <v>1</v>
      </c>
      <c r="AL10" s="31">
        <v>1</v>
      </c>
      <c r="AM10" s="31">
        <v>0</v>
      </c>
      <c r="AN10" s="31">
        <v>1</v>
      </c>
      <c r="AO10" s="31">
        <v>1</v>
      </c>
      <c r="AP10" s="31">
        <v>1</v>
      </c>
      <c r="AQ10" s="31">
        <v>1</v>
      </c>
      <c r="AR10" s="23">
        <f t="shared" si="16"/>
        <v>1</v>
      </c>
      <c r="AS10" s="24">
        <f t="shared" si="17"/>
        <v>7</v>
      </c>
      <c r="AT10" s="28">
        <f t="shared" si="18"/>
        <v>0.875</v>
      </c>
      <c r="AU10" s="28">
        <f t="shared" si="19"/>
        <v>0.13125000000000001</v>
      </c>
      <c r="AV10" s="32">
        <v>80</v>
      </c>
      <c r="AW10" s="32">
        <v>75</v>
      </c>
      <c r="AX10" s="32">
        <v>85</v>
      </c>
      <c r="AY10" s="32">
        <v>85</v>
      </c>
      <c r="AZ10" s="32">
        <v>85</v>
      </c>
      <c r="BA10" s="32">
        <v>100</v>
      </c>
      <c r="BB10" s="23">
        <f t="shared" ca="1" si="20"/>
        <v>1</v>
      </c>
      <c r="BC10" s="33">
        <f t="shared" si="25"/>
        <v>85</v>
      </c>
      <c r="BD10" s="28">
        <f t="shared" si="21"/>
        <v>0.94117647058823528</v>
      </c>
      <c r="BE10" s="28">
        <f t="shared" si="22"/>
        <v>0.18823529411764706</v>
      </c>
      <c r="BF10" s="34">
        <f ca="1">Q10+AA10+AF10+AR10+BB10</f>
        <v>5.05</v>
      </c>
      <c r="BG10" s="34">
        <f>AVERAGE(AV10:AZ10)</f>
        <v>82</v>
      </c>
      <c r="BH10" s="35">
        <f>T10+AD10+AI10+AU10+BE10</f>
        <v>0.96410175157929279</v>
      </c>
      <c r="BI10" s="36" t="str">
        <f ca="1">IF(K10&lt;365,"New CE",(IF(BH10&gt;=100%,"Promote",IF(BH10&gt;=90%,"Sangat Baik",IF(BH10&gt;=80%,"Baik",IF(BH10&gt;=70%,"Lebih Dari Cukup",IF(BH10&gt;=60%,"Cukup","Kurang")))))))</f>
        <v>Sangat Baik</v>
      </c>
      <c r="BJ10" s="36" t="s">
        <v>860</v>
      </c>
      <c r="BK10" s="58" t="s">
        <v>42</v>
      </c>
      <c r="BL10" s="59" t="e">
        <v>#N/A</v>
      </c>
    </row>
    <row r="11" spans="1:64" x14ac:dyDescent="0.35">
      <c r="A11" s="19">
        <v>7</v>
      </c>
      <c r="B11" s="13" t="s">
        <v>65</v>
      </c>
      <c r="C11" s="20" t="s">
        <v>66</v>
      </c>
      <c r="D11" s="76" t="s">
        <v>48</v>
      </c>
      <c r="E11" s="13" t="s">
        <v>67</v>
      </c>
      <c r="F11" s="13" t="s">
        <v>44</v>
      </c>
      <c r="G11" s="13" t="s">
        <v>51</v>
      </c>
      <c r="H11" s="65">
        <v>44746</v>
      </c>
      <c r="I11" s="21">
        <f t="shared" ca="1" si="23"/>
        <v>45974</v>
      </c>
      <c r="J11" s="13" t="str">
        <f t="shared" ca="1" si="0"/>
        <v xml:space="preserve">3 Tahun 4 Bulan 9 Hari </v>
      </c>
      <c r="K11" s="13">
        <f t="shared" ca="1" si="24"/>
        <v>1768320</v>
      </c>
      <c r="L11" s="13">
        <v>625</v>
      </c>
      <c r="M11" s="13">
        <v>10</v>
      </c>
      <c r="N11" s="13">
        <v>4149</v>
      </c>
      <c r="O11" s="22">
        <f t="shared" si="1"/>
        <v>414.9</v>
      </c>
      <c r="P11" s="13">
        <v>375</v>
      </c>
      <c r="Q11" s="23">
        <f t="shared" si="2"/>
        <v>0.8</v>
      </c>
      <c r="R11" s="24">
        <f t="shared" si="3"/>
        <v>4</v>
      </c>
      <c r="S11" s="25">
        <f t="shared" si="4"/>
        <v>0.90383224873463486</v>
      </c>
      <c r="T11" s="25">
        <f t="shared" si="5"/>
        <v>0.18076644974692699</v>
      </c>
      <c r="U11" s="26">
        <v>4.8116681134259258E-2</v>
      </c>
      <c r="V11" s="26">
        <v>8.4842923280423282E-2</v>
      </c>
      <c r="W11" s="26">
        <v>0.10890914351851852</v>
      </c>
      <c r="X11" s="27">
        <f t="shared" ref="X11:X17" si="26">IF(U11=TIME(0,0,0), 0, IF(U11&lt;=TIME(1,30,0), 1, 0))</f>
        <v>1</v>
      </c>
      <c r="Y11" s="27">
        <f t="shared" si="6"/>
        <v>1</v>
      </c>
      <c r="Z11" s="27">
        <f t="shared" si="7"/>
        <v>1</v>
      </c>
      <c r="AA11" s="23">
        <f t="shared" si="8"/>
        <v>1.25</v>
      </c>
      <c r="AB11" s="24">
        <f t="shared" si="9"/>
        <v>3</v>
      </c>
      <c r="AC11" s="28">
        <f t="shared" si="10"/>
        <v>1</v>
      </c>
      <c r="AD11" s="29">
        <f t="shared" si="11"/>
        <v>0.25</v>
      </c>
      <c r="AE11" s="30">
        <v>3.0275797095458558E-2</v>
      </c>
      <c r="AF11" s="23">
        <f t="shared" si="12"/>
        <v>1.25</v>
      </c>
      <c r="AG11" s="24">
        <f t="shared" si="13"/>
        <v>5</v>
      </c>
      <c r="AH11" s="28">
        <f t="shared" si="14"/>
        <v>1</v>
      </c>
      <c r="AI11" s="29">
        <f t="shared" si="15"/>
        <v>0.25</v>
      </c>
      <c r="AJ11" s="31">
        <v>1</v>
      </c>
      <c r="AK11" s="31">
        <v>1</v>
      </c>
      <c r="AL11" s="31">
        <v>1</v>
      </c>
      <c r="AM11" s="31">
        <v>0</v>
      </c>
      <c r="AN11" s="31">
        <v>0</v>
      </c>
      <c r="AO11" s="31">
        <v>1</v>
      </c>
      <c r="AP11" s="31">
        <v>0</v>
      </c>
      <c r="AQ11" s="31">
        <v>1</v>
      </c>
      <c r="AR11" s="23">
        <f t="shared" si="16"/>
        <v>1</v>
      </c>
      <c r="AS11" s="24">
        <f t="shared" si="17"/>
        <v>5</v>
      </c>
      <c r="AT11" s="28">
        <f t="shared" si="18"/>
        <v>0.625</v>
      </c>
      <c r="AU11" s="28">
        <f t="shared" si="19"/>
        <v>9.375E-2</v>
      </c>
      <c r="AV11" s="32">
        <v>75</v>
      </c>
      <c r="AW11" s="32">
        <v>75</v>
      </c>
      <c r="AX11" s="32">
        <v>75</v>
      </c>
      <c r="AY11" s="32">
        <v>80</v>
      </c>
      <c r="AZ11" s="32">
        <v>75</v>
      </c>
      <c r="BA11" s="32">
        <v>100</v>
      </c>
      <c r="BB11" s="23">
        <f t="shared" ca="1" si="20"/>
        <v>1</v>
      </c>
      <c r="BC11" s="33">
        <f t="shared" si="25"/>
        <v>80</v>
      </c>
      <c r="BD11" s="28">
        <f t="shared" si="21"/>
        <v>0.9375</v>
      </c>
      <c r="BE11" s="28">
        <f t="shared" si="22"/>
        <v>0.1875</v>
      </c>
      <c r="BF11" s="34">
        <f ca="1">Q11+AA11+AF11+AR11+BB11</f>
        <v>5.3</v>
      </c>
      <c r="BG11" s="34">
        <f>AVERAGE(AV11:AZ11)</f>
        <v>76</v>
      </c>
      <c r="BH11" s="35">
        <f>T11+AD11+AI11+AU11+BE11</f>
        <v>0.96201644974692702</v>
      </c>
      <c r="BI11" s="36" t="str">
        <f ca="1">IF(K11&lt;365,"New CE",(IF(BH11&gt;=100%,"Promote",IF(BH11&gt;=90%,"Sangat Baik",IF(BH11&gt;=80%,"Baik",IF(BH11&gt;=70%,"Lebih Dari Cukup",IF(BH11&gt;=60%,"Cukup","Kurang")))))))</f>
        <v>Sangat Baik</v>
      </c>
      <c r="BJ11" s="36" t="s">
        <v>860</v>
      </c>
      <c r="BK11" s="58" t="s">
        <v>48</v>
      </c>
      <c r="BL11" s="59" t="e">
        <v>#N/A</v>
      </c>
    </row>
    <row r="12" spans="1:64" x14ac:dyDescent="0.35">
      <c r="A12" s="19">
        <v>8</v>
      </c>
      <c r="B12" s="13" t="s">
        <v>68</v>
      </c>
      <c r="C12" s="20" t="s">
        <v>69</v>
      </c>
      <c r="D12" s="76" t="s">
        <v>54</v>
      </c>
      <c r="E12" s="13" t="s">
        <v>70</v>
      </c>
      <c r="F12" s="13" t="s">
        <v>50</v>
      </c>
      <c r="G12" s="13" t="s">
        <v>61</v>
      </c>
      <c r="H12" s="65">
        <v>45231</v>
      </c>
      <c r="I12" s="21">
        <f t="shared" ca="1" si="23"/>
        <v>45974</v>
      </c>
      <c r="J12" s="13" t="str">
        <f t="shared" ca="1" si="0"/>
        <v xml:space="preserve">2 Tahun 0 Bulan 12 Hari </v>
      </c>
      <c r="K12" s="13">
        <f t="shared" ca="1" si="24"/>
        <v>1069920</v>
      </c>
      <c r="L12" s="13">
        <v>329</v>
      </c>
      <c r="M12" s="13">
        <v>6</v>
      </c>
      <c r="N12" s="13">
        <v>1945</v>
      </c>
      <c r="O12" s="22">
        <f t="shared" si="1"/>
        <v>324.16666666666669</v>
      </c>
      <c r="P12" s="13">
        <v>255</v>
      </c>
      <c r="Q12" s="23">
        <f t="shared" si="2"/>
        <v>0.6</v>
      </c>
      <c r="R12" s="24">
        <f t="shared" si="3"/>
        <v>3</v>
      </c>
      <c r="S12" s="25">
        <f t="shared" si="4"/>
        <v>0.78663239074550129</v>
      </c>
      <c r="T12" s="25">
        <f t="shared" si="5"/>
        <v>0.15732647814910028</v>
      </c>
      <c r="U12" s="26">
        <v>2.0667438271604936E-2</v>
      </c>
      <c r="V12" s="26">
        <v>8.1526124338624342E-2</v>
      </c>
      <c r="W12" s="26">
        <v>3.9544753086419755E-2</v>
      </c>
      <c r="X12" s="27">
        <f t="shared" si="26"/>
        <v>1</v>
      </c>
      <c r="Y12" s="27">
        <f t="shared" si="6"/>
        <v>1</v>
      </c>
      <c r="Z12" s="27">
        <f t="shared" si="7"/>
        <v>1</v>
      </c>
      <c r="AA12" s="23">
        <f t="shared" si="8"/>
        <v>1.25</v>
      </c>
      <c r="AB12" s="24">
        <f t="shared" si="9"/>
        <v>3</v>
      </c>
      <c r="AC12" s="28">
        <f t="shared" si="10"/>
        <v>1</v>
      </c>
      <c r="AD12" s="29">
        <f t="shared" si="11"/>
        <v>0.25</v>
      </c>
      <c r="AE12" s="30">
        <v>4.0086862291212777E-2</v>
      </c>
      <c r="AF12" s="23">
        <f t="shared" si="12"/>
        <v>1.25</v>
      </c>
      <c r="AG12" s="24">
        <f t="shared" si="13"/>
        <v>5</v>
      </c>
      <c r="AH12" s="28">
        <f t="shared" si="14"/>
        <v>1</v>
      </c>
      <c r="AI12" s="29">
        <f t="shared" si="15"/>
        <v>0.25</v>
      </c>
      <c r="AJ12" s="31">
        <v>1</v>
      </c>
      <c r="AK12" s="31">
        <v>1</v>
      </c>
      <c r="AL12" s="31">
        <v>1</v>
      </c>
      <c r="AM12" s="31">
        <v>0</v>
      </c>
      <c r="AN12" s="31">
        <v>1</v>
      </c>
      <c r="AO12" s="31">
        <v>1</v>
      </c>
      <c r="AP12" s="31">
        <v>1</v>
      </c>
      <c r="AQ12" s="31">
        <v>0</v>
      </c>
      <c r="AR12" s="23">
        <f t="shared" si="16"/>
        <v>1</v>
      </c>
      <c r="AS12" s="24">
        <f t="shared" si="17"/>
        <v>6</v>
      </c>
      <c r="AT12" s="28">
        <f t="shared" si="18"/>
        <v>0.75</v>
      </c>
      <c r="AU12" s="28">
        <f t="shared" si="19"/>
        <v>0.11249999999999999</v>
      </c>
      <c r="AV12" s="32">
        <v>75</v>
      </c>
      <c r="AW12" s="32">
        <v>75</v>
      </c>
      <c r="AX12" s="32">
        <v>90</v>
      </c>
      <c r="AY12" s="32">
        <v>85</v>
      </c>
      <c r="AZ12" s="32">
        <v>80</v>
      </c>
      <c r="BA12" s="32">
        <v>100</v>
      </c>
      <c r="BB12" s="23">
        <f t="shared" ca="1" si="20"/>
        <v>1</v>
      </c>
      <c r="BC12" s="33">
        <f t="shared" si="25"/>
        <v>84.166666666666671</v>
      </c>
      <c r="BD12" s="28">
        <f t="shared" si="21"/>
        <v>0.94059405940594054</v>
      </c>
      <c r="BE12" s="28">
        <f t="shared" si="22"/>
        <v>0.18811881188118812</v>
      </c>
      <c r="BF12" s="34">
        <f ca="1">Q12+AA12+AF12+AR12+BB12</f>
        <v>5.0999999999999996</v>
      </c>
      <c r="BG12" s="34">
        <f>AVERAGE(AV12:AZ12)</f>
        <v>81</v>
      </c>
      <c r="BH12" s="35">
        <f>T12+AD12+AI12+AU12+BE12</f>
        <v>0.95794529003028828</v>
      </c>
      <c r="BI12" s="36" t="str">
        <f ca="1">IF(K12&lt;365,"New CE",(IF(BH12&gt;=100%,"Promote",IF(BH12&gt;=90%,"Sangat Baik",IF(BH12&gt;=80%,"Baik",IF(BH12&gt;=70%,"Lebih Dari Cukup",IF(BH12&gt;=60%,"Cukup","Kurang")))))))</f>
        <v>Sangat Baik</v>
      </c>
      <c r="BJ12" s="36" t="s">
        <v>855</v>
      </c>
      <c r="BK12" s="58" t="s">
        <v>48</v>
      </c>
      <c r="BL12" s="59" t="e">
        <v>#N/A</v>
      </c>
    </row>
    <row r="13" spans="1:64" x14ac:dyDescent="0.35">
      <c r="A13" s="19">
        <v>9</v>
      </c>
      <c r="B13" s="13" t="s">
        <v>71</v>
      </c>
      <c r="C13" s="20" t="s">
        <v>72</v>
      </c>
      <c r="D13" s="76" t="s">
        <v>54</v>
      </c>
      <c r="E13" s="13" t="s">
        <v>73</v>
      </c>
      <c r="F13" s="13" t="s">
        <v>74</v>
      </c>
      <c r="G13" s="13" t="s">
        <v>75</v>
      </c>
      <c r="H13" s="65">
        <v>45444</v>
      </c>
      <c r="I13" s="21">
        <f t="shared" ca="1" si="23"/>
        <v>45974</v>
      </c>
      <c r="J13" s="13" t="str">
        <f t="shared" ca="1" si="0"/>
        <v xml:space="preserve">1 Tahun 5 Bulan 12 Hari </v>
      </c>
      <c r="K13" s="13">
        <f t="shared" ca="1" si="24"/>
        <v>763200</v>
      </c>
      <c r="L13" s="13">
        <v>52</v>
      </c>
      <c r="M13" s="13">
        <v>2</v>
      </c>
      <c r="N13" s="13">
        <v>350</v>
      </c>
      <c r="O13" s="22">
        <f t="shared" si="1"/>
        <v>175</v>
      </c>
      <c r="P13" s="13">
        <v>151</v>
      </c>
      <c r="Q13" s="23">
        <f t="shared" si="2"/>
        <v>0.8</v>
      </c>
      <c r="R13" s="24">
        <f t="shared" si="3"/>
        <v>4</v>
      </c>
      <c r="S13" s="25">
        <f t="shared" si="4"/>
        <v>0.86285714285714288</v>
      </c>
      <c r="T13" s="25">
        <f t="shared" si="5"/>
        <v>0.1725714285714286</v>
      </c>
      <c r="U13" s="26">
        <v>3.0468750000000001E-3</v>
      </c>
      <c r="V13" s="26">
        <v>2.6562499999999996E-2</v>
      </c>
      <c r="W13" s="26">
        <v>4555.8133240740744</v>
      </c>
      <c r="X13" s="27">
        <f t="shared" si="26"/>
        <v>1</v>
      </c>
      <c r="Y13" s="27">
        <f t="shared" si="6"/>
        <v>1</v>
      </c>
      <c r="Z13" s="27">
        <f t="shared" si="7"/>
        <v>1</v>
      </c>
      <c r="AA13" s="23">
        <f t="shared" si="8"/>
        <v>1.25</v>
      </c>
      <c r="AB13" s="24">
        <f t="shared" si="9"/>
        <v>3</v>
      </c>
      <c r="AC13" s="28">
        <f t="shared" si="10"/>
        <v>1</v>
      </c>
      <c r="AD13" s="29">
        <f t="shared" si="11"/>
        <v>0.25</v>
      </c>
      <c r="AE13" s="30">
        <v>3.014423076923077E-2</v>
      </c>
      <c r="AF13" s="23">
        <f t="shared" si="12"/>
        <v>1.25</v>
      </c>
      <c r="AG13" s="24">
        <f t="shared" si="13"/>
        <v>5</v>
      </c>
      <c r="AH13" s="28">
        <f t="shared" si="14"/>
        <v>1</v>
      </c>
      <c r="AI13" s="29">
        <f t="shared" si="15"/>
        <v>0.25</v>
      </c>
      <c r="AJ13" s="31">
        <v>1</v>
      </c>
      <c r="AK13" s="31">
        <v>1</v>
      </c>
      <c r="AL13" s="31">
        <v>1</v>
      </c>
      <c r="AM13" s="31">
        <v>0</v>
      </c>
      <c r="AN13" s="31">
        <v>1</v>
      </c>
      <c r="AO13" s="31">
        <v>1</v>
      </c>
      <c r="AP13" s="31">
        <v>0</v>
      </c>
      <c r="AQ13" s="31">
        <v>0</v>
      </c>
      <c r="AR13" s="23">
        <f t="shared" si="16"/>
        <v>1</v>
      </c>
      <c r="AS13" s="24">
        <f t="shared" si="17"/>
        <v>5</v>
      </c>
      <c r="AT13" s="28">
        <f t="shared" si="18"/>
        <v>0.625</v>
      </c>
      <c r="AU13" s="28">
        <f t="shared" si="19"/>
        <v>9.375E-2</v>
      </c>
      <c r="AV13" s="32">
        <v>75</v>
      </c>
      <c r="AW13" s="32">
        <v>75</v>
      </c>
      <c r="AX13" s="32">
        <v>85</v>
      </c>
      <c r="AY13" s="32">
        <v>85</v>
      </c>
      <c r="AZ13" s="32">
        <v>85</v>
      </c>
      <c r="BA13" s="32">
        <v>100</v>
      </c>
      <c r="BB13" s="23">
        <f t="shared" ca="1" si="20"/>
        <v>1</v>
      </c>
      <c r="BC13" s="33">
        <f t="shared" si="25"/>
        <v>84.166666666666671</v>
      </c>
      <c r="BD13" s="28">
        <f t="shared" si="21"/>
        <v>0.94059405940594054</v>
      </c>
      <c r="BE13" s="28">
        <f t="shared" si="22"/>
        <v>0.18811881188118812</v>
      </c>
      <c r="BF13" s="34">
        <f ca="1">Q13+AA13+AF13+AR13+BB13</f>
        <v>5.3</v>
      </c>
      <c r="BG13" s="34">
        <f>AVERAGE(AV13:AZ13)</f>
        <v>81</v>
      </c>
      <c r="BH13" s="35">
        <f>T13+AD13+AI13+AU13+BE13</f>
        <v>0.95444024045261666</v>
      </c>
      <c r="BI13" s="36" t="str">
        <f ca="1">IF(K13&lt;365,"New CE",(IF(BH13&gt;=100%,"Promote",IF(BH13&gt;=90%,"Sangat Baik",IF(BH13&gt;=80%,"Baik",IF(BH13&gt;=70%,"Lebih Dari Cukup",IF(BH13&gt;=60%,"Cukup","Kurang")))))))</f>
        <v>Sangat Baik</v>
      </c>
      <c r="BJ13" s="36" t="s">
        <v>860</v>
      </c>
      <c r="BK13" s="58" t="s">
        <v>54</v>
      </c>
      <c r="BL13" s="59" t="str">
        <v>Ardian Pragusti</v>
      </c>
    </row>
    <row r="14" spans="1:64" x14ac:dyDescent="0.35">
      <c r="A14" s="19">
        <v>10</v>
      </c>
      <c r="B14" s="13" t="s">
        <v>76</v>
      </c>
      <c r="C14" s="20" t="s">
        <v>77</v>
      </c>
      <c r="D14" s="76" t="s">
        <v>54</v>
      </c>
      <c r="E14" s="13" t="s">
        <v>78</v>
      </c>
      <c r="F14" s="13" t="s">
        <v>50</v>
      </c>
      <c r="G14" s="13" t="s">
        <v>61</v>
      </c>
      <c r="H14" s="65">
        <v>45173</v>
      </c>
      <c r="I14" s="21">
        <f t="shared" ca="1" si="23"/>
        <v>45974</v>
      </c>
      <c r="J14" s="13" t="str">
        <f t="shared" ca="1" si="0"/>
        <v xml:space="preserve">2 Tahun 2 Bulan 9 Hari </v>
      </c>
      <c r="K14" s="13">
        <f t="shared" ca="1" si="24"/>
        <v>1153440</v>
      </c>
      <c r="L14" s="13">
        <v>60</v>
      </c>
      <c r="M14" s="13">
        <v>2</v>
      </c>
      <c r="N14" s="13">
        <v>480</v>
      </c>
      <c r="O14" s="22">
        <f t="shared" si="1"/>
        <v>240</v>
      </c>
      <c r="P14" s="13">
        <v>206</v>
      </c>
      <c r="Q14" s="23">
        <f t="shared" si="2"/>
        <v>0.8</v>
      </c>
      <c r="R14" s="24">
        <f t="shared" si="3"/>
        <v>4</v>
      </c>
      <c r="S14" s="25">
        <f t="shared" si="4"/>
        <v>0.85833333333333328</v>
      </c>
      <c r="T14" s="25">
        <f t="shared" si="5"/>
        <v>0.17166666666666666</v>
      </c>
      <c r="U14" s="26">
        <v>2.8472222222222222E-2</v>
      </c>
      <c r="V14" s="26">
        <v>2.8472222222222222E-2</v>
      </c>
      <c r="W14" s="26">
        <v>0.41914641203703706</v>
      </c>
      <c r="X14" s="27">
        <f t="shared" si="26"/>
        <v>1</v>
      </c>
      <c r="Y14" s="27">
        <f t="shared" si="6"/>
        <v>1</v>
      </c>
      <c r="Z14" s="27">
        <f t="shared" si="7"/>
        <v>1</v>
      </c>
      <c r="AA14" s="23">
        <f t="shared" si="8"/>
        <v>1.25</v>
      </c>
      <c r="AB14" s="24">
        <f t="shared" si="9"/>
        <v>3</v>
      </c>
      <c r="AC14" s="28">
        <f t="shared" si="10"/>
        <v>1</v>
      </c>
      <c r="AD14" s="29">
        <f t="shared" si="11"/>
        <v>0.25</v>
      </c>
      <c r="AE14" s="30">
        <v>2.4224537037037037E-2</v>
      </c>
      <c r="AF14" s="23">
        <f t="shared" si="12"/>
        <v>1.25</v>
      </c>
      <c r="AG14" s="24">
        <f t="shared" si="13"/>
        <v>5</v>
      </c>
      <c r="AH14" s="28">
        <f t="shared" si="14"/>
        <v>1</v>
      </c>
      <c r="AI14" s="29">
        <f t="shared" si="15"/>
        <v>0.25</v>
      </c>
      <c r="AJ14" s="31">
        <v>1</v>
      </c>
      <c r="AK14" s="31">
        <v>1</v>
      </c>
      <c r="AL14" s="31">
        <v>1</v>
      </c>
      <c r="AM14" s="31">
        <v>0</v>
      </c>
      <c r="AN14" s="31">
        <v>0</v>
      </c>
      <c r="AO14" s="31">
        <v>1</v>
      </c>
      <c r="AP14" s="31">
        <v>0</v>
      </c>
      <c r="AQ14" s="31">
        <v>1</v>
      </c>
      <c r="AR14" s="23">
        <f t="shared" si="16"/>
        <v>1</v>
      </c>
      <c r="AS14" s="24">
        <f t="shared" si="17"/>
        <v>5</v>
      </c>
      <c r="AT14" s="28">
        <f t="shared" si="18"/>
        <v>0.625</v>
      </c>
      <c r="AU14" s="28">
        <f t="shared" si="19"/>
        <v>9.375E-2</v>
      </c>
      <c r="AV14" s="32">
        <v>75</v>
      </c>
      <c r="AW14" s="32">
        <v>75</v>
      </c>
      <c r="AX14" s="32">
        <v>90</v>
      </c>
      <c r="AY14" s="32">
        <v>85</v>
      </c>
      <c r="AZ14" s="32">
        <v>80</v>
      </c>
      <c r="BA14" s="32">
        <v>100</v>
      </c>
      <c r="BB14" s="23">
        <f t="shared" ca="1" si="20"/>
        <v>1</v>
      </c>
      <c r="BC14" s="33">
        <f t="shared" si="25"/>
        <v>84.166666666666671</v>
      </c>
      <c r="BD14" s="28">
        <f t="shared" si="21"/>
        <v>0.94059405940594054</v>
      </c>
      <c r="BE14" s="28">
        <f t="shared" si="22"/>
        <v>0.18811881188118812</v>
      </c>
      <c r="BF14" s="34">
        <f ca="1">Q14+AA14+AF14+AR14+BB14</f>
        <v>5.3</v>
      </c>
      <c r="BG14" s="34">
        <f>AVERAGE(AV14:AZ14)</f>
        <v>81</v>
      </c>
      <c r="BH14" s="35">
        <f>T14+AD14+AI14+AU14+BE14</f>
        <v>0.9535354785478547</v>
      </c>
      <c r="BI14" s="36" t="str">
        <f ca="1">IF(K14&lt;365,"New CE",(IF(BH14&gt;=100%,"Promote",IF(BH14&gt;=90%,"Sangat Baik",IF(BH14&gt;=80%,"Baik",IF(BH14&gt;=70%,"Lebih Dari Cukup",IF(BH14&gt;=60%,"Cukup","Kurang")))))))</f>
        <v>Sangat Baik</v>
      </c>
      <c r="BJ14" s="36" t="s">
        <v>855</v>
      </c>
      <c r="BK14" s="58" t="s">
        <v>48</v>
      </c>
      <c r="BL14" s="59" t="e">
        <v>#N/A</v>
      </c>
    </row>
    <row r="15" spans="1:64" x14ac:dyDescent="0.35">
      <c r="A15" s="19">
        <v>11</v>
      </c>
      <c r="B15" s="13" t="s">
        <v>82</v>
      </c>
      <c r="C15" s="20" t="s">
        <v>83</v>
      </c>
      <c r="D15" s="76" t="s">
        <v>42</v>
      </c>
      <c r="E15" s="13" t="s">
        <v>43</v>
      </c>
      <c r="F15" s="13" t="s">
        <v>44</v>
      </c>
      <c r="G15" s="13" t="s">
        <v>45</v>
      </c>
      <c r="H15" s="65">
        <v>43388</v>
      </c>
      <c r="I15" s="21">
        <f t="shared" ca="1" si="23"/>
        <v>45974</v>
      </c>
      <c r="J15" s="13" t="str">
        <f t="shared" ca="1" si="0"/>
        <v xml:space="preserve">7 Tahun 0 Bulan 29 Hari </v>
      </c>
      <c r="K15" s="13">
        <f t="shared" ca="1" si="24"/>
        <v>3723840</v>
      </c>
      <c r="L15" s="13">
        <v>1384</v>
      </c>
      <c r="M15" s="13">
        <v>22</v>
      </c>
      <c r="N15" s="13">
        <v>6775</v>
      </c>
      <c r="O15" s="22">
        <f t="shared" si="1"/>
        <v>307.95454545454544</v>
      </c>
      <c r="P15" s="13">
        <v>525</v>
      </c>
      <c r="Q15" s="23">
        <f t="shared" si="2"/>
        <v>1</v>
      </c>
      <c r="R15" s="24">
        <f t="shared" si="3"/>
        <v>5</v>
      </c>
      <c r="S15" s="25">
        <f t="shared" si="4"/>
        <v>1.7047970479704797</v>
      </c>
      <c r="T15" s="25">
        <f t="shared" si="5"/>
        <v>0.34095940959409599</v>
      </c>
      <c r="U15" s="26">
        <v>7644.9167902707104</v>
      </c>
      <c r="V15" s="26">
        <v>2.465277777777778E-3</v>
      </c>
      <c r="W15" s="26">
        <v>8.5168650793650789E-3</v>
      </c>
      <c r="X15" s="27">
        <f t="shared" si="26"/>
        <v>0</v>
      </c>
      <c r="Y15" s="27">
        <f t="shared" si="6"/>
        <v>1</v>
      </c>
      <c r="Z15" s="27">
        <f t="shared" si="7"/>
        <v>1</v>
      </c>
      <c r="AA15" s="23">
        <f t="shared" si="8"/>
        <v>0.8</v>
      </c>
      <c r="AB15" s="24">
        <f t="shared" si="9"/>
        <v>2</v>
      </c>
      <c r="AC15" s="28">
        <f t="shared" si="10"/>
        <v>0.66666666666666663</v>
      </c>
      <c r="AD15" s="29">
        <f t="shared" si="11"/>
        <v>0.16666666666666666</v>
      </c>
      <c r="AE15" s="30">
        <v>7.1579219460688751E-2</v>
      </c>
      <c r="AF15" s="23">
        <f t="shared" si="12"/>
        <v>1</v>
      </c>
      <c r="AG15" s="24">
        <f t="shared" si="13"/>
        <v>4</v>
      </c>
      <c r="AH15" s="28">
        <f t="shared" si="14"/>
        <v>0.8</v>
      </c>
      <c r="AI15" s="29">
        <f t="shared" si="15"/>
        <v>0.2</v>
      </c>
      <c r="AJ15" s="31">
        <v>1</v>
      </c>
      <c r="AK15" s="31">
        <v>1</v>
      </c>
      <c r="AL15" s="31">
        <v>1</v>
      </c>
      <c r="AM15" s="31">
        <v>0</v>
      </c>
      <c r="AN15" s="31">
        <v>0</v>
      </c>
      <c r="AO15" s="31">
        <v>0</v>
      </c>
      <c r="AP15" s="31">
        <v>0</v>
      </c>
      <c r="AQ15" s="31">
        <v>0</v>
      </c>
      <c r="AR15" s="23">
        <f t="shared" si="16"/>
        <v>0.6</v>
      </c>
      <c r="AS15" s="24">
        <f t="shared" si="17"/>
        <v>3</v>
      </c>
      <c r="AT15" s="28">
        <f t="shared" si="18"/>
        <v>0.375</v>
      </c>
      <c r="AU15" s="28">
        <f t="shared" si="19"/>
        <v>5.6249999999999994E-2</v>
      </c>
      <c r="AV15" s="32">
        <v>75</v>
      </c>
      <c r="AW15" s="32">
        <v>80</v>
      </c>
      <c r="AX15" s="32">
        <v>80</v>
      </c>
      <c r="AY15" s="32">
        <v>80</v>
      </c>
      <c r="AZ15" s="32">
        <v>80</v>
      </c>
      <c r="BA15" s="32">
        <v>100</v>
      </c>
      <c r="BB15" s="23">
        <f t="shared" ca="1" si="20"/>
        <v>1</v>
      </c>
      <c r="BC15" s="33">
        <f t="shared" si="25"/>
        <v>82.5</v>
      </c>
      <c r="BD15" s="28">
        <f t="shared" si="21"/>
        <v>0.93939393939393945</v>
      </c>
      <c r="BE15" s="28">
        <f t="shared" si="22"/>
        <v>0.1878787878787879</v>
      </c>
      <c r="BF15" s="34">
        <f ca="1">Q15+AA15+AF15+AR15+BB15</f>
        <v>4.4000000000000004</v>
      </c>
      <c r="BG15" s="34">
        <f>AVERAGE(AV15:AZ15)</f>
        <v>79</v>
      </c>
      <c r="BH15" s="35">
        <f>T15+AD15+AI15+AU15+BE15</f>
        <v>0.95175486413955057</v>
      </c>
      <c r="BI15" s="36" t="str">
        <f ca="1">IF(K15&lt;365,"New CE",(IF(BH15&gt;=100%,"Promote",IF(BH15&gt;=90%,"Sangat Baik",IF(BH15&gt;=80%,"Baik",IF(BH15&gt;=70%,"Lebih Dari Cukup",IF(BH15&gt;=60%,"Cukup","Kurang")))))))</f>
        <v>Sangat Baik</v>
      </c>
      <c r="BJ15" s="36" t="s">
        <v>860</v>
      </c>
      <c r="BK15" s="58" t="s">
        <v>42</v>
      </c>
      <c r="BL15" s="59" t="e">
        <v>#N/A</v>
      </c>
    </row>
    <row r="16" spans="1:64" x14ac:dyDescent="0.35">
      <c r="A16" s="19">
        <v>12</v>
      </c>
      <c r="B16" s="13" t="s">
        <v>84</v>
      </c>
      <c r="C16" s="20" t="s">
        <v>85</v>
      </c>
      <c r="D16" s="76" t="s">
        <v>42</v>
      </c>
      <c r="E16" s="13" t="s">
        <v>86</v>
      </c>
      <c r="F16" s="13" t="s">
        <v>74</v>
      </c>
      <c r="G16" s="13" t="s">
        <v>55</v>
      </c>
      <c r="H16" s="65">
        <v>44123</v>
      </c>
      <c r="I16" s="21">
        <f t="shared" ca="1" si="23"/>
        <v>45974</v>
      </c>
      <c r="J16" s="13" t="str">
        <f t="shared" ca="1" si="0"/>
        <v xml:space="preserve">5 Tahun 0 Bulan 25 Hari </v>
      </c>
      <c r="K16" s="13">
        <f t="shared" ca="1" si="24"/>
        <v>2665440</v>
      </c>
      <c r="L16" s="13">
        <v>171</v>
      </c>
      <c r="M16" s="13">
        <v>4</v>
      </c>
      <c r="N16" s="13">
        <v>1473</v>
      </c>
      <c r="O16" s="22">
        <f t="shared" si="1"/>
        <v>368.25</v>
      </c>
      <c r="P16" s="13">
        <v>611</v>
      </c>
      <c r="Q16" s="23">
        <f t="shared" si="2"/>
        <v>1</v>
      </c>
      <c r="R16" s="24">
        <f t="shared" si="3"/>
        <v>5</v>
      </c>
      <c r="S16" s="25">
        <f t="shared" si="4"/>
        <v>1.6591989137813985</v>
      </c>
      <c r="T16" s="25">
        <f t="shared" si="5"/>
        <v>0.33183978275627973</v>
      </c>
      <c r="U16" s="26">
        <v>31060.574542766793</v>
      </c>
      <c r="V16" s="26">
        <v>32304.105225881118</v>
      </c>
      <c r="W16" s="26">
        <v>38138.560454963226</v>
      </c>
      <c r="X16" s="27">
        <f t="shared" si="26"/>
        <v>0</v>
      </c>
      <c r="Y16" s="27">
        <f t="shared" si="6"/>
        <v>0</v>
      </c>
      <c r="Z16" s="27">
        <f t="shared" si="7"/>
        <v>1</v>
      </c>
      <c r="AA16" s="23">
        <f>IF(AB16=3, 1.75, IF(AB16=2, 1, IF(AB16=1, 0.75, IF(AB16=0, 0, 0))))</f>
        <v>0.75</v>
      </c>
      <c r="AB16" s="24">
        <f t="shared" si="9"/>
        <v>1</v>
      </c>
      <c r="AC16" s="28">
        <f t="shared" si="10"/>
        <v>0.33333333333333331</v>
      </c>
      <c r="AD16" s="29">
        <f t="shared" si="11"/>
        <v>8.3333333333333329E-2</v>
      </c>
      <c r="AE16" s="30">
        <v>3.3894809472934474E-2</v>
      </c>
      <c r="AF16" s="23">
        <f t="shared" si="12"/>
        <v>1.25</v>
      </c>
      <c r="AG16" s="24">
        <f t="shared" si="13"/>
        <v>5</v>
      </c>
      <c r="AH16" s="28">
        <f t="shared" si="14"/>
        <v>1</v>
      </c>
      <c r="AI16" s="29">
        <f t="shared" si="15"/>
        <v>0.25</v>
      </c>
      <c r="AJ16" s="31">
        <v>1</v>
      </c>
      <c r="AK16" s="31">
        <v>1</v>
      </c>
      <c r="AL16" s="31">
        <v>1</v>
      </c>
      <c r="AM16" s="31">
        <v>0</v>
      </c>
      <c r="AN16" s="31">
        <v>1</v>
      </c>
      <c r="AO16" s="31">
        <v>1</v>
      </c>
      <c r="AP16" s="31">
        <v>0</v>
      </c>
      <c r="AQ16" s="31">
        <v>0</v>
      </c>
      <c r="AR16" s="23">
        <f t="shared" si="16"/>
        <v>1</v>
      </c>
      <c r="AS16" s="24">
        <f t="shared" si="17"/>
        <v>5</v>
      </c>
      <c r="AT16" s="28">
        <f t="shared" si="18"/>
        <v>0.625</v>
      </c>
      <c r="AU16" s="28">
        <f t="shared" si="19"/>
        <v>9.375E-2</v>
      </c>
      <c r="AV16" s="32">
        <v>75</v>
      </c>
      <c r="AW16" s="32">
        <v>60</v>
      </c>
      <c r="AX16" s="32">
        <v>85</v>
      </c>
      <c r="AY16" s="32">
        <v>90</v>
      </c>
      <c r="AZ16" s="32">
        <v>90</v>
      </c>
      <c r="BA16" s="32">
        <v>100</v>
      </c>
      <c r="BB16" s="23">
        <f t="shared" ca="1" si="20"/>
        <v>1</v>
      </c>
      <c r="BC16" s="33">
        <f t="shared" si="25"/>
        <v>83.333333333333329</v>
      </c>
      <c r="BD16" s="28">
        <f t="shared" si="21"/>
        <v>0.94</v>
      </c>
      <c r="BE16" s="28">
        <f t="shared" si="22"/>
        <v>0.188</v>
      </c>
      <c r="BF16" s="34">
        <f ca="1">Q16+AA16+AF16+AR16+BB16</f>
        <v>5</v>
      </c>
      <c r="BG16" s="34">
        <f>AVERAGE(AV16:AZ16)</f>
        <v>80</v>
      </c>
      <c r="BH16" s="35">
        <f>T16+AD16+AI16+AU16+BE16</f>
        <v>0.94692311608961299</v>
      </c>
      <c r="BI16" s="36" t="str">
        <f ca="1">IF(K16&lt;365,"New CE",(IF(BH16&gt;=100%,"Promote",IF(BH16&gt;=90%,"Sangat Baik",IF(BH16&gt;=80%,"Baik",IF(BH16&gt;=70%,"Lebih Dari Cukup",IF(BH16&gt;=60%,"Cukup","Kurang")))))))</f>
        <v>Sangat Baik</v>
      </c>
      <c r="BJ16" s="36" t="s">
        <v>860</v>
      </c>
      <c r="BK16" s="58" t="s">
        <v>42</v>
      </c>
      <c r="BL16" s="59" t="str">
        <v>Muhammad Faisal</v>
      </c>
    </row>
    <row r="17" spans="1:64" x14ac:dyDescent="0.35">
      <c r="A17" s="19">
        <v>13</v>
      </c>
      <c r="B17" s="13" t="s">
        <v>87</v>
      </c>
      <c r="C17" s="20" t="s">
        <v>88</v>
      </c>
      <c r="D17" s="76" t="s">
        <v>48</v>
      </c>
      <c r="E17" s="13" t="s">
        <v>89</v>
      </c>
      <c r="F17" s="13" t="s">
        <v>74</v>
      </c>
      <c r="G17" s="13" t="s">
        <v>51</v>
      </c>
      <c r="H17" s="65">
        <v>44746</v>
      </c>
      <c r="I17" s="21">
        <f t="shared" ca="1" si="23"/>
        <v>45974</v>
      </c>
      <c r="J17" s="13" t="str">
        <f t="shared" ca="1" si="0"/>
        <v xml:space="preserve">3 Tahun 4 Bulan 9 Hari </v>
      </c>
      <c r="K17" s="13">
        <f t="shared" ca="1" si="24"/>
        <v>1768320</v>
      </c>
      <c r="L17" s="13">
        <v>448</v>
      </c>
      <c r="M17" s="13">
        <v>7</v>
      </c>
      <c r="N17" s="13">
        <v>2614</v>
      </c>
      <c r="O17" s="22">
        <f t="shared" si="1"/>
        <v>373.42857142857144</v>
      </c>
      <c r="P17" s="13">
        <v>374</v>
      </c>
      <c r="Q17" s="23">
        <f t="shared" si="2"/>
        <v>1</v>
      </c>
      <c r="R17" s="24">
        <f t="shared" si="3"/>
        <v>5</v>
      </c>
      <c r="S17" s="25">
        <f t="shared" si="4"/>
        <v>1.0015302218821729</v>
      </c>
      <c r="T17" s="25">
        <f t="shared" si="5"/>
        <v>0.20030604437643459</v>
      </c>
      <c r="U17" s="26">
        <v>4.2891441120607769E-2</v>
      </c>
      <c r="V17" s="26">
        <v>1.3946759259259259E-2</v>
      </c>
      <c r="W17" s="26">
        <v>0.1133912037037037</v>
      </c>
      <c r="X17" s="27">
        <f t="shared" si="26"/>
        <v>1</v>
      </c>
      <c r="Y17" s="27">
        <f t="shared" si="6"/>
        <v>1</v>
      </c>
      <c r="Z17" s="27">
        <f t="shared" si="7"/>
        <v>1</v>
      </c>
      <c r="AA17" s="23">
        <f t="shared" ref="AA17:AA25" si="27">IF(AB17=3, 1.25, IF(AB17=2, 0.8, IF(AB17=1, 0.4, IF(AB17=0, 0, 0))))</f>
        <v>1.25</v>
      </c>
      <c r="AB17" s="24">
        <f t="shared" si="9"/>
        <v>3</v>
      </c>
      <c r="AC17" s="28">
        <f t="shared" si="10"/>
        <v>1</v>
      </c>
      <c r="AD17" s="29">
        <f t="shared" si="11"/>
        <v>0.25</v>
      </c>
      <c r="AE17" s="30">
        <v>3.4532765652557321E-2</v>
      </c>
      <c r="AF17" s="23">
        <f t="shared" si="12"/>
        <v>1.25</v>
      </c>
      <c r="AG17" s="24">
        <f t="shared" si="13"/>
        <v>5</v>
      </c>
      <c r="AH17" s="28">
        <f t="shared" si="14"/>
        <v>1</v>
      </c>
      <c r="AI17" s="29">
        <f t="shared" si="15"/>
        <v>0.25</v>
      </c>
      <c r="AJ17" s="31">
        <v>1</v>
      </c>
      <c r="AK17" s="31">
        <v>1</v>
      </c>
      <c r="AL17" s="31">
        <v>1</v>
      </c>
      <c r="AM17" s="31">
        <v>0</v>
      </c>
      <c r="AN17" s="31">
        <v>0</v>
      </c>
      <c r="AO17" s="31">
        <v>0</v>
      </c>
      <c r="AP17" s="31">
        <v>0</v>
      </c>
      <c r="AQ17" s="31">
        <v>0</v>
      </c>
      <c r="AR17" s="23">
        <f t="shared" si="16"/>
        <v>0.6</v>
      </c>
      <c r="AS17" s="24">
        <f t="shared" si="17"/>
        <v>3</v>
      </c>
      <c r="AT17" s="28">
        <f t="shared" si="18"/>
        <v>0.375</v>
      </c>
      <c r="AU17" s="28">
        <f t="shared" si="19"/>
        <v>5.6249999999999994E-2</v>
      </c>
      <c r="AV17" s="32">
        <v>75</v>
      </c>
      <c r="AW17" s="32">
        <v>85</v>
      </c>
      <c r="AX17" s="32">
        <v>85</v>
      </c>
      <c r="AY17" s="32">
        <v>85</v>
      </c>
      <c r="AZ17" s="32">
        <v>85</v>
      </c>
      <c r="BA17" s="32">
        <v>100</v>
      </c>
      <c r="BB17" s="23">
        <f t="shared" ca="1" si="20"/>
        <v>1</v>
      </c>
      <c r="BC17" s="33">
        <f t="shared" si="25"/>
        <v>85.833333333333329</v>
      </c>
      <c r="BD17" s="28">
        <f t="shared" si="21"/>
        <v>0.94174757281553401</v>
      </c>
      <c r="BE17" s="28">
        <f t="shared" si="22"/>
        <v>0.18834951456310681</v>
      </c>
      <c r="BF17" s="34">
        <f ca="1">Q17+AA17+AF17+AR17+BB17</f>
        <v>5.0999999999999996</v>
      </c>
      <c r="BG17" s="34">
        <f>AVERAGE(AV17:AZ17)</f>
        <v>83</v>
      </c>
      <c r="BH17" s="35">
        <f>T17+AD17+AI17+AU17+BE17</f>
        <v>0.94490555893954142</v>
      </c>
      <c r="BI17" s="36" t="str">
        <f ca="1">IF(K17&lt;365,"New CE",(IF(BH17&gt;=100%,"Promote",IF(BH17&gt;=90%,"Sangat Baik",IF(BH17&gt;=80%,"Baik",IF(BH17&gt;=70%,"Lebih Dari Cukup",IF(BH17&gt;=60%,"Cukup","Kurang")))))))</f>
        <v>Sangat Baik</v>
      </c>
      <c r="BJ17" s="36" t="s">
        <v>860</v>
      </c>
      <c r="BK17" s="58" t="s">
        <v>48</v>
      </c>
      <c r="BL17" s="59" t="str">
        <v>M. Rahmatullah Habibuddin</v>
      </c>
    </row>
    <row r="18" spans="1:64" x14ac:dyDescent="0.35">
      <c r="A18" s="19">
        <v>14</v>
      </c>
      <c r="B18" s="13" t="s">
        <v>90</v>
      </c>
      <c r="C18" s="20" t="s">
        <v>91</v>
      </c>
      <c r="D18" s="76" t="s">
        <v>48</v>
      </c>
      <c r="E18" s="13" t="s">
        <v>92</v>
      </c>
      <c r="F18" s="13" t="s">
        <v>74</v>
      </c>
      <c r="G18" s="13" t="s">
        <v>51</v>
      </c>
      <c r="H18" s="65">
        <v>44690</v>
      </c>
      <c r="I18" s="21">
        <f t="shared" ca="1" si="23"/>
        <v>45974</v>
      </c>
      <c r="J18" s="13" t="str">
        <f t="shared" ca="1" si="0"/>
        <v xml:space="preserve">3 Tahun 6 Bulan 4 Hari </v>
      </c>
      <c r="K18" s="13">
        <f t="shared" ca="1" si="24"/>
        <v>1848960</v>
      </c>
      <c r="L18" s="13">
        <v>69</v>
      </c>
      <c r="M18" s="13">
        <v>1</v>
      </c>
      <c r="N18" s="13">
        <v>505</v>
      </c>
      <c r="O18" s="22">
        <f t="shared" si="1"/>
        <v>505</v>
      </c>
      <c r="P18" s="13">
        <v>457</v>
      </c>
      <c r="Q18" s="23">
        <f t="shared" si="2"/>
        <v>0.8</v>
      </c>
      <c r="R18" s="24">
        <f t="shared" si="3"/>
        <v>4</v>
      </c>
      <c r="S18" s="25">
        <f t="shared" si="4"/>
        <v>0.90495049504950498</v>
      </c>
      <c r="T18" s="25">
        <f t="shared" si="5"/>
        <v>0.18099009900990101</v>
      </c>
      <c r="U18" s="26">
        <v>5.9027777777777776E-2</v>
      </c>
      <c r="V18" s="26">
        <v>0</v>
      </c>
      <c r="W18" s="26">
        <v>30313.802086419757</v>
      </c>
      <c r="X18" s="27">
        <v>1</v>
      </c>
      <c r="Y18" s="27">
        <v>1</v>
      </c>
      <c r="Z18" s="27">
        <f t="shared" si="7"/>
        <v>1</v>
      </c>
      <c r="AA18" s="23">
        <f t="shared" si="27"/>
        <v>1.25</v>
      </c>
      <c r="AB18" s="24">
        <f t="shared" si="9"/>
        <v>3</v>
      </c>
      <c r="AC18" s="28">
        <f t="shared" si="10"/>
        <v>1</v>
      </c>
      <c r="AD18" s="29">
        <f t="shared" si="11"/>
        <v>0.25</v>
      </c>
      <c r="AE18" s="30">
        <v>2.1948960086980919E-2</v>
      </c>
      <c r="AF18" s="23">
        <f t="shared" si="12"/>
        <v>1.25</v>
      </c>
      <c r="AG18" s="24">
        <f t="shared" si="13"/>
        <v>5</v>
      </c>
      <c r="AH18" s="28">
        <f t="shared" si="14"/>
        <v>1</v>
      </c>
      <c r="AI18" s="29">
        <f t="shared" si="15"/>
        <v>0.25</v>
      </c>
      <c r="AJ18" s="31">
        <v>1</v>
      </c>
      <c r="AK18" s="31">
        <v>1</v>
      </c>
      <c r="AL18" s="31">
        <v>1</v>
      </c>
      <c r="AM18" s="31">
        <v>0</v>
      </c>
      <c r="AN18" s="31">
        <v>1</v>
      </c>
      <c r="AO18" s="31">
        <v>0</v>
      </c>
      <c r="AP18" s="31">
        <v>0</v>
      </c>
      <c r="AQ18" s="31">
        <v>0</v>
      </c>
      <c r="AR18" s="23">
        <f t="shared" si="16"/>
        <v>0.8</v>
      </c>
      <c r="AS18" s="24">
        <f t="shared" si="17"/>
        <v>4</v>
      </c>
      <c r="AT18" s="28">
        <f t="shared" si="18"/>
        <v>0.5</v>
      </c>
      <c r="AU18" s="28">
        <f t="shared" si="19"/>
        <v>7.4999999999999997E-2</v>
      </c>
      <c r="AV18" s="32">
        <v>75</v>
      </c>
      <c r="AW18" s="32">
        <v>75</v>
      </c>
      <c r="AX18" s="32">
        <v>85</v>
      </c>
      <c r="AY18" s="32">
        <v>90</v>
      </c>
      <c r="AZ18" s="32">
        <v>85</v>
      </c>
      <c r="BA18" s="32">
        <v>100</v>
      </c>
      <c r="BB18" s="23">
        <f t="shared" ca="1" si="20"/>
        <v>1</v>
      </c>
      <c r="BC18" s="33">
        <f t="shared" si="25"/>
        <v>85</v>
      </c>
      <c r="BD18" s="28">
        <f t="shared" si="21"/>
        <v>0.94117647058823528</v>
      </c>
      <c r="BE18" s="28">
        <f t="shared" si="22"/>
        <v>0.18823529411764706</v>
      </c>
      <c r="BF18" s="34">
        <f ca="1">Q18+AA18+AF18+AR18+BB18</f>
        <v>5.0999999999999996</v>
      </c>
      <c r="BG18" s="34">
        <f>AVERAGE(AV18:AZ18)</f>
        <v>82</v>
      </c>
      <c r="BH18" s="35">
        <f>T18+AD18+AI18+AU18+BE18</f>
        <v>0.94422539312754805</v>
      </c>
      <c r="BI18" s="36" t="str">
        <f ca="1">IF(K18&lt;365,"New CE",(IF(BH18&gt;=100%,"Promote",IF(BH18&gt;=90%,"Sangat Baik",IF(BH18&gt;=80%,"Baik",IF(BH18&gt;=70%,"Lebih Dari Cukup",IF(BH18&gt;=60%,"Cukup","Kurang")))))))</f>
        <v>Sangat Baik</v>
      </c>
      <c r="BJ18" s="36" t="s">
        <v>855</v>
      </c>
      <c r="BK18" s="58" t="s">
        <v>851</v>
      </c>
      <c r="BL18" s="59" t="str">
        <v>Markus Damai</v>
      </c>
    </row>
    <row r="19" spans="1:64" x14ac:dyDescent="0.35">
      <c r="A19" s="19">
        <v>15</v>
      </c>
      <c r="B19" s="13" t="s">
        <v>93</v>
      </c>
      <c r="C19" s="20" t="s">
        <v>94</v>
      </c>
      <c r="D19" s="76" t="s">
        <v>48</v>
      </c>
      <c r="E19" s="13" t="s">
        <v>95</v>
      </c>
      <c r="F19" s="13" t="s">
        <v>50</v>
      </c>
      <c r="G19" s="13" t="s">
        <v>55</v>
      </c>
      <c r="H19" s="65">
        <v>43740</v>
      </c>
      <c r="I19" s="21">
        <f t="shared" ca="1" si="23"/>
        <v>45974</v>
      </c>
      <c r="J19" s="13" t="str">
        <f t="shared" ca="1" si="0"/>
        <v xml:space="preserve">6 Tahun 1 Bulan 11 Hari </v>
      </c>
      <c r="K19" s="13">
        <f t="shared" ca="1" si="24"/>
        <v>3216960</v>
      </c>
      <c r="L19" s="13">
        <v>897</v>
      </c>
      <c r="M19" s="13">
        <v>13</v>
      </c>
      <c r="N19" s="13">
        <v>6212</v>
      </c>
      <c r="O19" s="22">
        <f t="shared" si="1"/>
        <v>477.84615384615387</v>
      </c>
      <c r="P19" s="13">
        <v>785</v>
      </c>
      <c r="Q19" s="23">
        <f t="shared" si="2"/>
        <v>1</v>
      </c>
      <c r="R19" s="24">
        <f t="shared" si="3"/>
        <v>5</v>
      </c>
      <c r="S19" s="25">
        <f t="shared" si="4"/>
        <v>1.6427881519639407</v>
      </c>
      <c r="T19" s="25">
        <f t="shared" si="5"/>
        <v>0.32855763039278818</v>
      </c>
      <c r="U19" s="26">
        <v>39256.432980939164</v>
      </c>
      <c r="V19" s="26">
        <v>45520.780093273439</v>
      </c>
      <c r="W19" s="26">
        <v>45529.176518565757</v>
      </c>
      <c r="X19" s="27">
        <f>IF(U19=TIME(0,0,0), 0, IF(U19&lt;=TIME(1,30,0), 1, 0))</f>
        <v>0</v>
      </c>
      <c r="Y19" s="27">
        <f t="shared" ref="Y19:Y28" si="28">IF(V19=TIME(0,0,0), 0, IF(V19&lt;=TIME(3,0,0), 1, 0))</f>
        <v>0</v>
      </c>
      <c r="Z19" s="27">
        <f t="shared" si="7"/>
        <v>1</v>
      </c>
      <c r="AA19" s="23">
        <f t="shared" si="27"/>
        <v>0.4</v>
      </c>
      <c r="AB19" s="24">
        <f t="shared" si="9"/>
        <v>1</v>
      </c>
      <c r="AC19" s="28">
        <f t="shared" si="10"/>
        <v>0.33333333333333331</v>
      </c>
      <c r="AD19" s="29">
        <f t="shared" si="11"/>
        <v>8.3333333333333329E-2</v>
      </c>
      <c r="AE19" s="30">
        <v>3.3522065363589024E-2</v>
      </c>
      <c r="AF19" s="23">
        <f t="shared" si="12"/>
        <v>1.25</v>
      </c>
      <c r="AG19" s="24">
        <f t="shared" si="13"/>
        <v>5</v>
      </c>
      <c r="AH19" s="28">
        <f t="shared" si="14"/>
        <v>1</v>
      </c>
      <c r="AI19" s="29">
        <f t="shared" si="15"/>
        <v>0.25</v>
      </c>
      <c r="AJ19" s="31">
        <v>1</v>
      </c>
      <c r="AK19" s="31">
        <v>1</v>
      </c>
      <c r="AL19" s="31">
        <v>1</v>
      </c>
      <c r="AM19" s="31">
        <v>0</v>
      </c>
      <c r="AN19" s="31">
        <v>1</v>
      </c>
      <c r="AO19" s="31">
        <v>1</v>
      </c>
      <c r="AP19" s="31">
        <v>0</v>
      </c>
      <c r="AQ19" s="31">
        <v>0</v>
      </c>
      <c r="AR19" s="23">
        <f t="shared" si="16"/>
        <v>1</v>
      </c>
      <c r="AS19" s="24">
        <f t="shared" si="17"/>
        <v>5</v>
      </c>
      <c r="AT19" s="28">
        <f t="shared" si="18"/>
        <v>0.625</v>
      </c>
      <c r="AU19" s="28">
        <f t="shared" si="19"/>
        <v>9.375E-2</v>
      </c>
      <c r="AV19" s="32">
        <v>80</v>
      </c>
      <c r="AW19" s="32">
        <v>90</v>
      </c>
      <c r="AX19" s="32">
        <v>90</v>
      </c>
      <c r="AY19" s="32">
        <v>90</v>
      </c>
      <c r="AZ19" s="32">
        <v>85</v>
      </c>
      <c r="BA19" s="32">
        <v>100</v>
      </c>
      <c r="BB19" s="23">
        <f t="shared" ca="1" si="20"/>
        <v>1</v>
      </c>
      <c r="BC19" s="33">
        <f t="shared" si="25"/>
        <v>89.166666666666671</v>
      </c>
      <c r="BD19" s="28">
        <f t="shared" si="21"/>
        <v>0.94392523364485981</v>
      </c>
      <c r="BE19" s="28">
        <f t="shared" si="22"/>
        <v>0.18878504672897198</v>
      </c>
      <c r="BF19" s="34">
        <f ca="1">Q19+AA19+AF19+AR19+BB19</f>
        <v>4.6500000000000004</v>
      </c>
      <c r="BG19" s="34">
        <f>AVERAGE(AV19:AZ19)</f>
        <v>87</v>
      </c>
      <c r="BH19" s="35">
        <f>T19+AD19+AI19+AU19+BE19</f>
        <v>0.94442601045509345</v>
      </c>
      <c r="BI19" s="36" t="str">
        <f ca="1">IF(K19&lt;365,"New CE",(IF(BH19&gt;=100%,"Promote",IF(BH19&gt;=90%,"Sangat Baik",IF(BH19&gt;=80%,"Baik",IF(BH19&gt;=70%,"Lebih Dari Cukup",IF(BH19&gt;=60%,"Cukup","Kurang")))))))</f>
        <v>Sangat Baik</v>
      </c>
      <c r="BJ19" s="36" t="s">
        <v>855</v>
      </c>
      <c r="BK19" s="58" t="s">
        <v>851</v>
      </c>
      <c r="BL19" s="59" t="e">
        <v>#N/A</v>
      </c>
    </row>
    <row r="20" spans="1:64" x14ac:dyDescent="0.35">
      <c r="A20" s="19">
        <v>16</v>
      </c>
      <c r="B20" s="13" t="s">
        <v>96</v>
      </c>
      <c r="C20" s="20" t="s">
        <v>97</v>
      </c>
      <c r="D20" s="76" t="s">
        <v>42</v>
      </c>
      <c r="E20" s="13" t="s">
        <v>98</v>
      </c>
      <c r="F20" s="13" t="s">
        <v>50</v>
      </c>
      <c r="G20" s="13" t="s">
        <v>61</v>
      </c>
      <c r="H20" s="65">
        <v>43378</v>
      </c>
      <c r="I20" s="21">
        <f t="shared" ca="1" si="23"/>
        <v>45974</v>
      </c>
      <c r="J20" s="13" t="str">
        <f t="shared" ca="1" si="0"/>
        <v xml:space="preserve">7 Tahun 1 Bulan 8 Hari </v>
      </c>
      <c r="K20" s="13">
        <f t="shared" ca="1" si="24"/>
        <v>3738240</v>
      </c>
      <c r="L20" s="13">
        <v>1040</v>
      </c>
      <c r="M20" s="13">
        <v>17</v>
      </c>
      <c r="N20" s="13">
        <v>7455</v>
      </c>
      <c r="O20" s="22">
        <f t="shared" si="1"/>
        <v>438.52941176470586</v>
      </c>
      <c r="P20" s="13">
        <v>837</v>
      </c>
      <c r="Q20" s="23">
        <f t="shared" si="2"/>
        <v>0.8</v>
      </c>
      <c r="R20" s="24">
        <f t="shared" si="3"/>
        <v>4</v>
      </c>
      <c r="S20" s="25">
        <f>P20/L20</f>
        <v>0.80480769230769234</v>
      </c>
      <c r="T20" s="25">
        <f t="shared" si="5"/>
        <v>0.16096153846153849</v>
      </c>
      <c r="U20" s="26">
        <v>4.5138888888888888E-2</v>
      </c>
      <c r="V20" s="26">
        <v>7.1527777777777773E-2</v>
      </c>
      <c r="W20" s="26">
        <v>45495.372445352805</v>
      </c>
      <c r="X20" s="27">
        <f>IF(U20=TIME(0,0,0), 0, IF(U20&lt;=TIME(1,30,0), 1, 0))</f>
        <v>1</v>
      </c>
      <c r="Y20" s="27">
        <f t="shared" si="28"/>
        <v>1</v>
      </c>
      <c r="Z20" s="27">
        <f t="shared" si="7"/>
        <v>1</v>
      </c>
      <c r="AA20" s="23">
        <f t="shared" si="27"/>
        <v>1.25</v>
      </c>
      <c r="AB20" s="24">
        <f t="shared" si="9"/>
        <v>3</v>
      </c>
      <c r="AC20" s="28">
        <f t="shared" si="10"/>
        <v>1</v>
      </c>
      <c r="AD20" s="29">
        <f t="shared" si="11"/>
        <v>0.25</v>
      </c>
      <c r="AE20" s="30">
        <v>1.5163871587437953E-2</v>
      </c>
      <c r="AF20" s="23">
        <f t="shared" si="12"/>
        <v>1.25</v>
      </c>
      <c r="AG20" s="24">
        <f t="shared" si="13"/>
        <v>5</v>
      </c>
      <c r="AH20" s="28">
        <f t="shared" si="14"/>
        <v>1</v>
      </c>
      <c r="AI20" s="29">
        <f t="shared" si="15"/>
        <v>0.25</v>
      </c>
      <c r="AJ20" s="31">
        <v>1</v>
      </c>
      <c r="AK20" s="31">
        <v>1</v>
      </c>
      <c r="AL20" s="31">
        <v>1</v>
      </c>
      <c r="AM20" s="31">
        <v>1</v>
      </c>
      <c r="AN20" s="31">
        <v>1</v>
      </c>
      <c r="AO20" s="31">
        <v>0</v>
      </c>
      <c r="AP20" s="31">
        <v>0</v>
      </c>
      <c r="AQ20" s="31">
        <v>0</v>
      </c>
      <c r="AR20" s="23">
        <f t="shared" si="16"/>
        <v>1</v>
      </c>
      <c r="AS20" s="24">
        <f t="shared" si="17"/>
        <v>5</v>
      </c>
      <c r="AT20" s="28">
        <f t="shared" si="18"/>
        <v>0.625</v>
      </c>
      <c r="AU20" s="28">
        <f t="shared" si="19"/>
        <v>9.375E-2</v>
      </c>
      <c r="AV20" s="32">
        <v>80</v>
      </c>
      <c r="AW20" s="32">
        <v>85</v>
      </c>
      <c r="AX20" s="32">
        <v>90</v>
      </c>
      <c r="AY20" s="32">
        <v>90</v>
      </c>
      <c r="AZ20" s="32">
        <v>90</v>
      </c>
      <c r="BA20" s="32">
        <v>100</v>
      </c>
      <c r="BB20" s="23">
        <f t="shared" ca="1" si="20"/>
        <v>1</v>
      </c>
      <c r="BC20" s="33">
        <f t="shared" si="25"/>
        <v>89.166666666666671</v>
      </c>
      <c r="BD20" s="28">
        <f t="shared" si="21"/>
        <v>0.94392523364485981</v>
      </c>
      <c r="BE20" s="28">
        <f t="shared" si="22"/>
        <v>0.18878504672897198</v>
      </c>
      <c r="BF20" s="34">
        <f ca="1">Q20+AA20+AF20+AR20+BB20</f>
        <v>5.3</v>
      </c>
      <c r="BG20" s="34">
        <f>AVERAGE(AV20:AZ20)</f>
        <v>87</v>
      </c>
      <c r="BH20" s="35">
        <f>T20+AD20+AI20+AU20+BE20</f>
        <v>0.94349658519051049</v>
      </c>
      <c r="BI20" s="36" t="str">
        <f ca="1">IF(K20&lt;365,"New CE",(IF(BH20&gt;=100%,"Promote",IF(BH20&gt;=90%,"Sangat Baik",IF(BH20&gt;=80%,"Baik",IF(BH20&gt;=70%,"Lebih Dari Cukup",IF(BH20&gt;=60%,"Cukup","Kurang")))))))</f>
        <v>Sangat Baik</v>
      </c>
      <c r="BJ20" s="36" t="s">
        <v>860</v>
      </c>
      <c r="BK20" s="58" t="s">
        <v>42</v>
      </c>
      <c r="BL20" s="59" t="e">
        <v>#N/A</v>
      </c>
    </row>
    <row r="21" spans="1:64" x14ac:dyDescent="0.35">
      <c r="A21" s="19">
        <v>17</v>
      </c>
      <c r="B21" s="37" t="s">
        <v>99</v>
      </c>
      <c r="C21" s="38" t="s">
        <v>100</v>
      </c>
      <c r="D21" s="76" t="s">
        <v>54</v>
      </c>
      <c r="E21" s="37" t="s">
        <v>101</v>
      </c>
      <c r="F21" s="13" t="s">
        <v>74</v>
      </c>
      <c r="G21" s="13" t="s">
        <v>75</v>
      </c>
      <c r="H21" s="65">
        <v>45444</v>
      </c>
      <c r="I21" s="21">
        <f t="shared" ca="1" si="23"/>
        <v>45974</v>
      </c>
      <c r="J21" s="13" t="str">
        <f t="shared" ca="1" si="0"/>
        <v xml:space="preserve">1 Tahun 5 Bulan 12 Hari </v>
      </c>
      <c r="K21" s="13">
        <f t="shared" ca="1" si="24"/>
        <v>763200</v>
      </c>
      <c r="L21" s="13">
        <v>42</v>
      </c>
      <c r="M21" s="13">
        <v>1</v>
      </c>
      <c r="N21" s="13">
        <v>65</v>
      </c>
      <c r="O21" s="22">
        <f t="shared" si="1"/>
        <v>65</v>
      </c>
      <c r="P21" s="13">
        <v>151</v>
      </c>
      <c r="Q21" s="23">
        <f t="shared" si="2"/>
        <v>1</v>
      </c>
      <c r="R21" s="24">
        <f t="shared" si="3"/>
        <v>5</v>
      </c>
      <c r="S21" s="25">
        <f t="shared" ref="S21:S52" si="29">P21/O21</f>
        <v>2.3230769230769233</v>
      </c>
      <c r="T21" s="25">
        <f t="shared" si="5"/>
        <v>0.46461538461538465</v>
      </c>
      <c r="U21" s="26">
        <v>2.4068287037037034E-2</v>
      </c>
      <c r="V21" s="26">
        <v>5.783564814814815E-2</v>
      </c>
      <c r="W21" s="26">
        <v>3032.5783371913585</v>
      </c>
      <c r="X21" s="27">
        <f>IF(U21=TIME(0,0,0), 0, IF(U21&lt;=TIME(1,30,0), 1, 0))</f>
        <v>1</v>
      </c>
      <c r="Y21" s="27">
        <f t="shared" si="28"/>
        <v>1</v>
      </c>
      <c r="Z21" s="27">
        <f t="shared" si="7"/>
        <v>1</v>
      </c>
      <c r="AA21" s="23">
        <f t="shared" si="27"/>
        <v>1.25</v>
      </c>
      <c r="AB21" s="24">
        <f t="shared" si="9"/>
        <v>3</v>
      </c>
      <c r="AC21" s="28">
        <f t="shared" si="10"/>
        <v>1</v>
      </c>
      <c r="AD21" s="29">
        <f t="shared" si="11"/>
        <v>0.25</v>
      </c>
      <c r="AE21" s="30">
        <v>0</v>
      </c>
      <c r="AF21" s="23">
        <f t="shared" si="12"/>
        <v>1.25</v>
      </c>
      <c r="AG21" s="24">
        <f t="shared" si="13"/>
        <v>5</v>
      </c>
      <c r="AH21" s="28">
        <f t="shared" si="14"/>
        <v>0</v>
      </c>
      <c r="AI21" s="29">
        <f t="shared" si="15"/>
        <v>0</v>
      </c>
      <c r="AJ21" s="31">
        <v>1</v>
      </c>
      <c r="AK21" s="31">
        <v>1</v>
      </c>
      <c r="AL21" s="31">
        <v>0</v>
      </c>
      <c r="AM21" s="31">
        <v>0</v>
      </c>
      <c r="AN21" s="31">
        <v>0</v>
      </c>
      <c r="AO21" s="31">
        <v>0</v>
      </c>
      <c r="AP21" s="31">
        <v>0</v>
      </c>
      <c r="AQ21" s="31">
        <v>0</v>
      </c>
      <c r="AR21" s="23">
        <f t="shared" si="16"/>
        <v>0.4</v>
      </c>
      <c r="AS21" s="24">
        <f t="shared" si="17"/>
        <v>2</v>
      </c>
      <c r="AT21" s="28">
        <f t="shared" si="18"/>
        <v>0.25</v>
      </c>
      <c r="AU21" s="28">
        <f t="shared" si="19"/>
        <v>3.7499999999999999E-2</v>
      </c>
      <c r="AV21" s="32">
        <v>75</v>
      </c>
      <c r="AW21" s="32">
        <v>70</v>
      </c>
      <c r="AX21" s="32">
        <v>75</v>
      </c>
      <c r="AY21" s="32">
        <v>70</v>
      </c>
      <c r="AZ21" s="32">
        <v>75</v>
      </c>
      <c r="BA21" s="32">
        <v>100</v>
      </c>
      <c r="BB21" s="23">
        <f t="shared" ca="1" si="20"/>
        <v>1</v>
      </c>
      <c r="BC21" s="33">
        <f t="shared" si="25"/>
        <v>77.5</v>
      </c>
      <c r="BD21" s="28">
        <f t="shared" si="21"/>
        <v>0.93548387096774199</v>
      </c>
      <c r="BE21" s="28">
        <f t="shared" si="22"/>
        <v>0.18709677419354842</v>
      </c>
      <c r="BF21" s="34">
        <f ca="1">Q21+AA21+AF21+AR21+BB21</f>
        <v>4.9000000000000004</v>
      </c>
      <c r="BG21" s="34">
        <f>AVERAGE(AV21:AZ21)</f>
        <v>73</v>
      </c>
      <c r="BH21" s="35">
        <f>T21+AD21+AI21+AU21+BE21</f>
        <v>0.93921215880893305</v>
      </c>
      <c r="BI21" s="36" t="str">
        <f ca="1">IF(K21&lt;365,"New CE",(IF(BH21&gt;=100%,"Promote",IF(BH21&gt;=90%,"Sangat Baik",IF(BH21&gt;=80%,"Baik",IF(BH21&gt;=70%,"Lebih Dari Cukup",IF(BH21&gt;=60%,"Cukup","Kurang")))))))</f>
        <v>Sangat Baik</v>
      </c>
      <c r="BJ21" s="36" t="s">
        <v>860</v>
      </c>
      <c r="BK21" s="58" t="s">
        <v>54</v>
      </c>
      <c r="BL21" s="59" t="str">
        <v>Viqri Haikal</v>
      </c>
    </row>
    <row r="22" spans="1:64" x14ac:dyDescent="0.35">
      <c r="A22" s="19">
        <v>18</v>
      </c>
      <c r="B22" s="13" t="s">
        <v>102</v>
      </c>
      <c r="C22" s="20" t="s">
        <v>103</v>
      </c>
      <c r="D22" s="76" t="s">
        <v>48</v>
      </c>
      <c r="E22" s="13" t="s">
        <v>70</v>
      </c>
      <c r="F22" s="13" t="s">
        <v>50</v>
      </c>
      <c r="G22" s="13" t="s">
        <v>55</v>
      </c>
      <c r="H22" s="65">
        <v>44837</v>
      </c>
      <c r="I22" s="21">
        <f t="shared" ca="1" si="23"/>
        <v>45974</v>
      </c>
      <c r="J22" s="13" t="str">
        <f t="shared" ca="1" si="0"/>
        <v xml:space="preserve">3 Tahun 1 Bulan 10 Hari </v>
      </c>
      <c r="K22" s="13">
        <f t="shared" ca="1" si="24"/>
        <v>1637280</v>
      </c>
      <c r="L22" s="13">
        <v>329</v>
      </c>
      <c r="M22" s="13">
        <v>6</v>
      </c>
      <c r="N22" s="13">
        <v>1945</v>
      </c>
      <c r="O22" s="22">
        <f t="shared" si="1"/>
        <v>324.16666666666669</v>
      </c>
      <c r="P22" s="13">
        <v>335</v>
      </c>
      <c r="Q22" s="23">
        <f t="shared" si="2"/>
        <v>1</v>
      </c>
      <c r="R22" s="24">
        <f t="shared" si="3"/>
        <v>5</v>
      </c>
      <c r="S22" s="25">
        <f t="shared" si="29"/>
        <v>1.0334190231362468</v>
      </c>
      <c r="T22" s="25">
        <f t="shared" si="5"/>
        <v>0.20668380462724936</v>
      </c>
      <c r="U22" s="26">
        <v>2.9975925925925927E-2</v>
      </c>
      <c r="V22" s="26">
        <v>1.4091435185185186E-2</v>
      </c>
      <c r="W22" s="26">
        <v>0.10169753086419753</v>
      </c>
      <c r="X22" s="27">
        <f>IF(U22=TIME(0,0,0), 0, IF(U22&lt;=TIME(1,30,0), 1, 0))</f>
        <v>1</v>
      </c>
      <c r="Y22" s="27">
        <f t="shared" si="28"/>
        <v>1</v>
      </c>
      <c r="Z22" s="27">
        <f t="shared" si="7"/>
        <v>1</v>
      </c>
      <c r="AA22" s="23">
        <f t="shared" si="27"/>
        <v>1.25</v>
      </c>
      <c r="AB22" s="24">
        <f t="shared" si="9"/>
        <v>3</v>
      </c>
      <c r="AC22" s="28">
        <f t="shared" si="10"/>
        <v>1</v>
      </c>
      <c r="AD22" s="29">
        <f t="shared" si="11"/>
        <v>0.25</v>
      </c>
      <c r="AE22" s="30">
        <v>8.0034722222222215E-2</v>
      </c>
      <c r="AF22" s="23">
        <f t="shared" si="12"/>
        <v>1</v>
      </c>
      <c r="AG22" s="24">
        <f t="shared" si="13"/>
        <v>4</v>
      </c>
      <c r="AH22" s="28">
        <f t="shared" si="14"/>
        <v>0.8</v>
      </c>
      <c r="AI22" s="29">
        <f t="shared" si="15"/>
        <v>0.2</v>
      </c>
      <c r="AJ22" s="31">
        <v>1</v>
      </c>
      <c r="AK22" s="31">
        <v>1</v>
      </c>
      <c r="AL22" s="31">
        <v>0</v>
      </c>
      <c r="AM22" s="31">
        <v>0</v>
      </c>
      <c r="AN22" s="31">
        <v>1</v>
      </c>
      <c r="AO22" s="31">
        <v>1</v>
      </c>
      <c r="AP22" s="31">
        <v>1</v>
      </c>
      <c r="AQ22" s="31">
        <v>0</v>
      </c>
      <c r="AR22" s="23">
        <f t="shared" si="16"/>
        <v>1</v>
      </c>
      <c r="AS22" s="24">
        <f t="shared" si="17"/>
        <v>5</v>
      </c>
      <c r="AT22" s="28">
        <f t="shared" si="18"/>
        <v>0.625</v>
      </c>
      <c r="AU22" s="28">
        <f t="shared" si="19"/>
        <v>9.375E-2</v>
      </c>
      <c r="AV22" s="32">
        <v>75</v>
      </c>
      <c r="AW22" s="32">
        <v>60</v>
      </c>
      <c r="AX22" s="32">
        <v>90</v>
      </c>
      <c r="AY22" s="32">
        <v>90</v>
      </c>
      <c r="AZ22" s="32">
        <v>85</v>
      </c>
      <c r="BA22" s="32">
        <v>100</v>
      </c>
      <c r="BB22" s="23">
        <f t="shared" ca="1" si="20"/>
        <v>1</v>
      </c>
      <c r="BC22" s="33">
        <f t="shared" si="25"/>
        <v>83.333333333333329</v>
      </c>
      <c r="BD22" s="28">
        <f t="shared" si="21"/>
        <v>0.94</v>
      </c>
      <c r="BE22" s="28">
        <f t="shared" si="22"/>
        <v>0.188</v>
      </c>
      <c r="BF22" s="34">
        <f ca="1">Q22+AA22+AF22+AR22+BB22</f>
        <v>5.25</v>
      </c>
      <c r="BG22" s="34">
        <f>AVERAGE(AV22:AZ22)</f>
        <v>80</v>
      </c>
      <c r="BH22" s="35">
        <f>T22+AD22+AI22+AU22+BE22</f>
        <v>0.93843380462724935</v>
      </c>
      <c r="BI22" s="36" t="str">
        <f ca="1">IF(K22&lt;365,"New CE",(IF(BH22&gt;=100%,"Promote",IF(BH22&gt;=90%,"Sangat Baik",IF(BH22&gt;=80%,"Baik",IF(BH22&gt;=70%,"Lebih Dari Cukup",IF(BH22&gt;=60%,"Cukup","Kurang")))))))</f>
        <v>Sangat Baik</v>
      </c>
      <c r="BJ22" s="36" t="s">
        <v>855</v>
      </c>
      <c r="BK22" s="58" t="s">
        <v>851</v>
      </c>
      <c r="BL22" s="59" t="e">
        <v>#N/A</v>
      </c>
    </row>
    <row r="23" spans="1:64" x14ac:dyDescent="0.35">
      <c r="A23" s="19">
        <v>19</v>
      </c>
      <c r="B23" s="13" t="s">
        <v>104</v>
      </c>
      <c r="C23" s="20" t="s">
        <v>105</v>
      </c>
      <c r="D23" s="76" t="s">
        <v>54</v>
      </c>
      <c r="E23" s="13" t="s">
        <v>106</v>
      </c>
      <c r="F23" s="13" t="s">
        <v>74</v>
      </c>
      <c r="G23" s="13" t="s">
        <v>61</v>
      </c>
      <c r="H23" s="65">
        <v>45173</v>
      </c>
      <c r="I23" s="21">
        <f t="shared" ca="1" si="23"/>
        <v>45974</v>
      </c>
      <c r="J23" s="13" t="str">
        <f t="shared" ca="1" si="0"/>
        <v xml:space="preserve">2 Tahun 2 Bulan 9 Hari </v>
      </c>
      <c r="K23" s="13">
        <f t="shared" ca="1" si="24"/>
        <v>1153440</v>
      </c>
      <c r="L23" s="13">
        <v>59</v>
      </c>
      <c r="M23" s="13">
        <v>2</v>
      </c>
      <c r="N23" s="13">
        <v>448</v>
      </c>
      <c r="O23" s="22">
        <f t="shared" si="1"/>
        <v>224</v>
      </c>
      <c r="P23" s="13">
        <v>268</v>
      </c>
      <c r="Q23" s="23">
        <f t="shared" si="2"/>
        <v>1</v>
      </c>
      <c r="R23" s="24">
        <f t="shared" si="3"/>
        <v>5</v>
      </c>
      <c r="S23" s="25">
        <f t="shared" si="29"/>
        <v>1.1964285714285714</v>
      </c>
      <c r="T23" s="25">
        <f t="shared" si="5"/>
        <v>0.2392857142857143</v>
      </c>
      <c r="U23" s="26">
        <v>5.9722222222222225E-2</v>
      </c>
      <c r="V23" s="26">
        <v>1.9484953703703702E-2</v>
      </c>
      <c r="W23" s="26">
        <v>13634.744774305558</v>
      </c>
      <c r="X23" s="27">
        <f>IF(U23=TIME(0,0,0), 0, IF(U23&lt;=TIME(1,30,0), 1, 0))</f>
        <v>1</v>
      </c>
      <c r="Y23" s="27">
        <f t="shared" si="28"/>
        <v>1</v>
      </c>
      <c r="Z23" s="27">
        <f t="shared" si="7"/>
        <v>1</v>
      </c>
      <c r="AA23" s="23">
        <f t="shared" si="27"/>
        <v>1.25</v>
      </c>
      <c r="AB23" s="24">
        <f t="shared" si="9"/>
        <v>3</v>
      </c>
      <c r="AC23" s="28">
        <f t="shared" si="10"/>
        <v>1</v>
      </c>
      <c r="AD23" s="29">
        <f t="shared" si="11"/>
        <v>0.25</v>
      </c>
      <c r="AE23" s="30">
        <v>6.1400462962962962E-2</v>
      </c>
      <c r="AF23" s="23">
        <f t="shared" si="12"/>
        <v>1</v>
      </c>
      <c r="AG23" s="24">
        <f t="shared" si="13"/>
        <v>4</v>
      </c>
      <c r="AH23" s="28">
        <f t="shared" si="14"/>
        <v>0.8</v>
      </c>
      <c r="AI23" s="29">
        <f t="shared" si="15"/>
        <v>0.2</v>
      </c>
      <c r="AJ23" s="31">
        <v>1</v>
      </c>
      <c r="AK23" s="31">
        <v>1</v>
      </c>
      <c r="AL23" s="31">
        <v>0</v>
      </c>
      <c r="AM23" s="31">
        <v>0</v>
      </c>
      <c r="AN23" s="31">
        <v>1</v>
      </c>
      <c r="AO23" s="31">
        <v>0</v>
      </c>
      <c r="AP23" s="31">
        <v>0</v>
      </c>
      <c r="AQ23" s="31">
        <v>0</v>
      </c>
      <c r="AR23" s="23">
        <f t="shared" si="16"/>
        <v>0.6</v>
      </c>
      <c r="AS23" s="24">
        <f t="shared" si="17"/>
        <v>3</v>
      </c>
      <c r="AT23" s="28">
        <f t="shared" si="18"/>
        <v>0.375</v>
      </c>
      <c r="AU23" s="28">
        <f t="shared" si="19"/>
        <v>5.6249999999999994E-2</v>
      </c>
      <c r="AV23" s="32">
        <v>75</v>
      </c>
      <c r="AW23" s="32">
        <v>75</v>
      </c>
      <c r="AX23" s="32">
        <v>85</v>
      </c>
      <c r="AY23" s="32">
        <v>85</v>
      </c>
      <c r="AZ23" s="32">
        <v>85</v>
      </c>
      <c r="BA23" s="32">
        <v>100</v>
      </c>
      <c r="BB23" s="23">
        <f t="shared" ca="1" si="20"/>
        <v>1</v>
      </c>
      <c r="BC23" s="33">
        <f t="shared" si="25"/>
        <v>84.166666666666671</v>
      </c>
      <c r="BD23" s="28">
        <f t="shared" si="21"/>
        <v>0.94059405940594054</v>
      </c>
      <c r="BE23" s="28">
        <f t="shared" si="22"/>
        <v>0.18811881188118812</v>
      </c>
      <c r="BF23" s="34">
        <f ca="1">Q23+AA23+AF23+AR23+BB23</f>
        <v>4.8499999999999996</v>
      </c>
      <c r="BG23" s="34">
        <f>AVERAGE(AV23:AZ23)</f>
        <v>81</v>
      </c>
      <c r="BH23" s="35">
        <f>T23+AD23+AI23+AU23+BE23</f>
        <v>0.93365452616690248</v>
      </c>
      <c r="BI23" s="36" t="str">
        <f ca="1">IF(K23&lt;365,"New CE",(IF(BH23&gt;=100%,"Promote",IF(BH23&gt;=90%,"Sangat Baik",IF(BH23&gt;=80%,"Baik",IF(BH23&gt;=70%,"Lebih Dari Cukup",IF(BH23&gt;=60%,"Cukup","Kurang")))))))</f>
        <v>Sangat Baik</v>
      </c>
      <c r="BJ23" s="36" t="s">
        <v>855</v>
      </c>
      <c r="BK23" s="58" t="s">
        <v>48</v>
      </c>
      <c r="BL23" s="59" t="str">
        <v>Aprilian K Tamau</v>
      </c>
    </row>
    <row r="24" spans="1:64" x14ac:dyDescent="0.35">
      <c r="A24" s="19">
        <v>20</v>
      </c>
      <c r="B24" s="13" t="s">
        <v>107</v>
      </c>
      <c r="C24" s="20" t="s">
        <v>108</v>
      </c>
      <c r="D24" s="76" t="s">
        <v>54</v>
      </c>
      <c r="E24" s="13" t="s">
        <v>43</v>
      </c>
      <c r="F24" s="13" t="s">
        <v>44</v>
      </c>
      <c r="G24" s="13" t="s">
        <v>61</v>
      </c>
      <c r="H24" s="65">
        <v>44966</v>
      </c>
      <c r="I24" s="21">
        <f t="shared" ca="1" si="23"/>
        <v>45974</v>
      </c>
      <c r="J24" s="13" t="str">
        <f t="shared" ca="1" si="0"/>
        <v xml:space="preserve">2 Tahun 9 Bulan 4 Hari </v>
      </c>
      <c r="K24" s="13">
        <f t="shared" ca="1" si="24"/>
        <v>1451520</v>
      </c>
      <c r="L24" s="13">
        <v>1384</v>
      </c>
      <c r="M24" s="13">
        <v>22</v>
      </c>
      <c r="N24" s="13">
        <v>6775</v>
      </c>
      <c r="O24" s="22">
        <f t="shared" si="1"/>
        <v>307.95454545454544</v>
      </c>
      <c r="P24" s="13">
        <v>541</v>
      </c>
      <c r="Q24" s="23">
        <f t="shared" si="2"/>
        <v>1</v>
      </c>
      <c r="R24" s="24">
        <f t="shared" si="3"/>
        <v>5</v>
      </c>
      <c r="S24" s="25">
        <f t="shared" si="29"/>
        <v>1.7567527675276753</v>
      </c>
      <c r="T24" s="25">
        <f t="shared" si="5"/>
        <v>0.35135055350553507</v>
      </c>
      <c r="U24" s="26">
        <v>1419.0394797694833</v>
      </c>
      <c r="V24" s="26">
        <v>45383.456759259258</v>
      </c>
      <c r="W24" s="26">
        <v>0</v>
      </c>
      <c r="X24" s="27">
        <v>1</v>
      </c>
      <c r="Y24" s="27">
        <f t="shared" si="28"/>
        <v>0</v>
      </c>
      <c r="Z24" s="27">
        <f t="shared" si="7"/>
        <v>0</v>
      </c>
      <c r="AA24" s="23">
        <f t="shared" si="27"/>
        <v>0.4</v>
      </c>
      <c r="AB24" s="24">
        <f t="shared" si="9"/>
        <v>1</v>
      </c>
      <c r="AC24" s="28">
        <f t="shared" si="10"/>
        <v>0.33333333333333331</v>
      </c>
      <c r="AD24" s="29">
        <f t="shared" si="11"/>
        <v>8.3333333333333329E-2</v>
      </c>
      <c r="AE24" s="30">
        <v>2.8286861672278337E-2</v>
      </c>
      <c r="AF24" s="23">
        <f t="shared" si="12"/>
        <v>1.25</v>
      </c>
      <c r="AG24" s="24">
        <f t="shared" si="13"/>
        <v>5</v>
      </c>
      <c r="AH24" s="28">
        <f t="shared" si="14"/>
        <v>1</v>
      </c>
      <c r="AI24" s="29">
        <f t="shared" si="15"/>
        <v>0.25</v>
      </c>
      <c r="AJ24" s="31">
        <v>1</v>
      </c>
      <c r="AK24" s="31">
        <v>1</v>
      </c>
      <c r="AL24" s="31">
        <v>1</v>
      </c>
      <c r="AM24" s="31">
        <v>0</v>
      </c>
      <c r="AN24" s="31">
        <v>0</v>
      </c>
      <c r="AO24" s="31">
        <v>0</v>
      </c>
      <c r="AP24" s="31">
        <v>0</v>
      </c>
      <c r="AQ24" s="31">
        <v>0</v>
      </c>
      <c r="AR24" s="23">
        <f t="shared" si="16"/>
        <v>0.6</v>
      </c>
      <c r="AS24" s="24">
        <f t="shared" si="17"/>
        <v>3</v>
      </c>
      <c r="AT24" s="28">
        <f t="shared" si="18"/>
        <v>0.375</v>
      </c>
      <c r="AU24" s="28">
        <f t="shared" si="19"/>
        <v>5.6249999999999994E-2</v>
      </c>
      <c r="AV24" s="32">
        <v>75</v>
      </c>
      <c r="AW24" s="32">
        <v>70</v>
      </c>
      <c r="AX24" s="32">
        <v>75</v>
      </c>
      <c r="AY24" s="32">
        <v>75</v>
      </c>
      <c r="AZ24" s="32">
        <v>75</v>
      </c>
      <c r="BA24" s="32">
        <v>100</v>
      </c>
      <c r="BB24" s="23">
        <f t="shared" ca="1" si="20"/>
        <v>1</v>
      </c>
      <c r="BC24" s="33">
        <f t="shared" si="25"/>
        <v>78.333333333333329</v>
      </c>
      <c r="BD24" s="28">
        <f t="shared" si="21"/>
        <v>0.93617021276595747</v>
      </c>
      <c r="BE24" s="28">
        <f t="shared" si="22"/>
        <v>0.18723404255319151</v>
      </c>
      <c r="BF24" s="34">
        <f ca="1">Q24+AA24+AF24+AR24+BB24</f>
        <v>4.25</v>
      </c>
      <c r="BG24" s="34">
        <f>AVERAGE(AV24:AZ24)</f>
        <v>74</v>
      </c>
      <c r="BH24" s="35">
        <f>T24+AD24+AI24+AU24+BE24</f>
        <v>0.92816792939205994</v>
      </c>
      <c r="BI24" s="36" t="str">
        <f ca="1">IF(K24&lt;365,"New CE",(IF(BH24&gt;=100%,"Promote",IF(BH24&gt;=90%,"Sangat Baik",IF(BH24&gt;=80%,"Baik",IF(BH24&gt;=70%,"Lebih Dari Cukup",IF(BH24&gt;=60%,"Cukup","Kurang")))))))</f>
        <v>Sangat Baik</v>
      </c>
      <c r="BJ24" s="36" t="s">
        <v>855</v>
      </c>
      <c r="BK24" s="58" t="s">
        <v>48</v>
      </c>
      <c r="BL24" s="59" t="e">
        <v>#N/A</v>
      </c>
    </row>
    <row r="25" spans="1:64" x14ac:dyDescent="0.35">
      <c r="A25" s="19">
        <v>21</v>
      </c>
      <c r="B25" s="13" t="s">
        <v>109</v>
      </c>
      <c r="C25" s="20" t="s">
        <v>110</v>
      </c>
      <c r="D25" s="76" t="s">
        <v>54</v>
      </c>
      <c r="E25" s="13" t="s">
        <v>111</v>
      </c>
      <c r="F25" s="13" t="s">
        <v>44</v>
      </c>
      <c r="G25" s="13" t="s">
        <v>61</v>
      </c>
      <c r="H25" s="65">
        <v>45075</v>
      </c>
      <c r="I25" s="21">
        <f t="shared" ca="1" si="23"/>
        <v>45974</v>
      </c>
      <c r="J25" s="13" t="str">
        <f t="shared" ca="1" si="0"/>
        <v xml:space="preserve">2 Tahun 5 Bulan 15 Hari </v>
      </c>
      <c r="K25" s="13">
        <f t="shared" ca="1" si="24"/>
        <v>1294560</v>
      </c>
      <c r="L25" s="13">
        <v>85</v>
      </c>
      <c r="M25" s="13">
        <v>2</v>
      </c>
      <c r="N25" s="13">
        <v>501</v>
      </c>
      <c r="O25" s="22">
        <f t="shared" si="1"/>
        <v>250.5</v>
      </c>
      <c r="P25" s="13">
        <v>266</v>
      </c>
      <c r="Q25" s="23">
        <f t="shared" si="2"/>
        <v>1</v>
      </c>
      <c r="R25" s="24">
        <f t="shared" si="3"/>
        <v>5</v>
      </c>
      <c r="S25" s="25">
        <f t="shared" si="29"/>
        <v>1.0618762475049901</v>
      </c>
      <c r="T25" s="25">
        <f t="shared" si="5"/>
        <v>0.21237524950099804</v>
      </c>
      <c r="U25" s="26">
        <v>3.2534348864994019E-2</v>
      </c>
      <c r="V25" s="26">
        <v>6.7754629629629623E-2</v>
      </c>
      <c r="W25" s="26">
        <v>2.2923900462962967E-2</v>
      </c>
      <c r="X25" s="27">
        <f>IF(U25=TIME(0,0,0), 0, IF(U25&lt;=TIME(1,30,0), 1, 0))</f>
        <v>1</v>
      </c>
      <c r="Y25" s="27">
        <f t="shared" si="28"/>
        <v>1</v>
      </c>
      <c r="Z25" s="27">
        <f t="shared" si="7"/>
        <v>1</v>
      </c>
      <c r="AA25" s="23">
        <f t="shared" si="27"/>
        <v>1.25</v>
      </c>
      <c r="AB25" s="24">
        <f t="shared" si="9"/>
        <v>3</v>
      </c>
      <c r="AC25" s="28">
        <f t="shared" si="10"/>
        <v>1</v>
      </c>
      <c r="AD25" s="29">
        <f t="shared" si="11"/>
        <v>0.25</v>
      </c>
      <c r="AE25" s="30">
        <v>4.5798611111111109E-2</v>
      </c>
      <c r="AF25" s="23">
        <f t="shared" si="12"/>
        <v>1</v>
      </c>
      <c r="AG25" s="24">
        <f t="shared" si="13"/>
        <v>4</v>
      </c>
      <c r="AH25" s="28">
        <f t="shared" si="14"/>
        <v>0.8</v>
      </c>
      <c r="AI25" s="29">
        <f t="shared" si="15"/>
        <v>0.2</v>
      </c>
      <c r="AJ25" s="31">
        <v>1</v>
      </c>
      <c r="AK25" s="31">
        <v>1</v>
      </c>
      <c r="AL25" s="31">
        <v>1</v>
      </c>
      <c r="AM25" s="31">
        <v>0</v>
      </c>
      <c r="AN25" s="31">
        <v>0</v>
      </c>
      <c r="AO25" s="31">
        <v>0</v>
      </c>
      <c r="AP25" s="31">
        <v>0</v>
      </c>
      <c r="AQ25" s="31">
        <v>1</v>
      </c>
      <c r="AR25" s="23">
        <f t="shared" si="16"/>
        <v>0.8</v>
      </c>
      <c r="AS25" s="24">
        <f t="shared" si="17"/>
        <v>4</v>
      </c>
      <c r="AT25" s="28">
        <f t="shared" si="18"/>
        <v>0.5</v>
      </c>
      <c r="AU25" s="28">
        <f t="shared" si="19"/>
        <v>7.4999999999999997E-2</v>
      </c>
      <c r="AV25" s="32">
        <v>75</v>
      </c>
      <c r="AW25" s="32">
        <v>70</v>
      </c>
      <c r="AX25" s="32">
        <v>90</v>
      </c>
      <c r="AY25" s="32">
        <v>90</v>
      </c>
      <c r="AZ25" s="32">
        <v>90</v>
      </c>
      <c r="BA25" s="32">
        <v>100</v>
      </c>
      <c r="BB25" s="23">
        <f t="shared" ca="1" si="20"/>
        <v>1</v>
      </c>
      <c r="BC25" s="33">
        <f t="shared" si="25"/>
        <v>85.833333333333329</v>
      </c>
      <c r="BD25" s="28">
        <f t="shared" si="21"/>
        <v>0.94174757281553401</v>
      </c>
      <c r="BE25" s="28">
        <f t="shared" si="22"/>
        <v>0.18834951456310681</v>
      </c>
      <c r="BF25" s="34">
        <f ca="1">Q25+AA25+AF25+AR25+BB25</f>
        <v>5.05</v>
      </c>
      <c r="BG25" s="34">
        <f>AVERAGE(AV25:AZ25)</f>
        <v>83</v>
      </c>
      <c r="BH25" s="35">
        <f>T25+AD25+AI25+AU25+BE25</f>
        <v>0.92572476406410475</v>
      </c>
      <c r="BI25" s="36" t="str">
        <f ca="1">IF(K25&lt;365,"New CE",(IF(BH25&gt;=100%,"Promote",IF(BH25&gt;=90%,"Sangat Baik",IF(BH25&gt;=80%,"Baik",IF(BH25&gt;=70%,"Lebih Dari Cukup",IF(BH25&gt;=60%,"Cukup","Kurang")))))))</f>
        <v>Sangat Baik</v>
      </c>
      <c r="BJ25" s="36" t="s">
        <v>855</v>
      </c>
      <c r="BK25" s="58" t="s">
        <v>48</v>
      </c>
      <c r="BL25" s="59" t="e">
        <v>#N/A</v>
      </c>
    </row>
    <row r="26" spans="1:64" x14ac:dyDescent="0.35">
      <c r="A26" s="19">
        <v>22</v>
      </c>
      <c r="B26" s="13" t="s">
        <v>112</v>
      </c>
      <c r="C26" s="20" t="s">
        <v>113</v>
      </c>
      <c r="D26" s="76" t="s">
        <v>42</v>
      </c>
      <c r="E26" s="13" t="s">
        <v>114</v>
      </c>
      <c r="F26" s="13" t="s">
        <v>74</v>
      </c>
      <c r="G26" s="13" t="s">
        <v>61</v>
      </c>
      <c r="H26" s="65">
        <v>42982</v>
      </c>
      <c r="I26" s="21">
        <f t="shared" ca="1" si="23"/>
        <v>45974</v>
      </c>
      <c r="J26" s="13" t="str">
        <f t="shared" ca="1" si="0"/>
        <v xml:space="preserve">8 Tahun 2 Bulan 9 Hari </v>
      </c>
      <c r="K26" s="13">
        <f t="shared" ca="1" si="24"/>
        <v>4308480</v>
      </c>
      <c r="L26" s="13">
        <v>211</v>
      </c>
      <c r="M26" s="13">
        <v>4</v>
      </c>
      <c r="N26" s="13">
        <v>1415</v>
      </c>
      <c r="O26" s="22">
        <f t="shared" si="1"/>
        <v>353.75</v>
      </c>
      <c r="P26" s="13">
        <v>447</v>
      </c>
      <c r="Q26" s="23">
        <f t="shared" si="2"/>
        <v>1</v>
      </c>
      <c r="R26" s="24">
        <f t="shared" si="3"/>
        <v>5</v>
      </c>
      <c r="S26" s="25">
        <f t="shared" si="29"/>
        <v>1.2636042402826855</v>
      </c>
      <c r="T26" s="25">
        <f t="shared" si="5"/>
        <v>0.25272084805653711</v>
      </c>
      <c r="U26" s="26">
        <v>20508.502782631418</v>
      </c>
      <c r="V26" s="26">
        <v>11350.464907407408</v>
      </c>
      <c r="W26" s="26">
        <v>8260.0341540404042</v>
      </c>
      <c r="X26" s="27">
        <f>IF(U26=TIME(0,0,0), 0, IF(U26&lt;=TIME(1,30,0), 1, 0))</f>
        <v>0</v>
      </c>
      <c r="Y26" s="27">
        <f t="shared" si="28"/>
        <v>0</v>
      </c>
      <c r="Z26" s="27">
        <f t="shared" si="7"/>
        <v>1</v>
      </c>
      <c r="AA26" s="23">
        <f>IF(AB26=3, 1.75, IF(AB26=2, 1, IF(AB26=1, 0.75, IF(AB26=0, 0, 0))))</f>
        <v>0.75</v>
      </c>
      <c r="AB26" s="24">
        <f t="shared" si="9"/>
        <v>1</v>
      </c>
      <c r="AC26" s="28">
        <f t="shared" si="10"/>
        <v>0.33333333333333331</v>
      </c>
      <c r="AD26" s="29">
        <f t="shared" si="11"/>
        <v>8.3333333333333329E-2</v>
      </c>
      <c r="AE26" s="30">
        <v>3.3220164609053492E-2</v>
      </c>
      <c r="AF26" s="23">
        <f t="shared" si="12"/>
        <v>1.25</v>
      </c>
      <c r="AG26" s="24">
        <f t="shared" si="13"/>
        <v>5</v>
      </c>
      <c r="AH26" s="28">
        <f t="shared" si="14"/>
        <v>1</v>
      </c>
      <c r="AI26" s="29">
        <f t="shared" si="15"/>
        <v>0.25</v>
      </c>
      <c r="AJ26" s="31">
        <v>1</v>
      </c>
      <c r="AK26" s="31">
        <v>1</v>
      </c>
      <c r="AL26" s="31">
        <v>1</v>
      </c>
      <c r="AM26" s="31">
        <v>1</v>
      </c>
      <c r="AN26" s="31">
        <v>1</v>
      </c>
      <c r="AO26" s="31">
        <v>1</v>
      </c>
      <c r="AP26" s="31">
        <v>1</v>
      </c>
      <c r="AQ26" s="31">
        <v>1</v>
      </c>
      <c r="AR26" s="23">
        <f t="shared" si="16"/>
        <v>1</v>
      </c>
      <c r="AS26" s="24">
        <f t="shared" si="17"/>
        <v>8</v>
      </c>
      <c r="AT26" s="28">
        <f t="shared" si="18"/>
        <v>1</v>
      </c>
      <c r="AU26" s="28">
        <f t="shared" si="19"/>
        <v>0.15</v>
      </c>
      <c r="AV26" s="32">
        <v>75</v>
      </c>
      <c r="AW26" s="32">
        <v>60</v>
      </c>
      <c r="AX26" s="32">
        <v>85</v>
      </c>
      <c r="AY26" s="32">
        <v>90</v>
      </c>
      <c r="AZ26" s="32">
        <v>90</v>
      </c>
      <c r="BA26" s="32">
        <v>100</v>
      </c>
      <c r="BB26" s="23">
        <f t="shared" ca="1" si="20"/>
        <v>1</v>
      </c>
      <c r="BC26" s="33">
        <f t="shared" si="25"/>
        <v>83.333333333333329</v>
      </c>
      <c r="BD26" s="28">
        <f t="shared" si="21"/>
        <v>0.94</v>
      </c>
      <c r="BE26" s="28">
        <f t="shared" si="22"/>
        <v>0.188</v>
      </c>
      <c r="BF26" s="34">
        <f ca="1">Q26+AA26+AF26+AR26+BB26</f>
        <v>5</v>
      </c>
      <c r="BG26" s="34">
        <f>AVERAGE(AV26:AZ26)</f>
        <v>80</v>
      </c>
      <c r="BH26" s="35">
        <f>T26+AD26+AI26+AU26+BE26</f>
        <v>0.92405418138987039</v>
      </c>
      <c r="BI26" s="36" t="str">
        <f ca="1">IF(K26&lt;365,"New CE",(IF(BH26&gt;=100%,"Promote",IF(BH26&gt;=90%,"Sangat Baik",IF(BH26&gt;=80%,"Baik",IF(BH26&gt;=70%,"Lebih Dari Cukup",IF(BH26&gt;=60%,"Cukup","Kurang")))))))</f>
        <v>Sangat Baik</v>
      </c>
      <c r="BJ26" s="36" t="s">
        <v>860</v>
      </c>
      <c r="BK26" s="58" t="s">
        <v>42</v>
      </c>
      <c r="BL26" s="59" t="str">
        <v>Wahyudi Aulia</v>
      </c>
    </row>
    <row r="27" spans="1:64" x14ac:dyDescent="0.35">
      <c r="A27" s="19">
        <v>23</v>
      </c>
      <c r="B27" s="13" t="s">
        <v>208</v>
      </c>
      <c r="C27" s="20" t="s">
        <v>209</v>
      </c>
      <c r="D27" s="76" t="s">
        <v>48</v>
      </c>
      <c r="E27" s="13" t="s">
        <v>182</v>
      </c>
      <c r="F27" s="13" t="s">
        <v>74</v>
      </c>
      <c r="G27" s="13" t="s">
        <v>55</v>
      </c>
      <c r="H27" s="65">
        <v>44228</v>
      </c>
      <c r="I27" s="21">
        <f t="shared" ca="1" si="23"/>
        <v>45974</v>
      </c>
      <c r="J27" s="13" t="str">
        <f t="shared" ca="1" si="0"/>
        <v xml:space="preserve">4 Tahun 9 Bulan 12 Hari </v>
      </c>
      <c r="K27" s="13">
        <f t="shared" ca="1" si="24"/>
        <v>2514240</v>
      </c>
      <c r="L27" s="13">
        <v>612</v>
      </c>
      <c r="M27" s="13">
        <v>11</v>
      </c>
      <c r="N27" s="13">
        <v>5254</v>
      </c>
      <c r="O27" s="22">
        <f t="shared" si="1"/>
        <v>477.63636363636363</v>
      </c>
      <c r="P27" s="13">
        <v>483</v>
      </c>
      <c r="Q27" s="23">
        <f t="shared" si="2"/>
        <v>1</v>
      </c>
      <c r="R27" s="24">
        <f t="shared" si="3"/>
        <v>5</v>
      </c>
      <c r="S27" s="25">
        <f t="shared" si="29"/>
        <v>1.0112295393985535</v>
      </c>
      <c r="T27" s="25">
        <f t="shared" si="5"/>
        <v>0.20224590787971072</v>
      </c>
      <c r="U27" s="26">
        <v>6.1111111111111109E-2</v>
      </c>
      <c r="V27" s="26">
        <v>7.6388888888888895E-2</v>
      </c>
      <c r="W27" s="26">
        <v>6.9444444444444444E-5</v>
      </c>
      <c r="X27" s="27">
        <v>0</v>
      </c>
      <c r="Y27" s="27">
        <f t="shared" si="28"/>
        <v>1</v>
      </c>
      <c r="Z27" s="27">
        <f t="shared" si="7"/>
        <v>1</v>
      </c>
      <c r="AA27" s="23">
        <f>IF(AB27=3, 1.25, IF(AB27=2, 0.8, IF(AB27=1, 0.4, IF(AB27=0, 0, 0))))</f>
        <v>0.8</v>
      </c>
      <c r="AB27" s="24">
        <f t="shared" si="9"/>
        <v>2</v>
      </c>
      <c r="AC27" s="28">
        <f t="shared" si="10"/>
        <v>0.66666666666666663</v>
      </c>
      <c r="AD27" s="29">
        <f t="shared" si="11"/>
        <v>0.16666666666666666</v>
      </c>
      <c r="AE27" s="30">
        <v>4.1631944444444444E-2</v>
      </c>
      <c r="AF27" s="23">
        <f t="shared" si="12"/>
        <v>1.25</v>
      </c>
      <c r="AG27" s="24">
        <f t="shared" si="13"/>
        <v>5</v>
      </c>
      <c r="AH27" s="28">
        <f t="shared" si="14"/>
        <v>1</v>
      </c>
      <c r="AI27" s="29">
        <f t="shared" si="15"/>
        <v>0.25</v>
      </c>
      <c r="AJ27" s="31">
        <v>1</v>
      </c>
      <c r="AK27" s="31">
        <v>1</v>
      </c>
      <c r="AL27" s="31">
        <v>1</v>
      </c>
      <c r="AM27" s="31">
        <v>1</v>
      </c>
      <c r="AN27" s="31">
        <v>1</v>
      </c>
      <c r="AO27" s="31">
        <v>0</v>
      </c>
      <c r="AP27" s="31">
        <v>1</v>
      </c>
      <c r="AQ27" s="31">
        <v>0</v>
      </c>
      <c r="AR27" s="23">
        <f t="shared" si="16"/>
        <v>1</v>
      </c>
      <c r="AS27" s="24">
        <f t="shared" si="17"/>
        <v>6</v>
      </c>
      <c r="AT27" s="28">
        <f t="shared" si="18"/>
        <v>0.75</v>
      </c>
      <c r="AU27" s="28">
        <f t="shared" si="19"/>
        <v>0.11249999999999999</v>
      </c>
      <c r="AV27" s="32">
        <v>75</v>
      </c>
      <c r="AW27" s="32">
        <v>75</v>
      </c>
      <c r="AX27" s="32">
        <v>85</v>
      </c>
      <c r="AY27" s="32">
        <v>95</v>
      </c>
      <c r="AZ27" s="32">
        <v>90</v>
      </c>
      <c r="BA27" s="32">
        <v>100</v>
      </c>
      <c r="BB27" s="23">
        <f t="shared" ca="1" si="20"/>
        <v>1</v>
      </c>
      <c r="BC27" s="33">
        <f t="shared" si="25"/>
        <v>86.666666666666671</v>
      </c>
      <c r="BD27" s="28">
        <f t="shared" si="21"/>
        <v>0.94230769230769229</v>
      </c>
      <c r="BE27" s="28">
        <f t="shared" si="22"/>
        <v>0.18846153846153846</v>
      </c>
      <c r="BF27" s="34">
        <f ca="1">Q27+AA27+AF27+AR27+BB27</f>
        <v>5.05</v>
      </c>
      <c r="BG27" s="34">
        <f>AVERAGE(AV27:AZ27)</f>
        <v>84</v>
      </c>
      <c r="BH27" s="35">
        <f>T27+AD27+AI27+AU27+BE27</f>
        <v>0.91987411300791577</v>
      </c>
      <c r="BI27" s="36" t="str">
        <f ca="1">IF(K27&lt;365,"New CE",(IF(BH27&gt;=100%,"Promote",IF(BH27&gt;=90%,"Sangat Baik",IF(BH27&gt;=80%,"Baik",IF(BH27&gt;=70%,"Lebih Dari Cukup",IF(BH27&gt;=60%,"Cukup","Kurang")))))))</f>
        <v>Sangat Baik</v>
      </c>
      <c r="BJ27" s="36" t="s">
        <v>855</v>
      </c>
      <c r="BK27" s="58" t="s">
        <v>851</v>
      </c>
      <c r="BL27" s="59" t="str">
        <v>I Gede Agus Satriya Bayu</v>
      </c>
    </row>
    <row r="28" spans="1:64" x14ac:dyDescent="0.35">
      <c r="A28" s="19">
        <v>24</v>
      </c>
      <c r="B28" s="13" t="s">
        <v>115</v>
      </c>
      <c r="C28" s="20" t="s">
        <v>116</v>
      </c>
      <c r="D28" s="76" t="s">
        <v>48</v>
      </c>
      <c r="E28" s="13" t="s">
        <v>117</v>
      </c>
      <c r="F28" s="13" t="s">
        <v>74</v>
      </c>
      <c r="G28" s="13" t="s">
        <v>51</v>
      </c>
      <c r="H28" s="65">
        <v>44431</v>
      </c>
      <c r="I28" s="21">
        <f t="shared" ca="1" si="23"/>
        <v>45974</v>
      </c>
      <c r="J28" s="13" t="str">
        <f t="shared" ca="1" si="0"/>
        <v xml:space="preserve">4 Tahun 2 Bulan 21 Hari </v>
      </c>
      <c r="K28" s="13">
        <f t="shared" ca="1" si="24"/>
        <v>2221920</v>
      </c>
      <c r="L28" s="13">
        <v>401</v>
      </c>
      <c r="M28" s="13">
        <v>7</v>
      </c>
      <c r="N28" s="13">
        <v>2754</v>
      </c>
      <c r="O28" s="22">
        <f t="shared" si="1"/>
        <v>393.42857142857144</v>
      </c>
      <c r="P28" s="13">
        <v>533</v>
      </c>
      <c r="Q28" s="23">
        <f t="shared" si="2"/>
        <v>1</v>
      </c>
      <c r="R28" s="24">
        <f t="shared" si="3"/>
        <v>5</v>
      </c>
      <c r="S28" s="25">
        <f t="shared" si="29"/>
        <v>1.3547567175018156</v>
      </c>
      <c r="T28" s="25">
        <f t="shared" si="5"/>
        <v>0.27095134350036315</v>
      </c>
      <c r="U28" s="26">
        <v>1564.615772270115</v>
      </c>
      <c r="V28" s="26">
        <v>1.6880787037037038E-2</v>
      </c>
      <c r="W28" s="26">
        <v>3032.5721875000008</v>
      </c>
      <c r="X28" s="27">
        <f t="shared" ref="X28:X33" si="30">IF(U28=TIME(0,0,0), 0, IF(U28&lt;=TIME(1,30,0), 1, 0))</f>
        <v>0</v>
      </c>
      <c r="Y28" s="27">
        <f t="shared" si="28"/>
        <v>1</v>
      </c>
      <c r="Z28" s="27">
        <f t="shared" si="7"/>
        <v>1</v>
      </c>
      <c r="AA28" s="23">
        <f>IF(AB28=3, 1.25, IF(AB28=2, 0.8, IF(AB28=1, 0.4, IF(AB28=0, 0, 0))))</f>
        <v>0.8</v>
      </c>
      <c r="AB28" s="24">
        <f t="shared" si="9"/>
        <v>2</v>
      </c>
      <c r="AC28" s="28">
        <f t="shared" si="10"/>
        <v>0.66666666666666663</v>
      </c>
      <c r="AD28" s="29">
        <f t="shared" si="11"/>
        <v>0.16666666666666666</v>
      </c>
      <c r="AE28" s="30">
        <v>5.6052606197205965E-2</v>
      </c>
      <c r="AF28" s="23">
        <f t="shared" si="12"/>
        <v>1</v>
      </c>
      <c r="AG28" s="24">
        <f t="shared" si="13"/>
        <v>4</v>
      </c>
      <c r="AH28" s="28">
        <f t="shared" si="14"/>
        <v>0.8</v>
      </c>
      <c r="AI28" s="29">
        <f t="shared" si="15"/>
        <v>0.2</v>
      </c>
      <c r="AJ28" s="31">
        <v>1</v>
      </c>
      <c r="AK28" s="31">
        <v>1</v>
      </c>
      <c r="AL28" s="31">
        <v>1</v>
      </c>
      <c r="AM28" s="31">
        <v>0</v>
      </c>
      <c r="AN28" s="31">
        <v>1</v>
      </c>
      <c r="AO28" s="31">
        <v>1</v>
      </c>
      <c r="AP28" s="31">
        <v>0</v>
      </c>
      <c r="AQ28" s="31">
        <v>0</v>
      </c>
      <c r="AR28" s="23">
        <f t="shared" si="16"/>
        <v>1</v>
      </c>
      <c r="AS28" s="24">
        <f t="shared" si="17"/>
        <v>5</v>
      </c>
      <c r="AT28" s="28">
        <f t="shared" si="18"/>
        <v>0.625</v>
      </c>
      <c r="AU28" s="28">
        <f t="shared" si="19"/>
        <v>9.375E-2</v>
      </c>
      <c r="AV28" s="32">
        <v>80</v>
      </c>
      <c r="AW28" s="32">
        <v>80</v>
      </c>
      <c r="AX28" s="32">
        <v>80</v>
      </c>
      <c r="AY28" s="32">
        <v>85</v>
      </c>
      <c r="AZ28" s="32">
        <v>85</v>
      </c>
      <c r="BA28" s="32">
        <v>100</v>
      </c>
      <c r="BB28" s="23">
        <f t="shared" ca="1" si="20"/>
        <v>1</v>
      </c>
      <c r="BC28" s="33">
        <f t="shared" si="25"/>
        <v>85</v>
      </c>
      <c r="BD28" s="28">
        <f t="shared" si="21"/>
        <v>0.94117647058823528</v>
      </c>
      <c r="BE28" s="28">
        <f t="shared" si="22"/>
        <v>0.18823529411764706</v>
      </c>
      <c r="BF28" s="34">
        <f ca="1">Q28+AA28+AF28+AR28+BB28</f>
        <v>4.8</v>
      </c>
      <c r="BG28" s="34">
        <f>AVERAGE(AV28:AZ28)</f>
        <v>82</v>
      </c>
      <c r="BH28" s="35">
        <f>T28+AD28+AI28+AU28+BE28</f>
        <v>0.91960330428467696</v>
      </c>
      <c r="BI28" s="36" t="str">
        <f ca="1">IF(K28&lt;365,"New CE",(IF(BH28&gt;=100%,"Promote",IF(BH28&gt;=90%,"Sangat Baik",IF(BH28&gt;=80%,"Baik",IF(BH28&gt;=70%,"Lebih Dari Cukup",IF(BH28&gt;=60%,"Cukup","Kurang")))))))</f>
        <v>Sangat Baik</v>
      </c>
      <c r="BJ28" s="36" t="s">
        <v>860</v>
      </c>
      <c r="BK28" s="58" t="s">
        <v>48</v>
      </c>
      <c r="BL28" s="59" t="str">
        <v>Heru Pangihutan Tobing</v>
      </c>
    </row>
    <row r="29" spans="1:64" x14ac:dyDescent="0.35">
      <c r="A29" s="19">
        <v>25</v>
      </c>
      <c r="B29" s="13" t="s">
        <v>118</v>
      </c>
      <c r="C29" s="20" t="s">
        <v>119</v>
      </c>
      <c r="D29" s="76" t="s">
        <v>48</v>
      </c>
      <c r="E29" s="13" t="s">
        <v>120</v>
      </c>
      <c r="F29" s="13" t="s">
        <v>74</v>
      </c>
      <c r="G29" s="13" t="s">
        <v>55</v>
      </c>
      <c r="H29" s="65">
        <v>44123</v>
      </c>
      <c r="I29" s="21">
        <f t="shared" ca="1" si="23"/>
        <v>45974</v>
      </c>
      <c r="J29" s="13" t="str">
        <f t="shared" ca="1" si="0"/>
        <v xml:space="preserve">5 Tahun 0 Bulan 25 Hari </v>
      </c>
      <c r="K29" s="13">
        <f t="shared" ca="1" si="24"/>
        <v>2665440</v>
      </c>
      <c r="L29" s="13">
        <v>64</v>
      </c>
      <c r="M29" s="13">
        <v>2</v>
      </c>
      <c r="N29" s="13">
        <v>500</v>
      </c>
      <c r="O29" s="22">
        <f t="shared" si="1"/>
        <v>250</v>
      </c>
      <c r="P29" s="13">
        <v>277</v>
      </c>
      <c r="Q29" s="23">
        <f t="shared" si="2"/>
        <v>1</v>
      </c>
      <c r="R29" s="24">
        <f t="shared" si="3"/>
        <v>5</v>
      </c>
      <c r="S29" s="25">
        <f t="shared" si="29"/>
        <v>1.1080000000000001</v>
      </c>
      <c r="T29" s="25">
        <f t="shared" si="5"/>
        <v>0.22160000000000002</v>
      </c>
      <c r="U29" s="26">
        <v>2.8472222222222222E-2</v>
      </c>
      <c r="V29" s="26">
        <v>6479.0597949735447</v>
      </c>
      <c r="W29" s="26">
        <v>13355.174370234206</v>
      </c>
      <c r="X29" s="27">
        <f t="shared" si="30"/>
        <v>1</v>
      </c>
      <c r="Y29" s="27">
        <v>1</v>
      </c>
      <c r="Z29" s="27">
        <f t="shared" si="7"/>
        <v>1</v>
      </c>
      <c r="AA29" s="23">
        <f>IF(AB29=3, 1.25, IF(AB29=2, 0.8, IF(AB29=1, 0.4, IF(AB29=0, 0, 0))))</f>
        <v>1.25</v>
      </c>
      <c r="AB29" s="24">
        <f t="shared" si="9"/>
        <v>3</v>
      </c>
      <c r="AC29" s="28">
        <f t="shared" si="10"/>
        <v>1</v>
      </c>
      <c r="AD29" s="29">
        <f t="shared" si="11"/>
        <v>0.25</v>
      </c>
      <c r="AE29" s="30">
        <v>5.4976851851851853E-2</v>
      </c>
      <c r="AF29" s="23">
        <f t="shared" si="12"/>
        <v>1</v>
      </c>
      <c r="AG29" s="24">
        <f t="shared" si="13"/>
        <v>4</v>
      </c>
      <c r="AH29" s="28">
        <f t="shared" si="14"/>
        <v>0.8</v>
      </c>
      <c r="AI29" s="29">
        <f t="shared" si="15"/>
        <v>0.2</v>
      </c>
      <c r="AJ29" s="31">
        <v>1</v>
      </c>
      <c r="AK29" s="31">
        <v>1</v>
      </c>
      <c r="AL29" s="31">
        <v>1</v>
      </c>
      <c r="AM29" s="31">
        <v>0</v>
      </c>
      <c r="AN29" s="31">
        <v>0</v>
      </c>
      <c r="AO29" s="31">
        <v>0</v>
      </c>
      <c r="AP29" s="31">
        <v>0</v>
      </c>
      <c r="AQ29" s="31">
        <v>0</v>
      </c>
      <c r="AR29" s="23">
        <f t="shared" si="16"/>
        <v>0.6</v>
      </c>
      <c r="AS29" s="24">
        <f t="shared" si="17"/>
        <v>3</v>
      </c>
      <c r="AT29" s="28">
        <f t="shared" si="18"/>
        <v>0.375</v>
      </c>
      <c r="AU29" s="28">
        <f t="shared" si="19"/>
        <v>5.6249999999999994E-2</v>
      </c>
      <c r="AV29" s="32">
        <v>75</v>
      </c>
      <c r="AW29" s="32">
        <v>75</v>
      </c>
      <c r="AX29" s="32">
        <v>85</v>
      </c>
      <c r="AY29" s="32">
        <v>85</v>
      </c>
      <c r="AZ29" s="32">
        <v>85</v>
      </c>
      <c r="BA29" s="32">
        <v>100</v>
      </c>
      <c r="BB29" s="23">
        <f t="shared" ca="1" si="20"/>
        <v>1</v>
      </c>
      <c r="BC29" s="33">
        <f t="shared" si="25"/>
        <v>84.166666666666671</v>
      </c>
      <c r="BD29" s="28">
        <f t="shared" si="21"/>
        <v>0.94059405940594054</v>
      </c>
      <c r="BE29" s="28">
        <f t="shared" si="22"/>
        <v>0.18811881188118812</v>
      </c>
      <c r="BF29" s="34">
        <f ca="1">Q29+AA29+AF29+AR29+BB29</f>
        <v>4.8499999999999996</v>
      </c>
      <c r="BG29" s="34">
        <f>AVERAGE(AV29:AZ29)</f>
        <v>81</v>
      </c>
      <c r="BH29" s="35">
        <f>T29+AD29+AI29+AU29+BE29</f>
        <v>0.91596881188118817</v>
      </c>
      <c r="BI29" s="36" t="str">
        <f ca="1">IF(K29&lt;365,"New CE",(IF(BH29&gt;=100%,"Promote",IF(BH29&gt;=90%,"Sangat Baik",IF(BH29&gt;=80%,"Baik",IF(BH29&gt;=70%,"Lebih Dari Cukup",IF(BH29&gt;=60%,"Cukup","Kurang")))))))</f>
        <v>Sangat Baik</v>
      </c>
      <c r="BJ29" s="36" t="s">
        <v>855</v>
      </c>
      <c r="BK29" s="58" t="s">
        <v>851</v>
      </c>
      <c r="BL29" s="59" t="str">
        <v>Zeth Taba Mangiwa</v>
      </c>
    </row>
    <row r="30" spans="1:64" x14ac:dyDescent="0.35">
      <c r="A30" s="19">
        <v>26</v>
      </c>
      <c r="B30" s="13" t="s">
        <v>121</v>
      </c>
      <c r="C30" s="20" t="s">
        <v>122</v>
      </c>
      <c r="D30" s="76" t="s">
        <v>48</v>
      </c>
      <c r="E30" s="13" t="s">
        <v>123</v>
      </c>
      <c r="F30" s="13" t="s">
        <v>44</v>
      </c>
      <c r="G30" s="13" t="s">
        <v>45</v>
      </c>
      <c r="H30" s="65">
        <v>43836</v>
      </c>
      <c r="I30" s="21">
        <f t="shared" ca="1" si="23"/>
        <v>45974</v>
      </c>
      <c r="J30" s="13" t="str">
        <f t="shared" ca="1" si="0"/>
        <v xml:space="preserve">5 Tahun 10 Bulan 7 Hari </v>
      </c>
      <c r="K30" s="13">
        <f t="shared" ca="1" si="24"/>
        <v>3078720</v>
      </c>
      <c r="L30" s="13">
        <v>213</v>
      </c>
      <c r="M30" s="13">
        <v>3</v>
      </c>
      <c r="N30" s="13">
        <v>1330</v>
      </c>
      <c r="O30" s="22">
        <f t="shared" si="1"/>
        <v>443.33333333333331</v>
      </c>
      <c r="P30" s="13">
        <v>472</v>
      </c>
      <c r="Q30" s="23">
        <f t="shared" si="2"/>
        <v>1</v>
      </c>
      <c r="R30" s="24">
        <f t="shared" si="3"/>
        <v>5</v>
      </c>
      <c r="S30" s="25">
        <f t="shared" si="29"/>
        <v>1.0646616541353384</v>
      </c>
      <c r="T30" s="25">
        <f t="shared" si="5"/>
        <v>0.2129323308270677</v>
      </c>
      <c r="U30" s="26">
        <v>1034.5216019570707</v>
      </c>
      <c r="V30" s="26">
        <v>5.2359182098765424E-2</v>
      </c>
      <c r="W30" s="26">
        <v>5.0173611111111113E-3</v>
      </c>
      <c r="X30" s="27">
        <f t="shared" si="30"/>
        <v>0</v>
      </c>
      <c r="Y30" s="27">
        <f>IF(V30=TIME(0,0,0), 0, IF(V30&lt;=TIME(3,0,0), 1, 0))</f>
        <v>1</v>
      </c>
      <c r="Z30" s="27">
        <f t="shared" si="7"/>
        <v>1</v>
      </c>
      <c r="AA30" s="23">
        <f>IF(AB30=3, 1.75, IF(AB30=2, 1, IF(AB30=1, 0.75, IF(AB30=0, 0, 0))))</f>
        <v>1</v>
      </c>
      <c r="AB30" s="24">
        <f t="shared" si="9"/>
        <v>2</v>
      </c>
      <c r="AC30" s="28">
        <f t="shared" si="10"/>
        <v>0.66666666666666663</v>
      </c>
      <c r="AD30" s="29">
        <f t="shared" si="11"/>
        <v>0.16666666666666666</v>
      </c>
      <c r="AE30" s="30">
        <v>3.4793679549114331E-2</v>
      </c>
      <c r="AF30" s="23">
        <f t="shared" si="12"/>
        <v>1.25</v>
      </c>
      <c r="AG30" s="24">
        <f t="shared" si="13"/>
        <v>5</v>
      </c>
      <c r="AH30" s="28">
        <f t="shared" si="14"/>
        <v>1</v>
      </c>
      <c r="AI30" s="29">
        <f t="shared" si="15"/>
        <v>0.25</v>
      </c>
      <c r="AJ30" s="31">
        <v>1</v>
      </c>
      <c r="AK30" s="31">
        <v>1</v>
      </c>
      <c r="AL30" s="31">
        <v>1</v>
      </c>
      <c r="AM30" s="31">
        <v>0</v>
      </c>
      <c r="AN30" s="31">
        <v>1</v>
      </c>
      <c r="AO30" s="31">
        <v>0</v>
      </c>
      <c r="AP30" s="31">
        <v>0</v>
      </c>
      <c r="AQ30" s="31">
        <v>1</v>
      </c>
      <c r="AR30" s="23">
        <f t="shared" si="16"/>
        <v>1</v>
      </c>
      <c r="AS30" s="24">
        <f t="shared" si="17"/>
        <v>5</v>
      </c>
      <c r="AT30" s="28">
        <f t="shared" si="18"/>
        <v>0.625</v>
      </c>
      <c r="AU30" s="28">
        <f t="shared" si="19"/>
        <v>9.375E-2</v>
      </c>
      <c r="AV30" s="32">
        <v>85</v>
      </c>
      <c r="AW30" s="32">
        <v>70</v>
      </c>
      <c r="AX30" s="32">
        <v>90</v>
      </c>
      <c r="AY30" s="32">
        <v>90</v>
      </c>
      <c r="AZ30" s="32">
        <v>90</v>
      </c>
      <c r="BA30" s="32">
        <v>100</v>
      </c>
      <c r="BB30" s="23">
        <f t="shared" ca="1" si="20"/>
        <v>1</v>
      </c>
      <c r="BC30" s="33">
        <f t="shared" si="25"/>
        <v>87.5</v>
      </c>
      <c r="BD30" s="28">
        <f t="shared" si="21"/>
        <v>0.94285714285714284</v>
      </c>
      <c r="BE30" s="28">
        <f t="shared" si="22"/>
        <v>0.18857142857142858</v>
      </c>
      <c r="BF30" s="34">
        <f ca="1">Q30+AA30+AF30+AR30+BB30</f>
        <v>5.25</v>
      </c>
      <c r="BG30" s="34">
        <f>AVERAGE(AV30:AZ30)</f>
        <v>85</v>
      </c>
      <c r="BH30" s="35">
        <f>T30+AD30+AI30+AU30+BE30</f>
        <v>0.91192042606516299</v>
      </c>
      <c r="BI30" s="36" t="str">
        <f ca="1">IF(K30&lt;365,"New CE",(IF(BH30&gt;=100%,"Promote",IF(BH30&gt;=90%,"Sangat Baik",IF(BH30&gt;=80%,"Baik",IF(BH30&gt;=70%,"Lebih Dari Cukup",IF(BH30&gt;=60%,"Cukup","Kurang")))))))</f>
        <v>Sangat Baik</v>
      </c>
      <c r="BJ30" s="36" t="s">
        <v>855</v>
      </c>
      <c r="BK30" s="58" t="s">
        <v>851</v>
      </c>
      <c r="BL30" s="59" t="e">
        <v>#N/A</v>
      </c>
    </row>
    <row r="31" spans="1:64" x14ac:dyDescent="0.35">
      <c r="A31" s="19">
        <v>27</v>
      </c>
      <c r="B31" s="13" t="s">
        <v>124</v>
      </c>
      <c r="C31" s="20" t="s">
        <v>125</v>
      </c>
      <c r="D31" s="76" t="s">
        <v>54</v>
      </c>
      <c r="E31" s="13" t="s">
        <v>67</v>
      </c>
      <c r="F31" s="13" t="s">
        <v>44</v>
      </c>
      <c r="G31" s="13" t="s">
        <v>55</v>
      </c>
      <c r="H31" s="65">
        <v>44882</v>
      </c>
      <c r="I31" s="21">
        <f t="shared" ca="1" si="23"/>
        <v>45974</v>
      </c>
      <c r="J31" s="13" t="str">
        <f t="shared" ca="1" si="0"/>
        <v xml:space="preserve">2 Tahun 11 Bulan 27 Hari </v>
      </c>
      <c r="K31" s="13">
        <f t="shared" ca="1" si="24"/>
        <v>1572480</v>
      </c>
      <c r="L31" s="13">
        <v>625</v>
      </c>
      <c r="M31" s="13">
        <v>10</v>
      </c>
      <c r="N31" s="13">
        <v>4149</v>
      </c>
      <c r="O31" s="22">
        <f t="shared" si="1"/>
        <v>414.9</v>
      </c>
      <c r="P31" s="13">
        <v>450</v>
      </c>
      <c r="Q31" s="23">
        <f t="shared" si="2"/>
        <v>1</v>
      </c>
      <c r="R31" s="24">
        <f t="shared" si="3"/>
        <v>5</v>
      </c>
      <c r="S31" s="25">
        <f t="shared" si="29"/>
        <v>1.0845986984815619</v>
      </c>
      <c r="T31" s="25">
        <f t="shared" si="5"/>
        <v>0.2169197396963124</v>
      </c>
      <c r="U31" s="26">
        <v>7.8438552188552172E-3</v>
      </c>
      <c r="V31" s="26">
        <v>3.4039351851851855E-2</v>
      </c>
      <c r="W31" s="26">
        <v>1.8518518518518518E-4</v>
      </c>
      <c r="X31" s="27">
        <f t="shared" si="30"/>
        <v>1</v>
      </c>
      <c r="Y31" s="27">
        <f>IF(V31=TIME(0,0,0), 0, IF(V31&lt;=TIME(3,0,0), 1, 0))</f>
        <v>1</v>
      </c>
      <c r="Z31" s="27">
        <f t="shared" si="7"/>
        <v>1</v>
      </c>
      <c r="AA31" s="23">
        <f t="shared" ref="AA31:AA39" si="31">IF(AB31=3, 1.25, IF(AB31=2, 0.8, IF(AB31=1, 0.4, IF(AB31=0, 0, 0))))</f>
        <v>1.25</v>
      </c>
      <c r="AB31" s="24">
        <f t="shared" si="9"/>
        <v>3</v>
      </c>
      <c r="AC31" s="28">
        <f t="shared" si="10"/>
        <v>1</v>
      </c>
      <c r="AD31" s="29">
        <f t="shared" si="11"/>
        <v>0.25</v>
      </c>
      <c r="AE31" s="30">
        <v>4.6040294578853044E-2</v>
      </c>
      <c r="AF31" s="23">
        <f t="shared" si="12"/>
        <v>1</v>
      </c>
      <c r="AG31" s="24">
        <f t="shared" si="13"/>
        <v>4</v>
      </c>
      <c r="AH31" s="28">
        <f t="shared" si="14"/>
        <v>0.8</v>
      </c>
      <c r="AI31" s="29">
        <f t="shared" si="15"/>
        <v>0.2</v>
      </c>
      <c r="AJ31" s="31">
        <v>1</v>
      </c>
      <c r="AK31" s="31">
        <v>1</v>
      </c>
      <c r="AL31" s="31">
        <v>1</v>
      </c>
      <c r="AM31" s="31">
        <v>0</v>
      </c>
      <c r="AN31" s="31">
        <v>0</v>
      </c>
      <c r="AO31" s="31">
        <v>0</v>
      </c>
      <c r="AP31" s="31">
        <v>0</v>
      </c>
      <c r="AQ31" s="31">
        <v>0</v>
      </c>
      <c r="AR31" s="23">
        <f t="shared" si="16"/>
        <v>0.6</v>
      </c>
      <c r="AS31" s="24">
        <f t="shared" si="17"/>
        <v>3</v>
      </c>
      <c r="AT31" s="28">
        <f t="shared" si="18"/>
        <v>0.375</v>
      </c>
      <c r="AU31" s="28">
        <f t="shared" si="19"/>
        <v>5.6249999999999994E-2</v>
      </c>
      <c r="AV31" s="32">
        <v>75</v>
      </c>
      <c r="AW31" s="32">
        <v>75</v>
      </c>
      <c r="AX31" s="32">
        <v>80</v>
      </c>
      <c r="AY31" s="32">
        <v>80</v>
      </c>
      <c r="AZ31" s="32">
        <v>80</v>
      </c>
      <c r="BA31" s="32">
        <v>100</v>
      </c>
      <c r="BB31" s="23">
        <f t="shared" ca="1" si="20"/>
        <v>1</v>
      </c>
      <c r="BC31" s="33">
        <f t="shared" si="25"/>
        <v>81.666666666666671</v>
      </c>
      <c r="BD31" s="28">
        <f t="shared" si="21"/>
        <v>0.93877551020408168</v>
      </c>
      <c r="BE31" s="28">
        <f t="shared" si="22"/>
        <v>0.18775510204081636</v>
      </c>
      <c r="BF31" s="34">
        <f ca="1">Q31+AA31+AF31+AR31+BB31</f>
        <v>4.8499999999999996</v>
      </c>
      <c r="BG31" s="34">
        <f>AVERAGE(AV31:AZ31)</f>
        <v>78</v>
      </c>
      <c r="BH31" s="35">
        <f>T31+AD31+AI31+AU31+BE31</f>
        <v>0.91092484173712884</v>
      </c>
      <c r="BI31" s="36" t="str">
        <f ca="1">IF(K31&lt;365,"New CE",(IF(BH31&gt;=100%,"Promote",IF(BH31&gt;=90%,"Sangat Baik",IF(BH31&gt;=80%,"Baik",IF(BH31&gt;=70%,"Lebih Dari Cukup",IF(BH31&gt;=60%,"Cukup","Kurang")))))))</f>
        <v>Sangat Baik</v>
      </c>
      <c r="BJ31" s="36" t="s">
        <v>855</v>
      </c>
      <c r="BK31" s="58" t="s">
        <v>48</v>
      </c>
      <c r="BL31" s="59" t="e">
        <v>#N/A</v>
      </c>
    </row>
    <row r="32" spans="1:64" x14ac:dyDescent="0.35">
      <c r="A32" s="19">
        <v>28</v>
      </c>
      <c r="B32" s="13" t="s">
        <v>126</v>
      </c>
      <c r="C32" s="20" t="s">
        <v>127</v>
      </c>
      <c r="D32" s="76" t="s">
        <v>54</v>
      </c>
      <c r="E32" s="13" t="s">
        <v>128</v>
      </c>
      <c r="F32" s="13" t="s">
        <v>74</v>
      </c>
      <c r="G32" s="13" t="s">
        <v>61</v>
      </c>
      <c r="H32" s="65">
        <v>45173</v>
      </c>
      <c r="I32" s="21">
        <f t="shared" ca="1" si="23"/>
        <v>45974</v>
      </c>
      <c r="J32" s="13" t="str">
        <f t="shared" ca="1" si="0"/>
        <v xml:space="preserve">2 Tahun 2 Bulan 9 Hari </v>
      </c>
      <c r="K32" s="13">
        <f t="shared" ca="1" si="24"/>
        <v>1153440</v>
      </c>
      <c r="L32" s="13">
        <v>49</v>
      </c>
      <c r="M32" s="13">
        <v>1</v>
      </c>
      <c r="N32" s="13">
        <v>262</v>
      </c>
      <c r="O32" s="22">
        <f t="shared" si="1"/>
        <v>262</v>
      </c>
      <c r="P32" s="13">
        <v>366</v>
      </c>
      <c r="Q32" s="23">
        <f t="shared" si="2"/>
        <v>1</v>
      </c>
      <c r="R32" s="24">
        <f t="shared" si="3"/>
        <v>5</v>
      </c>
      <c r="S32" s="25">
        <f t="shared" si="29"/>
        <v>1.3969465648854962</v>
      </c>
      <c r="T32" s="25">
        <f t="shared" si="5"/>
        <v>0.27938931297709924</v>
      </c>
      <c r="U32" s="26">
        <v>9575.496762305067</v>
      </c>
      <c r="V32" s="26">
        <v>6.5972222222222224E-2</v>
      </c>
      <c r="W32" s="26">
        <v>4132.7462864758709</v>
      </c>
      <c r="X32" s="27">
        <f t="shared" si="30"/>
        <v>0</v>
      </c>
      <c r="Y32" s="27">
        <f>IF(V32=TIME(0,0,0), 0, IF(V32&lt;=TIME(3,0,0), 1, 0))</f>
        <v>1</v>
      </c>
      <c r="Z32" s="27">
        <f t="shared" si="7"/>
        <v>1</v>
      </c>
      <c r="AA32" s="23">
        <f t="shared" si="31"/>
        <v>0.8</v>
      </c>
      <c r="AB32" s="24">
        <f t="shared" si="9"/>
        <v>2</v>
      </c>
      <c r="AC32" s="28">
        <f t="shared" si="10"/>
        <v>0.66666666666666663</v>
      </c>
      <c r="AD32" s="29">
        <f t="shared" si="11"/>
        <v>0.16666666666666666</v>
      </c>
      <c r="AE32" s="30">
        <v>7.790282441324109E-2</v>
      </c>
      <c r="AF32" s="23">
        <f t="shared" si="12"/>
        <v>1</v>
      </c>
      <c r="AG32" s="24">
        <f t="shared" si="13"/>
        <v>4</v>
      </c>
      <c r="AH32" s="28">
        <f t="shared" si="14"/>
        <v>0.8</v>
      </c>
      <c r="AI32" s="29">
        <f t="shared" si="15"/>
        <v>0.2</v>
      </c>
      <c r="AJ32" s="31">
        <v>1</v>
      </c>
      <c r="AK32" s="31">
        <v>1</v>
      </c>
      <c r="AL32" s="31">
        <v>0</v>
      </c>
      <c r="AM32" s="31">
        <v>0</v>
      </c>
      <c r="AN32" s="31">
        <v>0</v>
      </c>
      <c r="AO32" s="31">
        <v>1</v>
      </c>
      <c r="AP32" s="31">
        <v>0</v>
      </c>
      <c r="AQ32" s="31">
        <v>1</v>
      </c>
      <c r="AR32" s="23">
        <f t="shared" si="16"/>
        <v>0.8</v>
      </c>
      <c r="AS32" s="24">
        <f t="shared" si="17"/>
        <v>4</v>
      </c>
      <c r="AT32" s="28">
        <f t="shared" si="18"/>
        <v>0.5</v>
      </c>
      <c r="AU32" s="28">
        <f t="shared" si="19"/>
        <v>7.4999999999999997E-2</v>
      </c>
      <c r="AV32" s="32">
        <v>80</v>
      </c>
      <c r="AW32" s="32">
        <v>70</v>
      </c>
      <c r="AX32" s="32">
        <v>85</v>
      </c>
      <c r="AY32" s="32">
        <v>85</v>
      </c>
      <c r="AZ32" s="32">
        <v>85</v>
      </c>
      <c r="BA32" s="32">
        <v>100</v>
      </c>
      <c r="BB32" s="23">
        <f t="shared" ca="1" si="20"/>
        <v>1</v>
      </c>
      <c r="BC32" s="33">
        <f t="shared" si="25"/>
        <v>84.166666666666671</v>
      </c>
      <c r="BD32" s="28">
        <f t="shared" si="21"/>
        <v>0.94059405940594054</v>
      </c>
      <c r="BE32" s="28">
        <f t="shared" si="22"/>
        <v>0.18811881188118812</v>
      </c>
      <c r="BF32" s="34">
        <f ca="1">Q32+AA32+AF32+AR32+BB32</f>
        <v>4.5999999999999996</v>
      </c>
      <c r="BG32" s="34">
        <f>AVERAGE(AV32:AZ32)</f>
        <v>81</v>
      </c>
      <c r="BH32" s="35">
        <f>T32+AD32+AI32+AU32+BE32</f>
        <v>0.90917479152495395</v>
      </c>
      <c r="BI32" s="36" t="str">
        <f ca="1">IF(K32&lt;365,"New CE",(IF(BH32&gt;=100%,"Promote",IF(BH32&gt;=90%,"Sangat Baik",IF(BH32&gt;=80%,"Baik",IF(BH32&gt;=70%,"Lebih Dari Cukup",IF(BH32&gt;=60%,"Cukup","Kurang")))))))</f>
        <v>Sangat Baik</v>
      </c>
      <c r="BJ32" s="36" t="s">
        <v>855</v>
      </c>
      <c r="BK32" s="58" t="s">
        <v>48</v>
      </c>
      <c r="BL32" s="59" t="str">
        <v>Syahrul Ramadani</v>
      </c>
    </row>
    <row r="33" spans="1:64" x14ac:dyDescent="0.35">
      <c r="A33" s="19">
        <v>29</v>
      </c>
      <c r="B33" s="13" t="s">
        <v>129</v>
      </c>
      <c r="C33" s="20" t="s">
        <v>130</v>
      </c>
      <c r="D33" s="76" t="s">
        <v>54</v>
      </c>
      <c r="E33" s="13" t="s">
        <v>43</v>
      </c>
      <c r="F33" s="13" t="s">
        <v>44</v>
      </c>
      <c r="G33" s="13" t="s">
        <v>51</v>
      </c>
      <c r="H33" s="65">
        <v>44690</v>
      </c>
      <c r="I33" s="21">
        <f t="shared" ca="1" si="23"/>
        <v>45974</v>
      </c>
      <c r="J33" s="13" t="str">
        <f t="shared" ca="1" si="0"/>
        <v xml:space="preserve">3 Tahun 6 Bulan 4 Hari </v>
      </c>
      <c r="K33" s="13">
        <f t="shared" ca="1" si="24"/>
        <v>1848960</v>
      </c>
      <c r="L33" s="13">
        <v>1384</v>
      </c>
      <c r="M33" s="13">
        <v>22</v>
      </c>
      <c r="N33" s="13">
        <v>6775</v>
      </c>
      <c r="O33" s="22">
        <f t="shared" si="1"/>
        <v>307.95454545454544</v>
      </c>
      <c r="P33" s="13">
        <v>480</v>
      </c>
      <c r="Q33" s="23">
        <f t="shared" si="2"/>
        <v>1</v>
      </c>
      <c r="R33" s="24">
        <f t="shared" si="3"/>
        <v>5</v>
      </c>
      <c r="S33" s="25">
        <f t="shared" si="29"/>
        <v>1.5586715867158671</v>
      </c>
      <c r="T33" s="25">
        <f t="shared" si="5"/>
        <v>0.31173431734317347</v>
      </c>
      <c r="U33" s="26">
        <v>1566.612942009898</v>
      </c>
      <c r="V33" s="26">
        <v>5.7870370370370373E-5</v>
      </c>
      <c r="W33" s="26">
        <v>0</v>
      </c>
      <c r="X33" s="27">
        <f t="shared" si="30"/>
        <v>0</v>
      </c>
      <c r="Y33" s="27">
        <f>IF(V33=TIME(0,0,0), 0, IF(V33&lt;=TIME(3,0,0), 1, 0))</f>
        <v>1</v>
      </c>
      <c r="Z33" s="27">
        <f t="shared" si="7"/>
        <v>0</v>
      </c>
      <c r="AA33" s="23">
        <f t="shared" si="31"/>
        <v>0.4</v>
      </c>
      <c r="AB33" s="24">
        <f t="shared" si="9"/>
        <v>1</v>
      </c>
      <c r="AC33" s="28">
        <f t="shared" si="10"/>
        <v>0.33333333333333331</v>
      </c>
      <c r="AD33" s="29">
        <f t="shared" si="11"/>
        <v>8.3333333333333329E-2</v>
      </c>
      <c r="AE33" s="30">
        <v>2.5831818536593377E-2</v>
      </c>
      <c r="AF33" s="23">
        <f t="shared" si="12"/>
        <v>1.25</v>
      </c>
      <c r="AG33" s="24">
        <f t="shared" si="13"/>
        <v>5</v>
      </c>
      <c r="AH33" s="28">
        <f t="shared" si="14"/>
        <v>1</v>
      </c>
      <c r="AI33" s="29">
        <f t="shared" si="15"/>
        <v>0.25</v>
      </c>
      <c r="AJ33" s="31">
        <v>1</v>
      </c>
      <c r="AK33" s="31">
        <v>1</v>
      </c>
      <c r="AL33" s="31">
        <v>1</v>
      </c>
      <c r="AM33" s="31">
        <v>1</v>
      </c>
      <c r="AN33" s="31">
        <v>0</v>
      </c>
      <c r="AO33" s="31">
        <v>0</v>
      </c>
      <c r="AP33" s="31">
        <v>0</v>
      </c>
      <c r="AQ33" s="31">
        <v>0</v>
      </c>
      <c r="AR33" s="23">
        <f t="shared" si="16"/>
        <v>0.8</v>
      </c>
      <c r="AS33" s="24">
        <f t="shared" si="17"/>
        <v>4</v>
      </c>
      <c r="AT33" s="28">
        <f t="shared" si="18"/>
        <v>0.5</v>
      </c>
      <c r="AU33" s="28">
        <f t="shared" si="19"/>
        <v>7.4999999999999997E-2</v>
      </c>
      <c r="AV33" s="32">
        <v>75</v>
      </c>
      <c r="AW33" s="32">
        <v>80</v>
      </c>
      <c r="AX33" s="32">
        <v>80</v>
      </c>
      <c r="AY33" s="32">
        <v>80</v>
      </c>
      <c r="AZ33" s="32">
        <v>80</v>
      </c>
      <c r="BA33" s="32">
        <v>100</v>
      </c>
      <c r="BB33" s="23">
        <f t="shared" ca="1" si="20"/>
        <v>1</v>
      </c>
      <c r="BC33" s="33">
        <f t="shared" si="25"/>
        <v>82.5</v>
      </c>
      <c r="BD33" s="28">
        <f t="shared" si="21"/>
        <v>0.93939393939393945</v>
      </c>
      <c r="BE33" s="28">
        <f t="shared" si="22"/>
        <v>0.1878787878787879</v>
      </c>
      <c r="BF33" s="34">
        <f ca="1">Q33+AA33+AF33+AR33+BB33</f>
        <v>4.45</v>
      </c>
      <c r="BG33" s="34">
        <f>AVERAGE(AV33:AZ33)</f>
        <v>79</v>
      </c>
      <c r="BH33" s="35">
        <f>T33+AD33+AI33+AU33+BE33</f>
        <v>0.90794643855529455</v>
      </c>
      <c r="BI33" s="36" t="str">
        <f ca="1">IF(K33&lt;365,"New CE",(IF(BH33&gt;=100%,"Promote",IF(BH33&gt;=90%,"Sangat Baik",IF(BH33&gt;=80%,"Baik",IF(BH33&gt;=70%,"Lebih Dari Cukup",IF(BH33&gt;=60%,"Cukup","Kurang")))))))</f>
        <v>Sangat Baik</v>
      </c>
      <c r="BJ33" s="36" t="s">
        <v>855</v>
      </c>
      <c r="BK33" s="58" t="s">
        <v>48</v>
      </c>
      <c r="BL33" s="59" t="e">
        <v>#N/A</v>
      </c>
    </row>
    <row r="34" spans="1:64" x14ac:dyDescent="0.35">
      <c r="A34" s="19">
        <v>30</v>
      </c>
      <c r="B34" s="13" t="s">
        <v>131</v>
      </c>
      <c r="C34" s="20" t="s">
        <v>132</v>
      </c>
      <c r="D34" s="76" t="s">
        <v>48</v>
      </c>
      <c r="E34" s="13" t="s">
        <v>133</v>
      </c>
      <c r="F34" s="13" t="s">
        <v>50</v>
      </c>
      <c r="G34" s="13" t="s">
        <v>45</v>
      </c>
      <c r="H34" s="65">
        <v>44291</v>
      </c>
      <c r="I34" s="21">
        <f t="shared" ca="1" si="23"/>
        <v>45974</v>
      </c>
      <c r="J34" s="13" t="str">
        <f t="shared" ca="1" si="0"/>
        <v xml:space="preserve">4 Tahun 7 Bulan 8 Hari </v>
      </c>
      <c r="K34" s="13">
        <f t="shared" ca="1" si="24"/>
        <v>2423520</v>
      </c>
      <c r="L34" s="13">
        <v>760</v>
      </c>
      <c r="M34" s="13">
        <v>13</v>
      </c>
      <c r="N34" s="13">
        <v>5863</v>
      </c>
      <c r="O34" s="22">
        <f t="shared" si="1"/>
        <v>451</v>
      </c>
      <c r="P34" s="13">
        <v>362</v>
      </c>
      <c r="Q34" s="23">
        <f t="shared" si="2"/>
        <v>0.8</v>
      </c>
      <c r="R34" s="24">
        <f t="shared" si="3"/>
        <v>4</v>
      </c>
      <c r="S34" s="25">
        <f t="shared" si="29"/>
        <v>0.80266075388026603</v>
      </c>
      <c r="T34" s="25">
        <f t="shared" si="5"/>
        <v>0.16053215077605321</v>
      </c>
      <c r="U34" s="26">
        <v>13331.020658796295</v>
      </c>
      <c r="V34" s="26">
        <v>0</v>
      </c>
      <c r="W34" s="26">
        <v>0</v>
      </c>
      <c r="X34" s="27">
        <v>1</v>
      </c>
      <c r="Y34" s="27">
        <v>1</v>
      </c>
      <c r="Z34" s="27">
        <v>1</v>
      </c>
      <c r="AA34" s="23">
        <f t="shared" si="31"/>
        <v>1.25</v>
      </c>
      <c r="AB34" s="24">
        <f t="shared" si="9"/>
        <v>3</v>
      </c>
      <c r="AC34" s="28">
        <f t="shared" si="10"/>
        <v>1</v>
      </c>
      <c r="AD34" s="29">
        <f t="shared" si="11"/>
        <v>0.25</v>
      </c>
      <c r="AE34" s="30">
        <v>2.8842592592592593E-2</v>
      </c>
      <c r="AF34" s="23">
        <f t="shared" si="12"/>
        <v>1.25</v>
      </c>
      <c r="AG34" s="24">
        <f t="shared" si="13"/>
        <v>5</v>
      </c>
      <c r="AH34" s="28">
        <f t="shared" si="14"/>
        <v>1</v>
      </c>
      <c r="AI34" s="29">
        <f t="shared" si="15"/>
        <v>0.25</v>
      </c>
      <c r="AJ34" s="31">
        <v>1</v>
      </c>
      <c r="AK34" s="31">
        <v>1</v>
      </c>
      <c r="AL34" s="31">
        <v>1</v>
      </c>
      <c r="AM34" s="31">
        <v>0</v>
      </c>
      <c r="AN34" s="31">
        <v>0</v>
      </c>
      <c r="AO34" s="31">
        <v>0</v>
      </c>
      <c r="AP34" s="31">
        <v>0</v>
      </c>
      <c r="AQ34" s="31">
        <v>0</v>
      </c>
      <c r="AR34" s="23">
        <f t="shared" si="16"/>
        <v>0.6</v>
      </c>
      <c r="AS34" s="24">
        <f t="shared" si="17"/>
        <v>3</v>
      </c>
      <c r="AT34" s="28">
        <f t="shared" si="18"/>
        <v>0.375</v>
      </c>
      <c r="AU34" s="28">
        <f t="shared" si="19"/>
        <v>5.6249999999999994E-2</v>
      </c>
      <c r="AV34" s="32">
        <v>75</v>
      </c>
      <c r="AW34" s="32">
        <v>75</v>
      </c>
      <c r="AX34" s="32">
        <v>90</v>
      </c>
      <c r="AY34" s="32">
        <v>90</v>
      </c>
      <c r="AZ34" s="32">
        <v>80</v>
      </c>
      <c r="BA34" s="32">
        <v>100</v>
      </c>
      <c r="BB34" s="23">
        <f t="shared" ca="1" si="20"/>
        <v>1</v>
      </c>
      <c r="BC34" s="33">
        <f t="shared" si="25"/>
        <v>85</v>
      </c>
      <c r="BD34" s="28">
        <f t="shared" si="21"/>
        <v>0.94117647058823528</v>
      </c>
      <c r="BE34" s="28">
        <f t="shared" si="22"/>
        <v>0.18823529411764706</v>
      </c>
      <c r="BF34" s="34">
        <f ca="1">Q34+AA34+AF34+AR34+BB34</f>
        <v>4.9000000000000004</v>
      </c>
      <c r="BG34" s="34">
        <f>AVERAGE(AV34:AZ34)</f>
        <v>82</v>
      </c>
      <c r="BH34" s="35">
        <f>T34+AD34+AI34+AU34+BE34</f>
        <v>0.90501744489370028</v>
      </c>
      <c r="BI34" s="36" t="str">
        <f ca="1">IF(K34&lt;365,"New CE",(IF(BH34&gt;=100%,"Promote",IF(BH34&gt;=90%,"Sangat Baik",IF(BH34&gt;=80%,"Baik",IF(BH34&gt;=70%,"Lebih Dari Cukup",IF(BH34&gt;=60%,"Cukup","Kurang")))))))</f>
        <v>Sangat Baik</v>
      </c>
      <c r="BJ34" s="36" t="s">
        <v>855</v>
      </c>
      <c r="BK34" s="58" t="s">
        <v>851</v>
      </c>
      <c r="BL34" s="59" t="e">
        <v>#N/A</v>
      </c>
    </row>
    <row r="35" spans="1:64" x14ac:dyDescent="0.35">
      <c r="A35" s="19">
        <v>31</v>
      </c>
      <c r="B35" s="13" t="s">
        <v>134</v>
      </c>
      <c r="C35" s="20" t="s">
        <v>135</v>
      </c>
      <c r="D35" s="76" t="s">
        <v>54</v>
      </c>
      <c r="E35" s="13" t="s">
        <v>136</v>
      </c>
      <c r="F35" s="13" t="s">
        <v>44</v>
      </c>
      <c r="G35" s="13" t="s">
        <v>61</v>
      </c>
      <c r="H35" s="65">
        <v>44935</v>
      </c>
      <c r="I35" s="21">
        <f t="shared" ca="1" si="23"/>
        <v>45974</v>
      </c>
      <c r="J35" s="13" t="str">
        <f t="shared" ca="1" si="0"/>
        <v xml:space="preserve">2 Tahun 10 Bulan 4 Hari </v>
      </c>
      <c r="K35" s="13">
        <f t="shared" ca="1" si="24"/>
        <v>1496160</v>
      </c>
      <c r="L35" s="13">
        <v>305</v>
      </c>
      <c r="M35" s="13">
        <v>6</v>
      </c>
      <c r="N35" s="13">
        <v>2074</v>
      </c>
      <c r="O35" s="22">
        <f t="shared" si="1"/>
        <v>345.66666666666669</v>
      </c>
      <c r="P35" s="13">
        <v>274</v>
      </c>
      <c r="Q35" s="23">
        <f t="shared" si="2"/>
        <v>0.6</v>
      </c>
      <c r="R35" s="24">
        <f t="shared" si="3"/>
        <v>3</v>
      </c>
      <c r="S35" s="25">
        <f t="shared" si="29"/>
        <v>0.7926711668273867</v>
      </c>
      <c r="T35" s="25">
        <f t="shared" si="5"/>
        <v>0.15853423336547734</v>
      </c>
      <c r="U35" s="26">
        <v>4.7222222222222221E-2</v>
      </c>
      <c r="V35" s="26">
        <v>1.6666666666666666E-2</v>
      </c>
      <c r="W35" s="26">
        <v>1.6666666666666666E-2</v>
      </c>
      <c r="X35" s="27">
        <f t="shared" ref="X35:X41" si="32">IF(U35=TIME(0,0,0), 0, IF(U35&lt;=TIME(1,30,0), 1, 0))</f>
        <v>1</v>
      </c>
      <c r="Y35" s="27">
        <f t="shared" ref="Y35:Y55" si="33">IF(V35=TIME(0,0,0), 0, IF(V35&lt;=TIME(3,0,0), 1, 0))</f>
        <v>1</v>
      </c>
      <c r="Z35" s="27">
        <f t="shared" ref="Z35:Z97" si="34">IF(W35=TIME(0,0,0),0, IF(W35&gt;=TIME(24,0,0), 1, 0))</f>
        <v>1</v>
      </c>
      <c r="AA35" s="23">
        <f t="shared" si="31"/>
        <v>1.25</v>
      </c>
      <c r="AB35" s="24">
        <f t="shared" si="9"/>
        <v>3</v>
      </c>
      <c r="AC35" s="28">
        <f t="shared" si="10"/>
        <v>1</v>
      </c>
      <c r="AD35" s="29">
        <f t="shared" si="11"/>
        <v>0.25</v>
      </c>
      <c r="AE35" s="30">
        <v>2.8657407407407406E-2</v>
      </c>
      <c r="AF35" s="23">
        <f t="shared" si="12"/>
        <v>1.25</v>
      </c>
      <c r="AG35" s="24">
        <f t="shared" si="13"/>
        <v>5</v>
      </c>
      <c r="AH35" s="28">
        <f t="shared" si="14"/>
        <v>1</v>
      </c>
      <c r="AI35" s="29">
        <f t="shared" si="15"/>
        <v>0.25</v>
      </c>
      <c r="AJ35" s="31">
        <v>1</v>
      </c>
      <c r="AK35" s="31">
        <v>1</v>
      </c>
      <c r="AL35" s="31">
        <v>0</v>
      </c>
      <c r="AM35" s="31">
        <v>0</v>
      </c>
      <c r="AN35" s="31">
        <v>1</v>
      </c>
      <c r="AO35" s="31">
        <v>0</v>
      </c>
      <c r="AP35" s="31">
        <v>0</v>
      </c>
      <c r="AQ35" s="31">
        <v>0</v>
      </c>
      <c r="AR35" s="23">
        <f t="shared" si="16"/>
        <v>0.6</v>
      </c>
      <c r="AS35" s="24">
        <f t="shared" si="17"/>
        <v>3</v>
      </c>
      <c r="AT35" s="28">
        <f t="shared" si="18"/>
        <v>0.375</v>
      </c>
      <c r="AU35" s="28">
        <f t="shared" si="19"/>
        <v>5.6249999999999994E-2</v>
      </c>
      <c r="AV35" s="32">
        <v>75</v>
      </c>
      <c r="AW35" s="32">
        <v>75</v>
      </c>
      <c r="AX35" s="32">
        <v>80</v>
      </c>
      <c r="AY35" s="32">
        <v>80</v>
      </c>
      <c r="AZ35" s="32">
        <v>80</v>
      </c>
      <c r="BA35" s="32">
        <v>100</v>
      </c>
      <c r="BB35" s="23">
        <f t="shared" ca="1" si="20"/>
        <v>1</v>
      </c>
      <c r="BC35" s="33">
        <f t="shared" si="25"/>
        <v>81.666666666666671</v>
      </c>
      <c r="BD35" s="28">
        <f t="shared" si="21"/>
        <v>0.93877551020408168</v>
      </c>
      <c r="BE35" s="28">
        <f t="shared" si="22"/>
        <v>0.18775510204081636</v>
      </c>
      <c r="BF35" s="34">
        <f ca="1">Q35+AA35+AF35+AR35+BB35</f>
        <v>4.7</v>
      </c>
      <c r="BG35" s="34">
        <f>AVERAGE(AV35:AZ35)</f>
        <v>78</v>
      </c>
      <c r="BH35" s="35">
        <f>T35+AD35+AI35+AU35+BE35</f>
        <v>0.90253933540629372</v>
      </c>
      <c r="BI35" s="36" t="str">
        <f ca="1">IF(K35&lt;365,"New CE",(IF(BH35&gt;=100%,"Promote",IF(BH35&gt;=90%,"Sangat Baik",IF(BH35&gt;=80%,"Baik",IF(BH35&gt;=70%,"Lebih Dari Cukup",IF(BH35&gt;=60%,"Cukup","Kurang")))))))</f>
        <v>Sangat Baik</v>
      </c>
      <c r="BJ35" s="36" t="s">
        <v>855</v>
      </c>
      <c r="BK35" s="58" t="s">
        <v>48</v>
      </c>
      <c r="BL35" s="59" t="e">
        <v>#N/A</v>
      </c>
    </row>
    <row r="36" spans="1:64" x14ac:dyDescent="0.35">
      <c r="A36" s="19">
        <v>32</v>
      </c>
      <c r="B36" s="13" t="s">
        <v>137</v>
      </c>
      <c r="C36" s="20" t="s">
        <v>138</v>
      </c>
      <c r="D36" s="76" t="s">
        <v>48</v>
      </c>
      <c r="E36" s="13" t="s">
        <v>67</v>
      </c>
      <c r="F36" s="13" t="s">
        <v>44</v>
      </c>
      <c r="G36" s="13" t="s">
        <v>51</v>
      </c>
      <c r="H36" s="65">
        <v>44466</v>
      </c>
      <c r="I36" s="21">
        <f t="shared" ca="1" si="23"/>
        <v>45974</v>
      </c>
      <c r="J36" s="13" t="str">
        <f t="shared" ca="1" si="0"/>
        <v xml:space="preserve">4 Tahun 1 Bulan 17 Hari </v>
      </c>
      <c r="K36" s="13">
        <f t="shared" ca="1" si="24"/>
        <v>2171520</v>
      </c>
      <c r="L36" s="13">
        <v>625</v>
      </c>
      <c r="M36" s="13">
        <v>10</v>
      </c>
      <c r="N36" s="13">
        <v>4149</v>
      </c>
      <c r="O36" s="22">
        <f t="shared" si="1"/>
        <v>414.9</v>
      </c>
      <c r="P36" s="13">
        <v>379</v>
      </c>
      <c r="Q36" s="23">
        <f t="shared" si="2"/>
        <v>0.8</v>
      </c>
      <c r="R36" s="24">
        <f t="shared" si="3"/>
        <v>4</v>
      </c>
      <c r="S36" s="25">
        <f t="shared" si="29"/>
        <v>0.91347312605447095</v>
      </c>
      <c r="T36" s="25">
        <f t="shared" si="5"/>
        <v>0.18269462521089419</v>
      </c>
      <c r="U36" s="26">
        <v>8.3487654320987658E-3</v>
      </c>
      <c r="V36" s="26">
        <v>1.4512108262108263E-2</v>
      </c>
      <c r="W36" s="26">
        <v>6.7349537037037041E-2</v>
      </c>
      <c r="X36" s="27">
        <f t="shared" si="32"/>
        <v>1</v>
      </c>
      <c r="Y36" s="27">
        <f t="shared" si="33"/>
        <v>1</v>
      </c>
      <c r="Z36" s="27">
        <f t="shared" si="34"/>
        <v>1</v>
      </c>
      <c r="AA36" s="23">
        <f t="shared" si="31"/>
        <v>1.25</v>
      </c>
      <c r="AB36" s="24">
        <f t="shared" si="9"/>
        <v>3</v>
      </c>
      <c r="AC36" s="28">
        <f t="shared" si="10"/>
        <v>1</v>
      </c>
      <c r="AD36" s="29">
        <f t="shared" si="11"/>
        <v>0.25</v>
      </c>
      <c r="AE36" s="30">
        <v>7.933635984587073E-2</v>
      </c>
      <c r="AF36" s="23">
        <f t="shared" si="12"/>
        <v>1</v>
      </c>
      <c r="AG36" s="24">
        <f t="shared" si="13"/>
        <v>4</v>
      </c>
      <c r="AH36" s="28">
        <f t="shared" si="14"/>
        <v>0.8</v>
      </c>
      <c r="AI36" s="29">
        <f t="shared" si="15"/>
        <v>0.2</v>
      </c>
      <c r="AJ36" s="31">
        <v>1</v>
      </c>
      <c r="AK36" s="31">
        <v>1</v>
      </c>
      <c r="AL36" s="31">
        <v>1</v>
      </c>
      <c r="AM36" s="31">
        <v>0</v>
      </c>
      <c r="AN36" s="31">
        <v>0</v>
      </c>
      <c r="AO36" s="31">
        <v>1</v>
      </c>
      <c r="AP36" s="31">
        <v>0</v>
      </c>
      <c r="AQ36" s="31">
        <v>0</v>
      </c>
      <c r="AR36" s="23">
        <f t="shared" si="16"/>
        <v>0.8</v>
      </c>
      <c r="AS36" s="24">
        <f t="shared" si="17"/>
        <v>4</v>
      </c>
      <c r="AT36" s="28">
        <f t="shared" si="18"/>
        <v>0.5</v>
      </c>
      <c r="AU36" s="28">
        <f t="shared" si="19"/>
        <v>7.4999999999999997E-2</v>
      </c>
      <c r="AV36" s="32">
        <v>75</v>
      </c>
      <c r="AW36" s="32">
        <v>75</v>
      </c>
      <c r="AX36" s="32">
        <v>80</v>
      </c>
      <c r="AY36" s="32">
        <v>80</v>
      </c>
      <c r="AZ36" s="32">
        <v>80</v>
      </c>
      <c r="BA36" s="32">
        <v>100</v>
      </c>
      <c r="BB36" s="23">
        <f t="shared" ca="1" si="20"/>
        <v>0.8</v>
      </c>
      <c r="BC36" s="33">
        <f t="shared" si="25"/>
        <v>81.666666666666671</v>
      </c>
      <c r="BD36" s="28">
        <f t="shared" si="21"/>
        <v>0.93877551020408168</v>
      </c>
      <c r="BE36" s="28">
        <f t="shared" si="22"/>
        <v>0.18775510204081636</v>
      </c>
      <c r="BF36" s="34">
        <f ca="1">Q36+AA36+AF36+AR36+BB36</f>
        <v>4.6499999999999995</v>
      </c>
      <c r="BG36" s="34">
        <f>AVERAGE(AV36:AZ36)</f>
        <v>78</v>
      </c>
      <c r="BH36" s="35">
        <f>T36+AD36+AI36+AU36+BE36</f>
        <v>0.89544972725171057</v>
      </c>
      <c r="BI36" s="36" t="str">
        <f ca="1">IF(K36&lt;365,"New CE",(IF(BH36&gt;=100%,"Promote",IF(BH36&gt;=90%,"Sangat Baik",IF(BH36&gt;=80%,"Baik",IF(BH36&gt;=70%,"Lebih Dari Cukup",IF(BH36&gt;=60%,"Cukup","Kurang")))))))</f>
        <v>Baik</v>
      </c>
      <c r="BJ36" s="36" t="s">
        <v>860</v>
      </c>
      <c r="BK36" s="58" t="s">
        <v>48</v>
      </c>
      <c r="BL36" s="59" t="e">
        <v>#N/A</v>
      </c>
    </row>
    <row r="37" spans="1:64" x14ac:dyDescent="0.35">
      <c r="A37" s="19">
        <v>33</v>
      </c>
      <c r="B37" s="13" t="s">
        <v>139</v>
      </c>
      <c r="C37" s="20" t="s">
        <v>140</v>
      </c>
      <c r="D37" s="76" t="s">
        <v>48</v>
      </c>
      <c r="E37" s="13" t="s">
        <v>141</v>
      </c>
      <c r="F37" s="13" t="s">
        <v>44</v>
      </c>
      <c r="G37" s="13" t="s">
        <v>45</v>
      </c>
      <c r="H37" s="65">
        <v>43836</v>
      </c>
      <c r="I37" s="21">
        <f t="shared" ca="1" si="23"/>
        <v>45974</v>
      </c>
      <c r="J37" s="13" t="str">
        <f t="shared" ca="1" si="0"/>
        <v xml:space="preserve">5 Tahun 10 Bulan 7 Hari </v>
      </c>
      <c r="K37" s="13">
        <f t="shared" ca="1" si="24"/>
        <v>3078720</v>
      </c>
      <c r="L37" s="13">
        <v>358</v>
      </c>
      <c r="M37" s="13">
        <v>7</v>
      </c>
      <c r="N37" s="13">
        <v>2648</v>
      </c>
      <c r="O37" s="22">
        <f t="shared" si="1"/>
        <v>378.28571428571428</v>
      </c>
      <c r="P37" s="13">
        <v>444</v>
      </c>
      <c r="Q37" s="23">
        <f t="shared" si="2"/>
        <v>1</v>
      </c>
      <c r="R37" s="24">
        <f t="shared" si="3"/>
        <v>5</v>
      </c>
      <c r="S37" s="25">
        <f t="shared" si="29"/>
        <v>1.1737160120845922</v>
      </c>
      <c r="T37" s="25">
        <f t="shared" si="5"/>
        <v>0.23474320241691846</v>
      </c>
      <c r="U37" s="26">
        <v>5686.8849815538179</v>
      </c>
      <c r="V37" s="26">
        <v>5.8796296296296296E-3</v>
      </c>
      <c r="W37" s="26">
        <v>45482.870046296295</v>
      </c>
      <c r="X37" s="27">
        <f t="shared" si="32"/>
        <v>0</v>
      </c>
      <c r="Y37" s="27">
        <f t="shared" si="33"/>
        <v>1</v>
      </c>
      <c r="Z37" s="27">
        <f t="shared" si="34"/>
        <v>1</v>
      </c>
      <c r="AA37" s="23">
        <f t="shared" si="31"/>
        <v>0.8</v>
      </c>
      <c r="AB37" s="24">
        <f t="shared" ref="AB37:AB68" si="35">X37+Y37+Z37</f>
        <v>2</v>
      </c>
      <c r="AC37" s="28">
        <f t="shared" si="10"/>
        <v>0.66666666666666663</v>
      </c>
      <c r="AD37" s="29">
        <f t="shared" si="11"/>
        <v>0.16666666666666666</v>
      </c>
      <c r="AE37" s="30">
        <v>2.4471886973180076E-2</v>
      </c>
      <c r="AF37" s="23">
        <f t="shared" si="12"/>
        <v>1.25</v>
      </c>
      <c r="AG37" s="24">
        <f t="shared" ref="AG37:AG68" si="36">IF(AE37="",0,IF(AE37&lt;=TIME(1,0,0),5,IF(AE37&lt;=TIME(2,0,0),4,IF(AE37&lt;=TIME(3,0,0),3,IF(AE37&lt;=TIME(4,0,0),2,IF(AE37&lt;TIME(8,0,0),1,0))))))</f>
        <v>5</v>
      </c>
      <c r="AH37" s="28">
        <f t="shared" si="14"/>
        <v>1</v>
      </c>
      <c r="AI37" s="29">
        <f t="shared" si="15"/>
        <v>0.25</v>
      </c>
      <c r="AJ37" s="31">
        <v>1</v>
      </c>
      <c r="AK37" s="31">
        <v>1</v>
      </c>
      <c r="AL37" s="31">
        <v>1</v>
      </c>
      <c r="AM37" s="31">
        <v>0</v>
      </c>
      <c r="AN37" s="31">
        <v>0</v>
      </c>
      <c r="AO37" s="31">
        <v>0</v>
      </c>
      <c r="AP37" s="31">
        <v>0</v>
      </c>
      <c r="AQ37" s="31">
        <v>0</v>
      </c>
      <c r="AR37" s="23">
        <f t="shared" si="16"/>
        <v>0.6</v>
      </c>
      <c r="AS37" s="24">
        <f t="shared" si="17"/>
        <v>3</v>
      </c>
      <c r="AT37" s="28">
        <f t="shared" si="18"/>
        <v>0.375</v>
      </c>
      <c r="AU37" s="28">
        <f t="shared" si="19"/>
        <v>5.6249999999999994E-2</v>
      </c>
      <c r="AV37" s="32">
        <v>75</v>
      </c>
      <c r="AW37" s="32">
        <v>80</v>
      </c>
      <c r="AX37" s="32">
        <v>75</v>
      </c>
      <c r="AY37" s="32">
        <v>75</v>
      </c>
      <c r="AZ37" s="32">
        <v>75</v>
      </c>
      <c r="BA37" s="32">
        <v>100</v>
      </c>
      <c r="BB37" s="23">
        <f t="shared" ca="1" si="20"/>
        <v>0.8</v>
      </c>
      <c r="BC37" s="33">
        <f t="shared" si="25"/>
        <v>80</v>
      </c>
      <c r="BD37" s="28">
        <f t="shared" si="21"/>
        <v>0.9375</v>
      </c>
      <c r="BE37" s="28">
        <f t="shared" si="22"/>
        <v>0.1875</v>
      </c>
      <c r="BF37" s="34">
        <f ca="1">Q37+AA37+AF37+AR37+BB37</f>
        <v>4.45</v>
      </c>
      <c r="BG37" s="34">
        <f>AVERAGE(AV37:AZ37)</f>
        <v>76</v>
      </c>
      <c r="BH37" s="35">
        <f>T37+AD37+AI37+AU37+BE37</f>
        <v>0.89515986908358514</v>
      </c>
      <c r="BI37" s="36" t="str">
        <f ca="1">IF(K37&lt;365,"New CE",(IF(BH37&gt;=100%,"Promote",IF(BH37&gt;=90%,"Sangat Baik",IF(BH37&gt;=80%,"Baik",IF(BH37&gt;=70%,"Lebih Dari Cukup",IF(BH37&gt;=60%,"Cukup","Kurang")))))))</f>
        <v>Baik</v>
      </c>
      <c r="BJ37" s="36" t="s">
        <v>860</v>
      </c>
      <c r="BK37" s="58" t="s">
        <v>48</v>
      </c>
      <c r="BL37" s="59" t="e">
        <v>#N/A</v>
      </c>
    </row>
    <row r="38" spans="1:64" x14ac:dyDescent="0.35">
      <c r="A38" s="19">
        <v>34</v>
      </c>
      <c r="B38" s="13" t="s">
        <v>142</v>
      </c>
      <c r="C38" s="20" t="s">
        <v>143</v>
      </c>
      <c r="D38" s="76" t="s">
        <v>54</v>
      </c>
      <c r="E38" s="13" t="s">
        <v>144</v>
      </c>
      <c r="F38" s="13" t="s">
        <v>74</v>
      </c>
      <c r="G38" s="13" t="s">
        <v>61</v>
      </c>
      <c r="H38" s="65">
        <v>45180</v>
      </c>
      <c r="I38" s="21">
        <f t="shared" ca="1" si="23"/>
        <v>45974</v>
      </c>
      <c r="J38" s="13" t="str">
        <f t="shared" ca="1" si="0"/>
        <v xml:space="preserve">2 Tahun 2 Bulan 2 Hari </v>
      </c>
      <c r="K38" s="13">
        <f t="shared" ca="1" si="24"/>
        <v>1143360</v>
      </c>
      <c r="L38" s="13">
        <v>28</v>
      </c>
      <c r="M38" s="13">
        <v>1</v>
      </c>
      <c r="N38" s="13">
        <v>254</v>
      </c>
      <c r="O38" s="22">
        <f t="shared" si="1"/>
        <v>254</v>
      </c>
      <c r="P38" s="13">
        <v>247</v>
      </c>
      <c r="Q38" s="23">
        <f t="shared" si="2"/>
        <v>0.8</v>
      </c>
      <c r="R38" s="24">
        <f t="shared" si="3"/>
        <v>4</v>
      </c>
      <c r="S38" s="25">
        <f t="shared" si="29"/>
        <v>0.97244094488188981</v>
      </c>
      <c r="T38" s="25">
        <f t="shared" si="5"/>
        <v>0.19448818897637798</v>
      </c>
      <c r="U38" s="26">
        <v>3637.3135337962954</v>
      </c>
      <c r="V38" s="26">
        <v>0.10271759259259258</v>
      </c>
      <c r="W38" s="26">
        <v>0.21026620370370375</v>
      </c>
      <c r="X38" s="27">
        <f t="shared" si="32"/>
        <v>0</v>
      </c>
      <c r="Y38" s="27">
        <f t="shared" si="33"/>
        <v>1</v>
      </c>
      <c r="Z38" s="27">
        <f t="shared" si="34"/>
        <v>1</v>
      </c>
      <c r="AA38" s="23">
        <f t="shared" si="31"/>
        <v>0.8</v>
      </c>
      <c r="AB38" s="24">
        <f t="shared" si="35"/>
        <v>2</v>
      </c>
      <c r="AC38" s="28">
        <f t="shared" si="10"/>
        <v>0.66666666666666663</v>
      </c>
      <c r="AD38" s="29">
        <f t="shared" si="11"/>
        <v>0.16666666666666666</v>
      </c>
      <c r="AE38" s="30">
        <v>4.0761830039173788E-2</v>
      </c>
      <c r="AF38" s="23">
        <f t="shared" si="12"/>
        <v>1.25</v>
      </c>
      <c r="AG38" s="24">
        <f t="shared" si="36"/>
        <v>5</v>
      </c>
      <c r="AH38" s="28">
        <f t="shared" si="14"/>
        <v>1</v>
      </c>
      <c r="AI38" s="29">
        <f t="shared" si="15"/>
        <v>0.25</v>
      </c>
      <c r="AJ38" s="31">
        <v>1</v>
      </c>
      <c r="AK38" s="31">
        <v>1</v>
      </c>
      <c r="AL38" s="31">
        <v>1</v>
      </c>
      <c r="AM38" s="31">
        <v>0</v>
      </c>
      <c r="AN38" s="31">
        <v>0</v>
      </c>
      <c r="AO38" s="31">
        <v>1</v>
      </c>
      <c r="AP38" s="31">
        <v>0</v>
      </c>
      <c r="AQ38" s="31">
        <v>1</v>
      </c>
      <c r="AR38" s="23">
        <f t="shared" si="16"/>
        <v>1</v>
      </c>
      <c r="AS38" s="24">
        <f t="shared" si="17"/>
        <v>5</v>
      </c>
      <c r="AT38" s="28">
        <f t="shared" si="18"/>
        <v>0.625</v>
      </c>
      <c r="AU38" s="28">
        <f t="shared" si="19"/>
        <v>9.375E-2</v>
      </c>
      <c r="AV38" s="32">
        <v>75</v>
      </c>
      <c r="AW38" s="32">
        <v>70</v>
      </c>
      <c r="AX38" s="32">
        <v>80</v>
      </c>
      <c r="AY38" s="32">
        <v>80</v>
      </c>
      <c r="AZ38" s="32">
        <v>80</v>
      </c>
      <c r="BA38" s="32">
        <v>100</v>
      </c>
      <c r="BB38" s="23">
        <f t="shared" ca="1" si="20"/>
        <v>0.8</v>
      </c>
      <c r="BC38" s="33">
        <f t="shared" si="25"/>
        <v>80.833333333333329</v>
      </c>
      <c r="BD38" s="28">
        <f t="shared" si="21"/>
        <v>0.93814432989690721</v>
      </c>
      <c r="BE38" s="28">
        <f t="shared" si="22"/>
        <v>0.18762886597938144</v>
      </c>
      <c r="BF38" s="34">
        <f ca="1">Q38+AA38+AF38+AR38+BB38</f>
        <v>4.6500000000000004</v>
      </c>
      <c r="BG38" s="34">
        <f>AVERAGE(AV38:AZ38)</f>
        <v>77</v>
      </c>
      <c r="BH38" s="35">
        <f>T38+AD38+AI38+AU38+BE38</f>
        <v>0.89253372162242606</v>
      </c>
      <c r="BI38" s="36" t="str">
        <f ca="1">IF(K38&lt;365,"New CE",(IF(BH38&gt;=100%,"Promote",IF(BH38&gt;=90%,"Sangat Baik",IF(BH38&gt;=80%,"Baik",IF(BH38&gt;=70%,"Lebih Dari Cukup",IF(BH38&gt;=60%,"Cukup","Kurang")))))))</f>
        <v>Baik</v>
      </c>
      <c r="BJ38" s="36" t="s">
        <v>855</v>
      </c>
      <c r="BK38" s="58" t="s">
        <v>48</v>
      </c>
      <c r="BL38" s="59" t="str">
        <v>Rendi Ariyanto</v>
      </c>
    </row>
    <row r="39" spans="1:64" x14ac:dyDescent="0.35">
      <c r="A39" s="19">
        <v>35</v>
      </c>
      <c r="B39" s="13" t="s">
        <v>145</v>
      </c>
      <c r="C39" s="20" t="s">
        <v>146</v>
      </c>
      <c r="D39" s="76" t="s">
        <v>54</v>
      </c>
      <c r="E39" s="13" t="s">
        <v>95</v>
      </c>
      <c r="F39" s="13" t="s">
        <v>50</v>
      </c>
      <c r="G39" s="13" t="s">
        <v>55</v>
      </c>
      <c r="H39" s="65">
        <v>44291</v>
      </c>
      <c r="I39" s="21">
        <f t="shared" ca="1" si="23"/>
        <v>45974</v>
      </c>
      <c r="J39" s="13" t="str">
        <f t="shared" ca="1" si="0"/>
        <v xml:space="preserve">4 Tahun 7 Bulan 8 Hari </v>
      </c>
      <c r="K39" s="13">
        <f t="shared" ca="1" si="24"/>
        <v>2423520</v>
      </c>
      <c r="L39" s="13">
        <v>897</v>
      </c>
      <c r="M39" s="13">
        <v>13</v>
      </c>
      <c r="N39" s="13">
        <v>6212</v>
      </c>
      <c r="O39" s="22">
        <f t="shared" si="1"/>
        <v>477.84615384615387</v>
      </c>
      <c r="P39" s="13">
        <v>310</v>
      </c>
      <c r="Q39" s="23">
        <f t="shared" si="2"/>
        <v>0.6</v>
      </c>
      <c r="R39" s="24">
        <f t="shared" si="3"/>
        <v>3</v>
      </c>
      <c r="S39" s="25">
        <f t="shared" si="29"/>
        <v>0.64874436574372185</v>
      </c>
      <c r="T39" s="25">
        <f t="shared" si="5"/>
        <v>0.12974887314874436</v>
      </c>
      <c r="U39" s="26">
        <v>1.8055555555555554E-2</v>
      </c>
      <c r="V39" s="26">
        <v>1.8055555555555554E-2</v>
      </c>
      <c r="W39" s="26">
        <v>1.8055555555555554E-2</v>
      </c>
      <c r="X39" s="27">
        <f t="shared" si="32"/>
        <v>1</v>
      </c>
      <c r="Y39" s="27">
        <f t="shared" si="33"/>
        <v>1</v>
      </c>
      <c r="Z39" s="27">
        <f t="shared" si="34"/>
        <v>1</v>
      </c>
      <c r="AA39" s="23">
        <f t="shared" si="31"/>
        <v>1.25</v>
      </c>
      <c r="AB39" s="24">
        <f t="shared" si="35"/>
        <v>3</v>
      </c>
      <c r="AC39" s="28">
        <f t="shared" si="10"/>
        <v>1</v>
      </c>
      <c r="AD39" s="29">
        <f t="shared" si="11"/>
        <v>0.25</v>
      </c>
      <c r="AE39" s="30">
        <v>2.4884259259259259E-2</v>
      </c>
      <c r="AF39" s="23">
        <f t="shared" si="12"/>
        <v>1.25</v>
      </c>
      <c r="AG39" s="24">
        <f t="shared" si="36"/>
        <v>5</v>
      </c>
      <c r="AH39" s="28">
        <f t="shared" si="14"/>
        <v>1</v>
      </c>
      <c r="AI39" s="29">
        <f t="shared" si="15"/>
        <v>0.25</v>
      </c>
      <c r="AJ39" s="31">
        <v>1</v>
      </c>
      <c r="AK39" s="31">
        <v>1</v>
      </c>
      <c r="AL39" s="31">
        <v>1</v>
      </c>
      <c r="AM39" s="31">
        <v>1</v>
      </c>
      <c r="AN39" s="31">
        <v>0</v>
      </c>
      <c r="AO39" s="31">
        <v>0</v>
      </c>
      <c r="AP39" s="31">
        <v>0</v>
      </c>
      <c r="AQ39" s="31">
        <v>0</v>
      </c>
      <c r="AR39" s="23">
        <f t="shared" si="16"/>
        <v>0.8</v>
      </c>
      <c r="AS39" s="24">
        <f t="shared" si="17"/>
        <v>4</v>
      </c>
      <c r="AT39" s="28">
        <f t="shared" si="18"/>
        <v>0.5</v>
      </c>
      <c r="AU39" s="28">
        <f t="shared" si="19"/>
        <v>7.4999999999999997E-2</v>
      </c>
      <c r="AV39" s="32">
        <v>75</v>
      </c>
      <c r="AW39" s="32">
        <v>75</v>
      </c>
      <c r="AX39" s="32">
        <v>90</v>
      </c>
      <c r="AY39" s="32">
        <v>85</v>
      </c>
      <c r="AZ39" s="32">
        <v>80</v>
      </c>
      <c r="BA39" s="32">
        <v>100</v>
      </c>
      <c r="BB39" s="23">
        <f t="shared" ca="1" si="20"/>
        <v>0.8</v>
      </c>
      <c r="BC39" s="33">
        <f t="shared" si="25"/>
        <v>84.166666666666671</v>
      </c>
      <c r="BD39" s="28">
        <f t="shared" si="21"/>
        <v>0.94059405940594054</v>
      </c>
      <c r="BE39" s="28">
        <f t="shared" si="22"/>
        <v>0.18811881188118812</v>
      </c>
      <c r="BF39" s="34">
        <f ca="1">Q39+AA39+AF39+AR39+BB39</f>
        <v>4.7</v>
      </c>
      <c r="BG39" s="34">
        <f>AVERAGE(AV39:AZ39)</f>
        <v>81</v>
      </c>
      <c r="BH39" s="35">
        <f>T39+AD39+AI39+AU39+BE39</f>
        <v>0.89286768502993241</v>
      </c>
      <c r="BI39" s="36" t="str">
        <f ca="1">IF(K39&lt;365,"New CE",(IF(BH39&gt;=100%,"Promote",IF(BH39&gt;=90%,"Sangat Baik",IF(BH39&gt;=80%,"Baik",IF(BH39&gt;=70%,"Lebih Dari Cukup",IF(BH39&gt;=60%,"Cukup","Kurang")))))))</f>
        <v>Baik</v>
      </c>
      <c r="BJ39" s="36" t="s">
        <v>855</v>
      </c>
      <c r="BK39" s="58" t="s">
        <v>48</v>
      </c>
      <c r="BL39" s="59" t="e">
        <v>#N/A</v>
      </c>
    </row>
    <row r="40" spans="1:64" x14ac:dyDescent="0.35">
      <c r="A40" s="19">
        <v>36</v>
      </c>
      <c r="B40" s="13" t="s">
        <v>147</v>
      </c>
      <c r="C40" s="20" t="s">
        <v>148</v>
      </c>
      <c r="D40" s="76" t="s">
        <v>54</v>
      </c>
      <c r="E40" s="13" t="s">
        <v>43</v>
      </c>
      <c r="F40" s="13" t="s">
        <v>44</v>
      </c>
      <c r="G40" s="13" t="s">
        <v>55</v>
      </c>
      <c r="H40" s="65">
        <v>44795</v>
      </c>
      <c r="I40" s="21">
        <f t="shared" ca="1" si="23"/>
        <v>45974</v>
      </c>
      <c r="J40" s="13" t="str">
        <f t="shared" ca="1" si="0"/>
        <v xml:space="preserve">3 Tahun 2 Bulan 22 Hari </v>
      </c>
      <c r="K40" s="13">
        <f t="shared" ca="1" si="24"/>
        <v>1697760</v>
      </c>
      <c r="L40" s="13">
        <v>1384</v>
      </c>
      <c r="M40" s="13">
        <v>22</v>
      </c>
      <c r="N40" s="13">
        <v>6775</v>
      </c>
      <c r="O40" s="22">
        <f t="shared" si="1"/>
        <v>307.95454545454544</v>
      </c>
      <c r="P40" s="13">
        <v>531</v>
      </c>
      <c r="Q40" s="23">
        <f t="shared" si="2"/>
        <v>1</v>
      </c>
      <c r="R40" s="24">
        <f t="shared" si="3"/>
        <v>5</v>
      </c>
      <c r="S40" s="25">
        <f t="shared" si="29"/>
        <v>1.724280442804428</v>
      </c>
      <c r="T40" s="25">
        <f t="shared" si="5"/>
        <v>0.34485608856088562</v>
      </c>
      <c r="U40" s="26">
        <v>4978.2464902016727</v>
      </c>
      <c r="V40" s="26">
        <v>14340.228488060427</v>
      </c>
      <c r="W40" s="26">
        <v>4.6296296296296294E-5</v>
      </c>
      <c r="X40" s="27">
        <f t="shared" si="32"/>
        <v>0</v>
      </c>
      <c r="Y40" s="27">
        <f t="shared" si="33"/>
        <v>0</v>
      </c>
      <c r="Z40" s="27">
        <f t="shared" si="34"/>
        <v>1</v>
      </c>
      <c r="AA40" s="23">
        <f>IF(AB40=3, 1.75, IF(AB40=2, 1, IF(AB40=1, 0.75, IF(AB40=0, 0, 0))))</f>
        <v>0.75</v>
      </c>
      <c r="AB40" s="24">
        <f t="shared" si="35"/>
        <v>1</v>
      </c>
      <c r="AC40" s="28">
        <f t="shared" si="10"/>
        <v>0.33333333333333331</v>
      </c>
      <c r="AD40" s="29">
        <f t="shared" si="11"/>
        <v>8.3333333333333329E-2</v>
      </c>
      <c r="AE40" s="30">
        <v>6.9291518234402771E-2</v>
      </c>
      <c r="AF40" s="23">
        <f t="shared" si="12"/>
        <v>1</v>
      </c>
      <c r="AG40" s="24">
        <f t="shared" si="36"/>
        <v>4</v>
      </c>
      <c r="AH40" s="28">
        <f t="shared" si="14"/>
        <v>0.8</v>
      </c>
      <c r="AI40" s="29">
        <f t="shared" si="15"/>
        <v>0.2</v>
      </c>
      <c r="AJ40" s="31">
        <v>1</v>
      </c>
      <c r="AK40" s="31">
        <v>1</v>
      </c>
      <c r="AL40" s="31">
        <v>1</v>
      </c>
      <c r="AM40" s="31">
        <v>1</v>
      </c>
      <c r="AN40" s="31">
        <v>0</v>
      </c>
      <c r="AO40" s="31">
        <v>0</v>
      </c>
      <c r="AP40" s="31">
        <v>0</v>
      </c>
      <c r="AQ40" s="31">
        <v>0</v>
      </c>
      <c r="AR40" s="23">
        <f t="shared" si="16"/>
        <v>0.8</v>
      </c>
      <c r="AS40" s="24">
        <f t="shared" si="17"/>
        <v>4</v>
      </c>
      <c r="AT40" s="28">
        <f t="shared" si="18"/>
        <v>0.5</v>
      </c>
      <c r="AU40" s="28">
        <f t="shared" si="19"/>
        <v>7.4999999999999997E-2</v>
      </c>
      <c r="AV40" s="32">
        <v>80</v>
      </c>
      <c r="AW40" s="32">
        <v>75</v>
      </c>
      <c r="AX40" s="32">
        <v>90</v>
      </c>
      <c r="AY40" s="32">
        <v>90</v>
      </c>
      <c r="AZ40" s="32">
        <v>85</v>
      </c>
      <c r="BA40" s="32">
        <v>100</v>
      </c>
      <c r="BB40" s="23">
        <f t="shared" ca="1" si="20"/>
        <v>0.8</v>
      </c>
      <c r="BC40" s="33">
        <f t="shared" si="25"/>
        <v>86.666666666666671</v>
      </c>
      <c r="BD40" s="28">
        <f t="shared" si="21"/>
        <v>0.94230769230769229</v>
      </c>
      <c r="BE40" s="28">
        <f t="shared" si="22"/>
        <v>0.18846153846153846</v>
      </c>
      <c r="BF40" s="34">
        <f ca="1">Q40+AA40+AF40+AR40+BB40</f>
        <v>4.3499999999999996</v>
      </c>
      <c r="BG40" s="34">
        <f>AVERAGE(AV40:AZ40)</f>
        <v>84</v>
      </c>
      <c r="BH40" s="35">
        <f>T40+AD40+AI40+AU40+BE40</f>
        <v>0.89165096035575742</v>
      </c>
      <c r="BI40" s="36" t="str">
        <f ca="1">IF(K40&lt;365,"New CE",(IF(BH40&gt;=100%,"Promote",IF(BH40&gt;=90%,"Sangat Baik",IF(BH40&gt;=80%,"Baik",IF(BH40&gt;=70%,"Lebih Dari Cukup",IF(BH40&gt;=60%,"Cukup","Kurang")))))))</f>
        <v>Baik</v>
      </c>
      <c r="BJ40" s="36" t="s">
        <v>855</v>
      </c>
      <c r="BK40" s="58" t="s">
        <v>48</v>
      </c>
      <c r="BL40" s="59" t="e">
        <v>#N/A</v>
      </c>
    </row>
    <row r="41" spans="1:64" x14ac:dyDescent="0.35">
      <c r="A41" s="19">
        <v>37</v>
      </c>
      <c r="B41" s="13" t="s">
        <v>149</v>
      </c>
      <c r="C41" s="20" t="s">
        <v>150</v>
      </c>
      <c r="D41" s="76" t="s">
        <v>54</v>
      </c>
      <c r="E41" s="13" t="s">
        <v>43</v>
      </c>
      <c r="F41" s="13" t="s">
        <v>44</v>
      </c>
      <c r="G41" s="13" t="s">
        <v>55</v>
      </c>
      <c r="H41" s="65">
        <v>45323</v>
      </c>
      <c r="I41" s="21">
        <f t="shared" ca="1" si="23"/>
        <v>45974</v>
      </c>
      <c r="J41" s="13" t="str">
        <f t="shared" ca="1" si="0"/>
        <v xml:space="preserve">1 Tahun 9 Bulan 12 Hari </v>
      </c>
      <c r="K41" s="13">
        <f t="shared" ca="1" si="24"/>
        <v>937440</v>
      </c>
      <c r="L41" s="13">
        <v>1384</v>
      </c>
      <c r="M41" s="13">
        <v>22</v>
      </c>
      <c r="N41" s="13">
        <v>6775</v>
      </c>
      <c r="O41" s="22">
        <f t="shared" si="1"/>
        <v>307.95454545454544</v>
      </c>
      <c r="P41" s="13">
        <v>401</v>
      </c>
      <c r="Q41" s="23">
        <f t="shared" si="2"/>
        <v>1</v>
      </c>
      <c r="R41" s="24">
        <f t="shared" si="3"/>
        <v>5</v>
      </c>
      <c r="S41" s="25">
        <f t="shared" si="29"/>
        <v>1.3021402214022142</v>
      </c>
      <c r="T41" s="25">
        <f t="shared" si="5"/>
        <v>0.26042804428044286</v>
      </c>
      <c r="U41" s="26">
        <v>3.3619842430149455E-2</v>
      </c>
      <c r="V41" s="26">
        <v>7.3472222222222217E-2</v>
      </c>
      <c r="W41" s="26">
        <v>0</v>
      </c>
      <c r="X41" s="27">
        <f t="shared" si="32"/>
        <v>1</v>
      </c>
      <c r="Y41" s="27">
        <f t="shared" si="33"/>
        <v>1</v>
      </c>
      <c r="Z41" s="27">
        <f t="shared" si="34"/>
        <v>0</v>
      </c>
      <c r="AA41" s="23">
        <f t="shared" ref="AA41:AA48" si="37">IF(AB41=3, 1.25, IF(AB41=2, 0.8, IF(AB41=1, 0.4, IF(AB41=0, 0, 0))))</f>
        <v>0.8</v>
      </c>
      <c r="AB41" s="24">
        <f t="shared" si="35"/>
        <v>2</v>
      </c>
      <c r="AC41" s="28">
        <f t="shared" si="10"/>
        <v>0.66666666666666663</v>
      </c>
      <c r="AD41" s="29">
        <f t="shared" si="11"/>
        <v>0.16666666666666666</v>
      </c>
      <c r="AE41" s="30">
        <v>4.9119239709772791E-2</v>
      </c>
      <c r="AF41" s="23">
        <f t="shared" si="12"/>
        <v>1</v>
      </c>
      <c r="AG41" s="24">
        <f t="shared" si="36"/>
        <v>4</v>
      </c>
      <c r="AH41" s="28">
        <f t="shared" si="14"/>
        <v>0.8</v>
      </c>
      <c r="AI41" s="29">
        <f t="shared" si="15"/>
        <v>0.2</v>
      </c>
      <c r="AJ41" s="31">
        <v>1</v>
      </c>
      <c r="AK41" s="31">
        <v>1</v>
      </c>
      <c r="AL41" s="31">
        <v>1</v>
      </c>
      <c r="AM41" s="31">
        <v>0</v>
      </c>
      <c r="AN41" s="31">
        <v>0</v>
      </c>
      <c r="AO41" s="31">
        <v>1</v>
      </c>
      <c r="AP41" s="31">
        <v>0</v>
      </c>
      <c r="AQ41" s="31">
        <v>0</v>
      </c>
      <c r="AR41" s="23">
        <f t="shared" si="16"/>
        <v>0.8</v>
      </c>
      <c r="AS41" s="24">
        <f t="shared" si="17"/>
        <v>4</v>
      </c>
      <c r="AT41" s="28">
        <f t="shared" si="18"/>
        <v>0.5</v>
      </c>
      <c r="AU41" s="28">
        <f t="shared" si="19"/>
        <v>7.4999999999999997E-2</v>
      </c>
      <c r="AV41" s="32">
        <v>75</v>
      </c>
      <c r="AW41" s="32">
        <v>75</v>
      </c>
      <c r="AX41" s="32">
        <v>80</v>
      </c>
      <c r="AY41" s="32">
        <v>80</v>
      </c>
      <c r="AZ41" s="32">
        <v>80</v>
      </c>
      <c r="BA41" s="32">
        <v>100</v>
      </c>
      <c r="BB41" s="23">
        <f t="shared" ca="1" si="20"/>
        <v>0.8</v>
      </c>
      <c r="BC41" s="33">
        <f t="shared" si="25"/>
        <v>81.666666666666671</v>
      </c>
      <c r="BD41" s="28">
        <f t="shared" si="21"/>
        <v>0.93877551020408168</v>
      </c>
      <c r="BE41" s="28">
        <f t="shared" si="22"/>
        <v>0.18775510204081636</v>
      </c>
      <c r="BF41" s="34">
        <f ca="1">Q41+AA41+AF41+AR41+BB41</f>
        <v>4.3999999999999995</v>
      </c>
      <c r="BG41" s="34">
        <f>AVERAGE(AV41:AZ41)</f>
        <v>78</v>
      </c>
      <c r="BH41" s="35">
        <f>T41+AD41+AI41+AU41+BE41</f>
        <v>0.88984981298792576</v>
      </c>
      <c r="BI41" s="36" t="str">
        <f ca="1">IF(K41&lt;365,"New CE",(IF(BH41&gt;=100%,"Promote",IF(BH41&gt;=90%,"Sangat Baik",IF(BH41&gt;=80%,"Baik",IF(BH41&gt;=70%,"Lebih Dari Cukup",IF(BH41&gt;=60%,"Cukup","Kurang")))))))</f>
        <v>Baik</v>
      </c>
      <c r="BJ41" s="36" t="s">
        <v>860</v>
      </c>
      <c r="BK41" s="58" t="s">
        <v>54</v>
      </c>
      <c r="BL41" s="59" t="e">
        <v>#N/A</v>
      </c>
    </row>
    <row r="42" spans="1:64" x14ac:dyDescent="0.35">
      <c r="A42" s="19">
        <v>38</v>
      </c>
      <c r="B42" s="13" t="s">
        <v>151</v>
      </c>
      <c r="C42" s="20" t="s">
        <v>152</v>
      </c>
      <c r="D42" s="76" t="s">
        <v>54</v>
      </c>
      <c r="E42" s="13" t="s">
        <v>153</v>
      </c>
      <c r="F42" s="13" t="s">
        <v>50</v>
      </c>
      <c r="G42" s="13" t="s">
        <v>61</v>
      </c>
      <c r="H42" s="65">
        <v>45114</v>
      </c>
      <c r="I42" s="21">
        <f t="shared" ca="1" si="23"/>
        <v>45974</v>
      </c>
      <c r="J42" s="13" t="str">
        <f t="shared" ca="1" si="0"/>
        <v xml:space="preserve">2 Tahun 4 Bulan 6 Hari </v>
      </c>
      <c r="K42" s="13">
        <f t="shared" ca="1" si="24"/>
        <v>1238400</v>
      </c>
      <c r="L42" s="13">
        <v>26</v>
      </c>
      <c r="M42" s="13">
        <v>1</v>
      </c>
      <c r="N42" s="13">
        <v>133</v>
      </c>
      <c r="O42" s="22">
        <f t="shared" si="1"/>
        <v>133</v>
      </c>
      <c r="P42" s="13">
        <v>130</v>
      </c>
      <c r="Q42" s="23">
        <f t="shared" si="2"/>
        <v>0.8</v>
      </c>
      <c r="R42" s="24">
        <f t="shared" si="3"/>
        <v>4</v>
      </c>
      <c r="S42" s="25">
        <f t="shared" si="29"/>
        <v>0.97744360902255634</v>
      </c>
      <c r="T42" s="25">
        <f t="shared" si="5"/>
        <v>0.19548872180451127</v>
      </c>
      <c r="U42" s="26">
        <v>6479.0597949735447</v>
      </c>
      <c r="V42" s="26">
        <v>4.296296296296296E-2</v>
      </c>
      <c r="W42" s="26">
        <v>5052.1660738168721</v>
      </c>
      <c r="X42" s="27">
        <v>1</v>
      </c>
      <c r="Y42" s="27">
        <f t="shared" si="33"/>
        <v>1</v>
      </c>
      <c r="Z42" s="27">
        <f t="shared" si="34"/>
        <v>1</v>
      </c>
      <c r="AA42" s="23">
        <f t="shared" si="37"/>
        <v>1.25</v>
      </c>
      <c r="AB42" s="24">
        <f t="shared" si="35"/>
        <v>3</v>
      </c>
      <c r="AC42" s="28">
        <f t="shared" si="10"/>
        <v>1</v>
      </c>
      <c r="AD42" s="29">
        <f t="shared" si="11"/>
        <v>0.25</v>
      </c>
      <c r="AE42" s="30">
        <v>7.7731481481481485E-2</v>
      </c>
      <c r="AF42" s="23">
        <f t="shared" si="12"/>
        <v>1</v>
      </c>
      <c r="AG42" s="24">
        <f t="shared" si="36"/>
        <v>4</v>
      </c>
      <c r="AH42" s="28">
        <f t="shared" si="14"/>
        <v>0.8</v>
      </c>
      <c r="AI42" s="29">
        <f t="shared" si="15"/>
        <v>0.2</v>
      </c>
      <c r="AJ42" s="31">
        <v>1</v>
      </c>
      <c r="AK42" s="31">
        <v>1</v>
      </c>
      <c r="AL42" s="31">
        <v>1</v>
      </c>
      <c r="AM42" s="31">
        <v>0</v>
      </c>
      <c r="AN42" s="31">
        <v>0</v>
      </c>
      <c r="AO42" s="31">
        <v>0</v>
      </c>
      <c r="AP42" s="31">
        <v>0</v>
      </c>
      <c r="AQ42" s="31">
        <v>0</v>
      </c>
      <c r="AR42" s="23">
        <f t="shared" si="16"/>
        <v>0.6</v>
      </c>
      <c r="AS42" s="24">
        <f t="shared" si="17"/>
        <v>3</v>
      </c>
      <c r="AT42" s="28">
        <f t="shared" si="18"/>
        <v>0.375</v>
      </c>
      <c r="AU42" s="28">
        <f t="shared" si="19"/>
        <v>5.6249999999999994E-2</v>
      </c>
      <c r="AV42" s="32">
        <v>75</v>
      </c>
      <c r="AW42" s="32">
        <v>75</v>
      </c>
      <c r="AX42" s="32">
        <v>90</v>
      </c>
      <c r="AY42" s="32">
        <v>85</v>
      </c>
      <c r="AZ42" s="32">
        <v>80</v>
      </c>
      <c r="BA42" s="32">
        <v>100</v>
      </c>
      <c r="BB42" s="23">
        <f t="shared" ca="1" si="20"/>
        <v>0.8</v>
      </c>
      <c r="BC42" s="33">
        <f t="shared" si="25"/>
        <v>84.166666666666671</v>
      </c>
      <c r="BD42" s="28">
        <f t="shared" si="21"/>
        <v>0.94059405940594054</v>
      </c>
      <c r="BE42" s="28">
        <f t="shared" si="22"/>
        <v>0.18811881188118812</v>
      </c>
      <c r="BF42" s="34">
        <f ca="1">Q42+AA42+AF42+AR42+BB42</f>
        <v>4.45</v>
      </c>
      <c r="BG42" s="34">
        <f>AVERAGE(AV42:AZ42)</f>
        <v>81</v>
      </c>
      <c r="BH42" s="35">
        <f>T42+AD42+AI42+AU42+BE42</f>
        <v>0.88985753368569953</v>
      </c>
      <c r="BI42" s="36" t="str">
        <f ca="1">IF(K42&lt;365,"New CE",(IF(BH42&gt;=100%,"Promote",IF(BH42&gt;=90%,"Sangat Baik",IF(BH42&gt;=80%,"Baik",IF(BH42&gt;=70%,"Lebih Dari Cukup",IF(BH42&gt;=60%,"Cukup","Kurang")))))))</f>
        <v>Baik</v>
      </c>
      <c r="BJ42" s="36" t="s">
        <v>855</v>
      </c>
      <c r="BK42" s="58" t="s">
        <v>48</v>
      </c>
      <c r="BL42" s="59" t="e">
        <v>#N/A</v>
      </c>
    </row>
    <row r="43" spans="1:64" x14ac:dyDescent="0.35">
      <c r="A43" s="19">
        <v>39</v>
      </c>
      <c r="B43" s="13" t="s">
        <v>154</v>
      </c>
      <c r="C43" s="20" t="s">
        <v>155</v>
      </c>
      <c r="D43" s="76" t="s">
        <v>54</v>
      </c>
      <c r="E43" s="13" t="s">
        <v>156</v>
      </c>
      <c r="F43" s="13" t="s">
        <v>50</v>
      </c>
      <c r="G43" s="13" t="s">
        <v>61</v>
      </c>
      <c r="H43" s="65">
        <v>45173</v>
      </c>
      <c r="I43" s="21">
        <f t="shared" ca="1" si="23"/>
        <v>45974</v>
      </c>
      <c r="J43" s="13" t="str">
        <f t="shared" ca="1" si="0"/>
        <v xml:space="preserve">2 Tahun 2 Bulan 9 Hari </v>
      </c>
      <c r="K43" s="13">
        <f t="shared" ca="1" si="24"/>
        <v>1153440</v>
      </c>
      <c r="L43" s="13">
        <v>37</v>
      </c>
      <c r="M43" s="13">
        <v>1</v>
      </c>
      <c r="N43" s="13">
        <v>207</v>
      </c>
      <c r="O43" s="22">
        <f t="shared" si="1"/>
        <v>207</v>
      </c>
      <c r="P43" s="13">
        <v>214</v>
      </c>
      <c r="Q43" s="23">
        <f t="shared" si="2"/>
        <v>1</v>
      </c>
      <c r="R43" s="24">
        <f t="shared" si="3"/>
        <v>5</v>
      </c>
      <c r="S43" s="25">
        <f t="shared" si="29"/>
        <v>1.0338164251207729</v>
      </c>
      <c r="T43" s="25">
        <f t="shared" si="5"/>
        <v>0.20676328502415459</v>
      </c>
      <c r="U43" s="26">
        <v>3.1605902777777778E-2</v>
      </c>
      <c r="V43" s="26">
        <v>9.9270833333333336E-2</v>
      </c>
      <c r="W43" s="26">
        <v>3490.9934775641032</v>
      </c>
      <c r="X43" s="27">
        <f t="shared" ref="X43:X51" si="38">IF(U43=TIME(0,0,0), 0, IF(U43&lt;=TIME(1,30,0), 1, 0))</f>
        <v>1</v>
      </c>
      <c r="Y43" s="27">
        <f t="shared" si="33"/>
        <v>1</v>
      </c>
      <c r="Z43" s="27">
        <f t="shared" si="34"/>
        <v>1</v>
      </c>
      <c r="AA43" s="23">
        <f t="shared" si="37"/>
        <v>1.25</v>
      </c>
      <c r="AB43" s="24">
        <f t="shared" si="35"/>
        <v>3</v>
      </c>
      <c r="AC43" s="28">
        <f t="shared" si="10"/>
        <v>1</v>
      </c>
      <c r="AD43" s="29">
        <f t="shared" si="11"/>
        <v>0.25</v>
      </c>
      <c r="AE43" s="30">
        <v>0.10193807870370371</v>
      </c>
      <c r="AF43" s="23">
        <f t="shared" si="12"/>
        <v>0.75</v>
      </c>
      <c r="AG43" s="24">
        <f t="shared" si="36"/>
        <v>3</v>
      </c>
      <c r="AH43" s="28">
        <f t="shared" si="14"/>
        <v>0.6</v>
      </c>
      <c r="AI43" s="29">
        <f t="shared" si="15"/>
        <v>0.15</v>
      </c>
      <c r="AJ43" s="31">
        <v>1</v>
      </c>
      <c r="AK43" s="31">
        <v>1</v>
      </c>
      <c r="AL43" s="31">
        <v>1</v>
      </c>
      <c r="AM43" s="31">
        <v>0</v>
      </c>
      <c r="AN43" s="31">
        <v>0</v>
      </c>
      <c r="AO43" s="31">
        <v>1</v>
      </c>
      <c r="AP43" s="31">
        <v>0</v>
      </c>
      <c r="AQ43" s="31">
        <v>1</v>
      </c>
      <c r="AR43" s="23">
        <f t="shared" si="16"/>
        <v>1</v>
      </c>
      <c r="AS43" s="24">
        <f t="shared" si="17"/>
        <v>5</v>
      </c>
      <c r="AT43" s="28">
        <f t="shared" si="18"/>
        <v>0.625</v>
      </c>
      <c r="AU43" s="28">
        <f t="shared" si="19"/>
        <v>9.375E-2</v>
      </c>
      <c r="AV43" s="32">
        <v>75</v>
      </c>
      <c r="AW43" s="32">
        <v>70</v>
      </c>
      <c r="AX43" s="32">
        <v>90</v>
      </c>
      <c r="AY43" s="32">
        <v>85</v>
      </c>
      <c r="AZ43" s="32">
        <v>80</v>
      </c>
      <c r="BA43" s="32">
        <v>100</v>
      </c>
      <c r="BB43" s="23">
        <f t="shared" ca="1" si="20"/>
        <v>0.8</v>
      </c>
      <c r="BC43" s="33">
        <f t="shared" si="25"/>
        <v>83.333333333333329</v>
      </c>
      <c r="BD43" s="28">
        <f t="shared" si="21"/>
        <v>0.94</v>
      </c>
      <c r="BE43" s="28">
        <f t="shared" si="22"/>
        <v>0.188</v>
      </c>
      <c r="BF43" s="34">
        <f ca="1">Q43+AA43+AF43+AR43+BB43</f>
        <v>4.8</v>
      </c>
      <c r="BG43" s="34">
        <f>AVERAGE(AV43:AZ43)</f>
        <v>80</v>
      </c>
      <c r="BH43" s="35">
        <f>T43+AD43+AI43+AU43+BE43</f>
        <v>0.88851328502415461</v>
      </c>
      <c r="BI43" s="36" t="str">
        <f ca="1">IF(K43&lt;365,"New CE",(IF(BH43&gt;=100%,"Promote",IF(BH43&gt;=90%,"Sangat Baik",IF(BH43&gt;=80%,"Baik",IF(BH43&gt;=70%,"Lebih Dari Cukup",IF(BH43&gt;=60%,"Cukup","Kurang")))))))</f>
        <v>Baik</v>
      </c>
      <c r="BJ43" s="36" t="s">
        <v>860</v>
      </c>
      <c r="BK43" s="58" t="s">
        <v>54</v>
      </c>
      <c r="BL43" s="59" t="e">
        <v>#N/A</v>
      </c>
    </row>
    <row r="44" spans="1:64" x14ac:dyDescent="0.35">
      <c r="A44" s="19">
        <v>40</v>
      </c>
      <c r="B44" s="13" t="s">
        <v>157</v>
      </c>
      <c r="C44" s="20" t="s">
        <v>158</v>
      </c>
      <c r="D44" s="76" t="s">
        <v>54</v>
      </c>
      <c r="E44" s="13" t="s">
        <v>81</v>
      </c>
      <c r="F44" s="13" t="s">
        <v>74</v>
      </c>
      <c r="G44" s="13" t="s">
        <v>55</v>
      </c>
      <c r="H44" s="65">
        <v>44837</v>
      </c>
      <c r="I44" s="21">
        <f t="shared" ca="1" si="23"/>
        <v>45974</v>
      </c>
      <c r="J44" s="13" t="str">
        <f t="shared" ca="1" si="0"/>
        <v xml:space="preserve">3 Tahun 1 Bulan 10 Hari </v>
      </c>
      <c r="K44" s="13">
        <f t="shared" ca="1" si="24"/>
        <v>1637280</v>
      </c>
      <c r="L44" s="13">
        <v>221</v>
      </c>
      <c r="M44" s="13">
        <v>4</v>
      </c>
      <c r="N44" s="13">
        <v>1669</v>
      </c>
      <c r="O44" s="22">
        <f t="shared" si="1"/>
        <v>417.25</v>
      </c>
      <c r="P44" s="13">
        <v>539</v>
      </c>
      <c r="Q44" s="23">
        <f t="shared" si="2"/>
        <v>1</v>
      </c>
      <c r="R44" s="24">
        <f t="shared" si="3"/>
        <v>5</v>
      </c>
      <c r="S44" s="25">
        <f t="shared" si="29"/>
        <v>1.2917914919113243</v>
      </c>
      <c r="T44" s="25">
        <f t="shared" si="5"/>
        <v>0.25835829838226487</v>
      </c>
      <c r="U44" s="26">
        <v>10253.779592667261</v>
      </c>
      <c r="V44" s="26">
        <v>2.4377314814814817E-2</v>
      </c>
      <c r="W44" s="26">
        <v>24038.322450299565</v>
      </c>
      <c r="X44" s="27">
        <f t="shared" si="38"/>
        <v>0</v>
      </c>
      <c r="Y44" s="27">
        <f t="shared" si="33"/>
        <v>1</v>
      </c>
      <c r="Z44" s="27">
        <f t="shared" si="34"/>
        <v>1</v>
      </c>
      <c r="AA44" s="23">
        <f t="shared" si="37"/>
        <v>0.8</v>
      </c>
      <c r="AB44" s="24">
        <f t="shared" si="35"/>
        <v>2</v>
      </c>
      <c r="AC44" s="28">
        <f t="shared" si="10"/>
        <v>0.66666666666666663</v>
      </c>
      <c r="AD44" s="29">
        <f t="shared" si="11"/>
        <v>0.16666666666666666</v>
      </c>
      <c r="AE44" s="30">
        <v>8.2332699154764794E-2</v>
      </c>
      <c r="AF44" s="23">
        <f t="shared" si="12"/>
        <v>1</v>
      </c>
      <c r="AG44" s="24">
        <f t="shared" si="36"/>
        <v>4</v>
      </c>
      <c r="AH44" s="28">
        <f t="shared" si="14"/>
        <v>0.8</v>
      </c>
      <c r="AI44" s="29">
        <f t="shared" si="15"/>
        <v>0.2</v>
      </c>
      <c r="AJ44" s="31">
        <v>1</v>
      </c>
      <c r="AK44" s="31">
        <v>1</v>
      </c>
      <c r="AL44" s="31">
        <v>1</v>
      </c>
      <c r="AM44" s="31">
        <v>0</v>
      </c>
      <c r="AN44" s="31">
        <v>0</v>
      </c>
      <c r="AO44" s="31">
        <v>1</v>
      </c>
      <c r="AP44" s="31">
        <v>0</v>
      </c>
      <c r="AQ44" s="31">
        <v>0</v>
      </c>
      <c r="AR44" s="23">
        <f t="shared" si="16"/>
        <v>0.8</v>
      </c>
      <c r="AS44" s="24">
        <f t="shared" si="17"/>
        <v>4</v>
      </c>
      <c r="AT44" s="28">
        <f t="shared" si="18"/>
        <v>0.5</v>
      </c>
      <c r="AU44" s="28">
        <f t="shared" si="19"/>
        <v>7.4999999999999997E-2</v>
      </c>
      <c r="AV44" s="32">
        <v>75</v>
      </c>
      <c r="AW44" s="32">
        <v>80</v>
      </c>
      <c r="AX44" s="32">
        <v>75</v>
      </c>
      <c r="AY44" s="32">
        <v>75</v>
      </c>
      <c r="AZ44" s="32">
        <v>75</v>
      </c>
      <c r="BA44" s="32">
        <v>100</v>
      </c>
      <c r="BB44" s="23">
        <f t="shared" ca="1" si="20"/>
        <v>0.8</v>
      </c>
      <c r="BC44" s="33">
        <f t="shared" si="25"/>
        <v>80</v>
      </c>
      <c r="BD44" s="28">
        <f t="shared" si="21"/>
        <v>0.9375</v>
      </c>
      <c r="BE44" s="28">
        <f t="shared" si="22"/>
        <v>0.1875</v>
      </c>
      <c r="BF44" s="34">
        <f ca="1">Q44+AA44+AF44+AR44+BB44</f>
        <v>4.3999999999999995</v>
      </c>
      <c r="BG44" s="34">
        <f>AVERAGE(AV44:AZ44)</f>
        <v>76</v>
      </c>
      <c r="BH44" s="35">
        <f>T44+AD44+AI44+AU44+BE44</f>
        <v>0.88752496504893141</v>
      </c>
      <c r="BI44" s="36" t="str">
        <f ca="1">IF(K44&lt;365,"New CE",(IF(BH44&gt;=100%,"Promote",IF(BH44&gt;=90%,"Sangat Baik",IF(BH44&gt;=80%,"Baik",IF(BH44&gt;=70%,"Lebih Dari Cukup",IF(BH44&gt;=60%,"Cukup","Kurang")))))))</f>
        <v>Baik</v>
      </c>
      <c r="BJ44" s="36" t="s">
        <v>860</v>
      </c>
      <c r="BK44" s="58" t="s">
        <v>54</v>
      </c>
      <c r="BL44" s="59" t="str">
        <v>Bara Putra</v>
      </c>
    </row>
    <row r="45" spans="1:64" x14ac:dyDescent="0.35">
      <c r="A45" s="19">
        <v>41</v>
      </c>
      <c r="B45" s="13" t="s">
        <v>159</v>
      </c>
      <c r="C45" s="20" t="s">
        <v>160</v>
      </c>
      <c r="D45" s="76" t="s">
        <v>54</v>
      </c>
      <c r="E45" s="13" t="s">
        <v>161</v>
      </c>
      <c r="F45" s="13" t="s">
        <v>74</v>
      </c>
      <c r="G45" s="13" t="s">
        <v>61</v>
      </c>
      <c r="H45" s="65">
        <v>45323</v>
      </c>
      <c r="I45" s="21">
        <f t="shared" ca="1" si="23"/>
        <v>45974</v>
      </c>
      <c r="J45" s="13" t="str">
        <f t="shared" ca="1" si="0"/>
        <v xml:space="preserve">1 Tahun 9 Bulan 12 Hari </v>
      </c>
      <c r="K45" s="13">
        <f t="shared" ca="1" si="24"/>
        <v>937440</v>
      </c>
      <c r="L45" s="13">
        <v>126</v>
      </c>
      <c r="M45" s="13">
        <v>3</v>
      </c>
      <c r="N45" s="13">
        <v>985</v>
      </c>
      <c r="O45" s="22">
        <f t="shared" si="1"/>
        <v>328.33333333333331</v>
      </c>
      <c r="P45" s="13">
        <v>300</v>
      </c>
      <c r="Q45" s="23">
        <f t="shared" si="2"/>
        <v>0.8</v>
      </c>
      <c r="R45" s="24">
        <f t="shared" si="3"/>
        <v>4</v>
      </c>
      <c r="S45" s="25">
        <f t="shared" si="29"/>
        <v>0.91370558375634525</v>
      </c>
      <c r="T45" s="25">
        <f t="shared" si="5"/>
        <v>0.18274111675126906</v>
      </c>
      <c r="U45" s="26">
        <v>1262.5564599408438</v>
      </c>
      <c r="V45" s="26">
        <v>3.3504372427983549E-2</v>
      </c>
      <c r="W45" s="26">
        <v>5.0392232510288057E-2</v>
      </c>
      <c r="X45" s="27">
        <f t="shared" si="38"/>
        <v>0</v>
      </c>
      <c r="Y45" s="27">
        <f t="shared" si="33"/>
        <v>1</v>
      </c>
      <c r="Z45" s="27">
        <f t="shared" si="34"/>
        <v>1</v>
      </c>
      <c r="AA45" s="23">
        <f t="shared" si="37"/>
        <v>0.8</v>
      </c>
      <c r="AB45" s="24">
        <f t="shared" si="35"/>
        <v>2</v>
      </c>
      <c r="AC45" s="28">
        <f t="shared" si="10"/>
        <v>0.66666666666666663</v>
      </c>
      <c r="AD45" s="29">
        <f t="shared" si="11"/>
        <v>0.16666666666666666</v>
      </c>
      <c r="AE45" s="30">
        <v>4.6951075424382711E-2</v>
      </c>
      <c r="AF45" s="23">
        <f t="shared" si="12"/>
        <v>1</v>
      </c>
      <c r="AG45" s="24">
        <f t="shared" si="36"/>
        <v>4</v>
      </c>
      <c r="AH45" s="28">
        <f t="shared" si="14"/>
        <v>0.8</v>
      </c>
      <c r="AI45" s="29">
        <f t="shared" si="15"/>
        <v>0.2</v>
      </c>
      <c r="AJ45" s="31">
        <v>1</v>
      </c>
      <c r="AK45" s="31">
        <v>1</v>
      </c>
      <c r="AL45" s="31">
        <v>1</v>
      </c>
      <c r="AM45" s="31">
        <v>1</v>
      </c>
      <c r="AN45" s="31">
        <v>1</v>
      </c>
      <c r="AO45" s="31">
        <v>1</v>
      </c>
      <c r="AP45" s="31">
        <v>1</v>
      </c>
      <c r="AQ45" s="31">
        <v>1</v>
      </c>
      <c r="AR45" s="23">
        <f t="shared" si="16"/>
        <v>1</v>
      </c>
      <c r="AS45" s="24">
        <f t="shared" si="17"/>
        <v>8</v>
      </c>
      <c r="AT45" s="28">
        <f t="shared" si="18"/>
        <v>1</v>
      </c>
      <c r="AU45" s="28">
        <f t="shared" si="19"/>
        <v>0.15</v>
      </c>
      <c r="AV45" s="32">
        <v>75</v>
      </c>
      <c r="AW45" s="32">
        <v>70</v>
      </c>
      <c r="AX45" s="32">
        <v>85</v>
      </c>
      <c r="AY45" s="32">
        <v>85</v>
      </c>
      <c r="AZ45" s="32">
        <v>85</v>
      </c>
      <c r="BA45" s="32">
        <v>100</v>
      </c>
      <c r="BB45" s="23">
        <f t="shared" ca="1" si="20"/>
        <v>0.8</v>
      </c>
      <c r="BC45" s="33">
        <f t="shared" si="25"/>
        <v>83.333333333333329</v>
      </c>
      <c r="BD45" s="28">
        <f t="shared" si="21"/>
        <v>0.94</v>
      </c>
      <c r="BE45" s="28">
        <f t="shared" si="22"/>
        <v>0.188</v>
      </c>
      <c r="BF45" s="34">
        <f ca="1">Q45+AA45+AF45+AR45+BB45</f>
        <v>4.4000000000000004</v>
      </c>
      <c r="BG45" s="34">
        <f>AVERAGE(AV45:AZ45)</f>
        <v>80</v>
      </c>
      <c r="BH45" s="35">
        <f>T45+AD45+AI45+AU45+BE45</f>
        <v>0.88740778341793569</v>
      </c>
      <c r="BI45" s="36" t="str">
        <f ca="1">IF(K45&lt;365,"New CE",(IF(BH45&gt;=100%,"Promote",IF(BH45&gt;=90%,"Sangat Baik",IF(BH45&gt;=80%,"Baik",IF(BH45&gt;=70%,"Lebih Dari Cukup",IF(BH45&gt;=60%,"Cukup","Kurang")))))))</f>
        <v>Baik</v>
      </c>
      <c r="BJ45" s="36" t="s">
        <v>860</v>
      </c>
      <c r="BK45" s="58" t="s">
        <v>54</v>
      </c>
      <c r="BL45" s="59" t="str">
        <v>Bayu Saputra</v>
      </c>
    </row>
    <row r="46" spans="1:64" x14ac:dyDescent="0.35">
      <c r="A46" s="19">
        <v>42</v>
      </c>
      <c r="B46" s="13" t="s">
        <v>162</v>
      </c>
      <c r="C46" s="20" t="s">
        <v>163</v>
      </c>
      <c r="D46" s="76" t="s">
        <v>54</v>
      </c>
      <c r="E46" s="13" t="s">
        <v>117</v>
      </c>
      <c r="F46" s="13" t="s">
        <v>74</v>
      </c>
      <c r="G46" s="13" t="s">
        <v>51</v>
      </c>
      <c r="H46" s="65">
        <v>44746</v>
      </c>
      <c r="I46" s="21">
        <f t="shared" ca="1" si="23"/>
        <v>45974</v>
      </c>
      <c r="J46" s="13" t="str">
        <f t="shared" ca="1" si="0"/>
        <v xml:space="preserve">3 Tahun 4 Bulan 9 Hari </v>
      </c>
      <c r="K46" s="13">
        <f t="shared" ca="1" si="24"/>
        <v>1768320</v>
      </c>
      <c r="L46" s="13">
        <v>401</v>
      </c>
      <c r="M46" s="13">
        <v>7</v>
      </c>
      <c r="N46" s="13">
        <v>2754</v>
      </c>
      <c r="O46" s="22">
        <f t="shared" si="1"/>
        <v>393.42857142857144</v>
      </c>
      <c r="P46" s="13">
        <v>358</v>
      </c>
      <c r="Q46" s="23">
        <f t="shared" si="2"/>
        <v>0.8</v>
      </c>
      <c r="R46" s="24">
        <f t="shared" si="3"/>
        <v>4</v>
      </c>
      <c r="S46" s="25">
        <f t="shared" si="29"/>
        <v>0.90994916485112565</v>
      </c>
      <c r="T46" s="25">
        <f t="shared" si="5"/>
        <v>0.18198983297022514</v>
      </c>
      <c r="U46" s="26">
        <v>1978.7185778985511</v>
      </c>
      <c r="V46" s="26">
        <v>7.159027777777778E-2</v>
      </c>
      <c r="W46" s="26">
        <v>5670.8375477430554</v>
      </c>
      <c r="X46" s="27">
        <f t="shared" si="38"/>
        <v>0</v>
      </c>
      <c r="Y46" s="27">
        <f t="shared" si="33"/>
        <v>1</v>
      </c>
      <c r="Z46" s="27">
        <f t="shared" si="34"/>
        <v>1</v>
      </c>
      <c r="AA46" s="23">
        <f t="shared" si="37"/>
        <v>0.8</v>
      </c>
      <c r="AB46" s="24">
        <f t="shared" si="35"/>
        <v>2</v>
      </c>
      <c r="AC46" s="28">
        <f t="shared" si="10"/>
        <v>0.66666666666666663</v>
      </c>
      <c r="AD46" s="29">
        <f t="shared" si="11"/>
        <v>0.16666666666666666</v>
      </c>
      <c r="AE46" s="30">
        <v>4.3680941358024694E-2</v>
      </c>
      <c r="AF46" s="23">
        <f t="shared" si="12"/>
        <v>1</v>
      </c>
      <c r="AG46" s="24">
        <f t="shared" si="36"/>
        <v>4</v>
      </c>
      <c r="AH46" s="28">
        <f t="shared" si="14"/>
        <v>0.8</v>
      </c>
      <c r="AI46" s="29">
        <f t="shared" si="15"/>
        <v>0.2</v>
      </c>
      <c r="AJ46" s="31">
        <v>1</v>
      </c>
      <c r="AK46" s="31">
        <v>1</v>
      </c>
      <c r="AL46" s="31">
        <v>1</v>
      </c>
      <c r="AM46" s="31">
        <v>1</v>
      </c>
      <c r="AN46" s="31">
        <v>1</v>
      </c>
      <c r="AO46" s="31">
        <v>1</v>
      </c>
      <c r="AP46" s="31">
        <v>1</v>
      </c>
      <c r="AQ46" s="31">
        <v>1</v>
      </c>
      <c r="AR46" s="23">
        <f t="shared" si="16"/>
        <v>1</v>
      </c>
      <c r="AS46" s="24">
        <f t="shared" si="17"/>
        <v>8</v>
      </c>
      <c r="AT46" s="28">
        <f t="shared" si="18"/>
        <v>1</v>
      </c>
      <c r="AU46" s="28">
        <f t="shared" si="19"/>
        <v>0.15</v>
      </c>
      <c r="AV46" s="32">
        <v>80</v>
      </c>
      <c r="AW46" s="32">
        <v>75</v>
      </c>
      <c r="AX46" s="32">
        <v>85</v>
      </c>
      <c r="AY46" s="32">
        <v>85</v>
      </c>
      <c r="AZ46" s="32">
        <v>80</v>
      </c>
      <c r="BA46" s="32">
        <v>100</v>
      </c>
      <c r="BB46" s="23">
        <f t="shared" ca="1" si="20"/>
        <v>0.8</v>
      </c>
      <c r="BC46" s="33">
        <f t="shared" si="25"/>
        <v>84.166666666666671</v>
      </c>
      <c r="BD46" s="28">
        <f t="shared" si="21"/>
        <v>0.94059405940594054</v>
      </c>
      <c r="BE46" s="28">
        <f t="shared" si="22"/>
        <v>0.18811881188118812</v>
      </c>
      <c r="BF46" s="34">
        <f ca="1">Q46+AA46+AF46+AR46+BB46</f>
        <v>4.4000000000000004</v>
      </c>
      <c r="BG46" s="34">
        <f>AVERAGE(AV46:AZ46)</f>
        <v>81</v>
      </c>
      <c r="BH46" s="35">
        <f>T46+AD46+AI46+AU46+BE46</f>
        <v>0.88677531151808009</v>
      </c>
      <c r="BI46" s="36" t="str">
        <f ca="1">IF(K46&lt;365,"New CE",(IF(BH46&gt;=100%,"Promote",IF(BH46&gt;=90%,"Sangat Baik",IF(BH46&gt;=80%,"Baik",IF(BH46&gt;=70%,"Lebih Dari Cukup",IF(BH46&gt;=60%,"Cukup","Kurang")))))))</f>
        <v>Baik</v>
      </c>
      <c r="BJ46" s="36" t="s">
        <v>855</v>
      </c>
      <c r="BK46" s="58" t="s">
        <v>48</v>
      </c>
      <c r="BL46" s="59" t="str">
        <v>Rifcky Fajar Firmanto</v>
      </c>
    </row>
    <row r="47" spans="1:64" x14ac:dyDescent="0.35">
      <c r="A47" s="19">
        <v>43</v>
      </c>
      <c r="B47" s="13" t="s">
        <v>164</v>
      </c>
      <c r="C47" s="20" t="s">
        <v>165</v>
      </c>
      <c r="D47" s="76" t="s">
        <v>54</v>
      </c>
      <c r="E47" s="13" t="s">
        <v>111</v>
      </c>
      <c r="F47" s="13" t="s">
        <v>44</v>
      </c>
      <c r="G47" s="13" t="s">
        <v>55</v>
      </c>
      <c r="H47" s="65">
        <v>45413</v>
      </c>
      <c r="I47" s="21">
        <f t="shared" ca="1" si="23"/>
        <v>45974</v>
      </c>
      <c r="J47" s="13" t="str">
        <f t="shared" ca="1" si="0"/>
        <v xml:space="preserve">1 Tahun 6 Bulan 12 Hari </v>
      </c>
      <c r="K47" s="13">
        <f t="shared" ca="1" si="24"/>
        <v>807840</v>
      </c>
      <c r="L47" s="13">
        <v>85</v>
      </c>
      <c r="M47" s="13">
        <v>2</v>
      </c>
      <c r="N47" s="13">
        <v>501</v>
      </c>
      <c r="O47" s="22">
        <f t="shared" si="1"/>
        <v>250.5</v>
      </c>
      <c r="P47" s="13">
        <v>280</v>
      </c>
      <c r="Q47" s="23">
        <f t="shared" si="2"/>
        <v>1</v>
      </c>
      <c r="R47" s="24">
        <f t="shared" si="3"/>
        <v>5</v>
      </c>
      <c r="S47" s="25">
        <f t="shared" si="29"/>
        <v>1.1177644710578842</v>
      </c>
      <c r="T47" s="25">
        <f t="shared" si="5"/>
        <v>0.22355289421157687</v>
      </c>
      <c r="U47" s="26">
        <v>4014.7880885757081</v>
      </c>
      <c r="V47" s="26">
        <v>1.4163359788359789E-2</v>
      </c>
      <c r="W47" s="26">
        <v>2.8096891534391533E-2</v>
      </c>
      <c r="X47" s="27">
        <f t="shared" si="38"/>
        <v>0</v>
      </c>
      <c r="Y47" s="27">
        <f t="shared" si="33"/>
        <v>1</v>
      </c>
      <c r="Z47" s="27">
        <f t="shared" si="34"/>
        <v>1</v>
      </c>
      <c r="AA47" s="23">
        <f t="shared" si="37"/>
        <v>0.8</v>
      </c>
      <c r="AB47" s="24">
        <f t="shared" si="35"/>
        <v>2</v>
      </c>
      <c r="AC47" s="28">
        <f t="shared" si="10"/>
        <v>0.66666666666666663</v>
      </c>
      <c r="AD47" s="29">
        <f t="shared" si="11"/>
        <v>0.16666666666666666</v>
      </c>
      <c r="AE47" s="30">
        <v>3.9828960905349799E-2</v>
      </c>
      <c r="AF47" s="23">
        <f t="shared" si="12"/>
        <v>1.25</v>
      </c>
      <c r="AG47" s="24">
        <f t="shared" si="36"/>
        <v>5</v>
      </c>
      <c r="AH47" s="28">
        <f t="shared" si="14"/>
        <v>1</v>
      </c>
      <c r="AI47" s="29">
        <f t="shared" si="15"/>
        <v>0.25</v>
      </c>
      <c r="AJ47" s="31">
        <v>1</v>
      </c>
      <c r="AK47" s="31">
        <v>1</v>
      </c>
      <c r="AL47" s="31">
        <v>1</v>
      </c>
      <c r="AM47" s="31">
        <v>0</v>
      </c>
      <c r="AN47" s="31">
        <v>0</v>
      </c>
      <c r="AO47" s="31">
        <v>0</v>
      </c>
      <c r="AP47" s="31">
        <v>0</v>
      </c>
      <c r="AQ47" s="31">
        <v>0</v>
      </c>
      <c r="AR47" s="23">
        <f t="shared" si="16"/>
        <v>0.6</v>
      </c>
      <c r="AS47" s="24">
        <f t="shared" si="17"/>
        <v>3</v>
      </c>
      <c r="AT47" s="28">
        <f t="shared" si="18"/>
        <v>0.375</v>
      </c>
      <c r="AU47" s="28">
        <f t="shared" si="19"/>
        <v>5.6249999999999994E-2</v>
      </c>
      <c r="AV47" s="32">
        <v>75</v>
      </c>
      <c r="AW47" s="32">
        <v>70</v>
      </c>
      <c r="AX47" s="32">
        <v>80</v>
      </c>
      <c r="AY47" s="32">
        <v>80</v>
      </c>
      <c r="AZ47" s="32">
        <v>80</v>
      </c>
      <c r="BA47" s="32">
        <v>100</v>
      </c>
      <c r="BB47" s="23">
        <f t="shared" ca="1" si="20"/>
        <v>0.8</v>
      </c>
      <c r="BC47" s="33">
        <f t="shared" si="25"/>
        <v>80.833333333333329</v>
      </c>
      <c r="BD47" s="28">
        <f t="shared" si="21"/>
        <v>0.93814432989690721</v>
      </c>
      <c r="BE47" s="28">
        <f t="shared" si="22"/>
        <v>0.18762886597938144</v>
      </c>
      <c r="BF47" s="34">
        <f ca="1">Q47+AA47+AF47+AR47+BB47</f>
        <v>4.45</v>
      </c>
      <c r="BG47" s="34">
        <f>AVERAGE(AV47:AZ47)</f>
        <v>77</v>
      </c>
      <c r="BH47" s="35">
        <f>T47+AD47+AI47+AU47+BE47</f>
        <v>0.88409842685762496</v>
      </c>
      <c r="BI47" s="36" t="str">
        <f ca="1">IF(K47&lt;365,"New CE",(IF(BH47&gt;=100%,"Promote",IF(BH47&gt;=90%,"Sangat Baik",IF(BH47&gt;=80%,"Baik",IF(BH47&gt;=70%,"Lebih Dari Cukup",IF(BH47&gt;=60%,"Cukup","Kurang")))))))</f>
        <v>Baik</v>
      </c>
      <c r="BJ47" s="36" t="s">
        <v>860</v>
      </c>
      <c r="BK47" s="58" t="s">
        <v>54</v>
      </c>
      <c r="BL47" s="59" t="e">
        <v>#N/A</v>
      </c>
    </row>
    <row r="48" spans="1:64" x14ac:dyDescent="0.35">
      <c r="A48" s="19">
        <v>44</v>
      </c>
      <c r="B48" s="13" t="s">
        <v>166</v>
      </c>
      <c r="C48" s="20" t="s">
        <v>167</v>
      </c>
      <c r="D48" s="76" t="s">
        <v>54</v>
      </c>
      <c r="E48" s="13" t="s">
        <v>168</v>
      </c>
      <c r="F48" s="13" t="s">
        <v>74</v>
      </c>
      <c r="G48" s="13" t="s">
        <v>61</v>
      </c>
      <c r="H48" s="65">
        <v>45306</v>
      </c>
      <c r="I48" s="21">
        <f t="shared" ca="1" si="23"/>
        <v>45974</v>
      </c>
      <c r="J48" s="13" t="str">
        <f t="shared" ca="1" si="0"/>
        <v xml:space="preserve">1 Tahun 9 Bulan 29 Hari </v>
      </c>
      <c r="K48" s="13">
        <f t="shared" ca="1" si="24"/>
        <v>961920</v>
      </c>
      <c r="L48" s="13">
        <v>31</v>
      </c>
      <c r="M48" s="13">
        <v>1</v>
      </c>
      <c r="N48" s="13">
        <v>139</v>
      </c>
      <c r="O48" s="22">
        <f t="shared" si="1"/>
        <v>139</v>
      </c>
      <c r="P48" s="13">
        <v>175</v>
      </c>
      <c r="Q48" s="23">
        <f t="shared" si="2"/>
        <v>1</v>
      </c>
      <c r="R48" s="24">
        <f t="shared" si="3"/>
        <v>5</v>
      </c>
      <c r="S48" s="25">
        <f t="shared" si="29"/>
        <v>1.2589928057553956</v>
      </c>
      <c r="T48" s="25">
        <f t="shared" si="5"/>
        <v>0.25179856115107913</v>
      </c>
      <c r="U48" s="26">
        <v>1.4593855218855221E-2</v>
      </c>
      <c r="V48" s="26">
        <v>0</v>
      </c>
      <c r="W48" s="26">
        <v>5045.5672929526745</v>
      </c>
      <c r="X48" s="27">
        <f t="shared" si="38"/>
        <v>1</v>
      </c>
      <c r="Y48" s="27">
        <f t="shared" si="33"/>
        <v>0</v>
      </c>
      <c r="Z48" s="27">
        <f t="shared" si="34"/>
        <v>1</v>
      </c>
      <c r="AA48" s="23">
        <f t="shared" si="37"/>
        <v>0.8</v>
      </c>
      <c r="AB48" s="24">
        <f t="shared" si="35"/>
        <v>2</v>
      </c>
      <c r="AC48" s="28">
        <f t="shared" si="10"/>
        <v>0.66666666666666663</v>
      </c>
      <c r="AD48" s="29">
        <f t="shared" si="11"/>
        <v>0.16666666666666666</v>
      </c>
      <c r="AE48" s="30">
        <v>6.2231316137566134E-2</v>
      </c>
      <c r="AF48" s="23">
        <f t="shared" si="12"/>
        <v>1</v>
      </c>
      <c r="AG48" s="24">
        <f t="shared" si="36"/>
        <v>4</v>
      </c>
      <c r="AH48" s="28">
        <f t="shared" si="14"/>
        <v>0.8</v>
      </c>
      <c r="AI48" s="29">
        <f t="shared" si="15"/>
        <v>0.2</v>
      </c>
      <c r="AJ48" s="31">
        <v>1</v>
      </c>
      <c r="AK48" s="31">
        <v>1</v>
      </c>
      <c r="AL48" s="31">
        <v>1</v>
      </c>
      <c r="AM48" s="31">
        <v>0</v>
      </c>
      <c r="AN48" s="31">
        <v>1</v>
      </c>
      <c r="AO48" s="31">
        <v>0</v>
      </c>
      <c r="AP48" s="31">
        <v>0</v>
      </c>
      <c r="AQ48" s="31">
        <v>0</v>
      </c>
      <c r="AR48" s="23">
        <f t="shared" si="16"/>
        <v>0.8</v>
      </c>
      <c r="AS48" s="24">
        <f t="shared" si="17"/>
        <v>4</v>
      </c>
      <c r="AT48" s="28">
        <f t="shared" si="18"/>
        <v>0.5</v>
      </c>
      <c r="AU48" s="28">
        <f t="shared" si="19"/>
        <v>7.4999999999999997E-2</v>
      </c>
      <c r="AV48" s="32">
        <v>75</v>
      </c>
      <c r="AW48" s="32">
        <v>75</v>
      </c>
      <c r="AX48" s="32">
        <v>80</v>
      </c>
      <c r="AY48" s="32">
        <v>80</v>
      </c>
      <c r="AZ48" s="32">
        <v>80</v>
      </c>
      <c r="BA48" s="32">
        <v>100</v>
      </c>
      <c r="BB48" s="23">
        <f t="shared" ca="1" si="20"/>
        <v>0.8</v>
      </c>
      <c r="BC48" s="33">
        <f t="shared" si="25"/>
        <v>81.666666666666671</v>
      </c>
      <c r="BD48" s="28">
        <f t="shared" si="21"/>
        <v>0.93877551020408168</v>
      </c>
      <c r="BE48" s="28">
        <f t="shared" si="22"/>
        <v>0.18775510204081636</v>
      </c>
      <c r="BF48" s="34">
        <f ca="1">Q48+AA48+AF48+AR48+BB48</f>
        <v>4.3999999999999995</v>
      </c>
      <c r="BG48" s="34">
        <f>AVERAGE(AV48:AZ48)</f>
        <v>78</v>
      </c>
      <c r="BH48" s="35">
        <f>T48+AD48+AI48+AU48+BE48</f>
        <v>0.88122032985856213</v>
      </c>
      <c r="BI48" s="36" t="str">
        <f ca="1">IF(K48&lt;365,"New CE",(IF(BH48&gt;=100%,"Promote",IF(BH48&gt;=90%,"Sangat Baik",IF(BH48&gt;=80%,"Baik",IF(BH48&gt;=70%,"Lebih Dari Cukup",IF(BH48&gt;=60%,"Cukup","Kurang")))))))</f>
        <v>Baik</v>
      </c>
      <c r="BJ48" s="36" t="s">
        <v>860</v>
      </c>
      <c r="BK48" s="58" t="s">
        <v>54</v>
      </c>
      <c r="BL48" s="59" t="str">
        <v>Finardi</v>
      </c>
    </row>
    <row r="49" spans="1:64" x14ac:dyDescent="0.35">
      <c r="A49" s="19">
        <v>45</v>
      </c>
      <c r="B49" s="13" t="s">
        <v>169</v>
      </c>
      <c r="C49" s="20" t="s">
        <v>170</v>
      </c>
      <c r="D49" s="76" t="s">
        <v>42</v>
      </c>
      <c r="E49" s="13" t="s">
        <v>171</v>
      </c>
      <c r="F49" s="13" t="s">
        <v>50</v>
      </c>
      <c r="G49" s="13" t="s">
        <v>61</v>
      </c>
      <c r="H49" s="65">
        <v>43350</v>
      </c>
      <c r="I49" s="21">
        <f t="shared" ca="1" si="23"/>
        <v>45974</v>
      </c>
      <c r="J49" s="13" t="str">
        <f t="shared" ca="1" si="0"/>
        <v xml:space="preserve">7 Tahun 2 Bulan 6 Hari </v>
      </c>
      <c r="K49" s="13">
        <f t="shared" ca="1" si="24"/>
        <v>3778560</v>
      </c>
      <c r="L49" s="13">
        <v>102</v>
      </c>
      <c r="M49" s="13">
        <v>3</v>
      </c>
      <c r="N49" s="13">
        <v>916</v>
      </c>
      <c r="O49" s="22">
        <f t="shared" si="1"/>
        <v>305.33333333333331</v>
      </c>
      <c r="P49" s="13">
        <v>419</v>
      </c>
      <c r="Q49" s="23">
        <f t="shared" si="2"/>
        <v>1</v>
      </c>
      <c r="R49" s="24">
        <f t="shared" si="3"/>
        <v>5</v>
      </c>
      <c r="S49" s="25">
        <f t="shared" si="29"/>
        <v>1.3722707423580787</v>
      </c>
      <c r="T49" s="25">
        <f t="shared" si="5"/>
        <v>0.27445414847161576</v>
      </c>
      <c r="U49" s="26">
        <v>29998.775520587078</v>
      </c>
      <c r="V49" s="26">
        <v>0</v>
      </c>
      <c r="W49" s="26">
        <v>29784.247615341632</v>
      </c>
      <c r="X49" s="27">
        <f t="shared" si="38"/>
        <v>0</v>
      </c>
      <c r="Y49" s="27">
        <f t="shared" si="33"/>
        <v>0</v>
      </c>
      <c r="Z49" s="27">
        <f t="shared" si="34"/>
        <v>1</v>
      </c>
      <c r="AA49" s="23">
        <f>IF(AB49=3, 1.75, IF(AB49=2, 1, IF(AB49=1, 0.75, IF(AB49=0, 0, 0))))</f>
        <v>0.75</v>
      </c>
      <c r="AB49" s="24">
        <f t="shared" si="35"/>
        <v>1</v>
      </c>
      <c r="AC49" s="28">
        <f t="shared" si="10"/>
        <v>0.33333333333333331</v>
      </c>
      <c r="AD49" s="29">
        <f t="shared" si="11"/>
        <v>8.3333333333333329E-2</v>
      </c>
      <c r="AE49" s="30">
        <v>4.6165481701940028E-2</v>
      </c>
      <c r="AF49" s="23">
        <f t="shared" si="12"/>
        <v>1</v>
      </c>
      <c r="AG49" s="24">
        <f t="shared" si="36"/>
        <v>4</v>
      </c>
      <c r="AH49" s="28">
        <f t="shared" si="14"/>
        <v>0.8</v>
      </c>
      <c r="AI49" s="29">
        <f t="shared" si="15"/>
        <v>0.2</v>
      </c>
      <c r="AJ49" s="31">
        <v>1</v>
      </c>
      <c r="AK49" s="31">
        <v>1</v>
      </c>
      <c r="AL49" s="31">
        <v>1</v>
      </c>
      <c r="AM49" s="31">
        <v>0</v>
      </c>
      <c r="AN49" s="31">
        <v>1</v>
      </c>
      <c r="AO49" s="31">
        <v>1</v>
      </c>
      <c r="AP49" s="31">
        <v>1</v>
      </c>
      <c r="AQ49" s="31">
        <v>1</v>
      </c>
      <c r="AR49" s="23">
        <f t="shared" si="16"/>
        <v>1</v>
      </c>
      <c r="AS49" s="24">
        <f t="shared" si="17"/>
        <v>7</v>
      </c>
      <c r="AT49" s="28">
        <f t="shared" si="18"/>
        <v>0.875</v>
      </c>
      <c r="AU49" s="28">
        <f t="shared" si="19"/>
        <v>0.13125000000000001</v>
      </c>
      <c r="AV49" s="32">
        <v>85</v>
      </c>
      <c r="AW49" s="32">
        <v>80</v>
      </c>
      <c r="AX49" s="32">
        <v>90</v>
      </c>
      <c r="AY49" s="32">
        <v>90</v>
      </c>
      <c r="AZ49" s="32">
        <v>90</v>
      </c>
      <c r="BA49" s="32">
        <v>100</v>
      </c>
      <c r="BB49" s="23">
        <f t="shared" ca="1" si="20"/>
        <v>0.8</v>
      </c>
      <c r="BC49" s="33">
        <f t="shared" si="25"/>
        <v>89.166666666666671</v>
      </c>
      <c r="BD49" s="28">
        <f t="shared" si="21"/>
        <v>0.94392523364485981</v>
      </c>
      <c r="BE49" s="28">
        <f t="shared" si="22"/>
        <v>0.18878504672897198</v>
      </c>
      <c r="BF49" s="34">
        <f ca="1">Q49+AA49+AF49+AR49+BB49</f>
        <v>4.55</v>
      </c>
      <c r="BG49" s="34">
        <f>AVERAGE(AV49:AZ49)</f>
        <v>87</v>
      </c>
      <c r="BH49" s="35">
        <f>T49+AD49+AI49+AU49+BE49</f>
        <v>0.87782252853392106</v>
      </c>
      <c r="BI49" s="36" t="str">
        <f ca="1">IF(K49&lt;365,"New CE",(IF(BH49&gt;=100%,"Promote",IF(BH49&gt;=90%,"Sangat Baik",IF(BH49&gt;=80%,"Baik",IF(BH49&gt;=70%,"Lebih Dari Cukup",IF(BH49&gt;=60%,"Cukup","Kurang")))))))</f>
        <v>Baik</v>
      </c>
      <c r="BJ49" s="36" t="s">
        <v>860</v>
      </c>
      <c r="BK49" s="58" t="s">
        <v>42</v>
      </c>
      <c r="BL49" s="59" t="e">
        <v>#N/A</v>
      </c>
    </row>
    <row r="50" spans="1:64" x14ac:dyDescent="0.35">
      <c r="A50" s="19">
        <v>46</v>
      </c>
      <c r="B50" s="13" t="s">
        <v>172</v>
      </c>
      <c r="C50" s="20" t="s">
        <v>173</v>
      </c>
      <c r="D50" s="76" t="s">
        <v>54</v>
      </c>
      <c r="E50" s="13" t="s">
        <v>174</v>
      </c>
      <c r="F50" s="13" t="s">
        <v>50</v>
      </c>
      <c r="G50" s="13" t="s">
        <v>75</v>
      </c>
      <c r="H50" s="65">
        <v>45306</v>
      </c>
      <c r="I50" s="21">
        <f t="shared" ca="1" si="23"/>
        <v>45974</v>
      </c>
      <c r="J50" s="13" t="str">
        <f t="shared" ca="1" si="0"/>
        <v xml:space="preserve">1 Tahun 9 Bulan 29 Hari </v>
      </c>
      <c r="K50" s="13">
        <f t="shared" ca="1" si="24"/>
        <v>961920</v>
      </c>
      <c r="L50" s="13">
        <v>218</v>
      </c>
      <c r="M50" s="13">
        <v>4</v>
      </c>
      <c r="N50" s="13">
        <v>1692</v>
      </c>
      <c r="O50" s="22">
        <f t="shared" si="1"/>
        <v>423</v>
      </c>
      <c r="P50" s="13">
        <v>162</v>
      </c>
      <c r="Q50" s="23">
        <f t="shared" si="2"/>
        <v>0.2</v>
      </c>
      <c r="R50" s="24">
        <f t="shared" si="3"/>
        <v>1</v>
      </c>
      <c r="S50" s="25">
        <f t="shared" si="29"/>
        <v>0.38297872340425532</v>
      </c>
      <c r="T50" s="25">
        <f t="shared" si="5"/>
        <v>7.6595744680851063E-2</v>
      </c>
      <c r="U50" s="26">
        <v>4.0575142450142446E-2</v>
      </c>
      <c r="V50" s="26">
        <v>4.9132908950617282E-2</v>
      </c>
      <c r="W50" s="26">
        <v>0.16626736111111112</v>
      </c>
      <c r="X50" s="27">
        <f t="shared" si="38"/>
        <v>1</v>
      </c>
      <c r="Y50" s="27">
        <f t="shared" si="33"/>
        <v>1</v>
      </c>
      <c r="Z50" s="27">
        <f t="shared" si="34"/>
        <v>1</v>
      </c>
      <c r="AA50" s="23">
        <f>IF(AB50=3, 1.25, IF(AB50=2, 0.8, IF(AB50=1, 0.4, IF(AB50=0, 0, 0))))</f>
        <v>1.25</v>
      </c>
      <c r="AB50" s="24">
        <f t="shared" si="35"/>
        <v>3</v>
      </c>
      <c r="AC50" s="28">
        <f t="shared" si="10"/>
        <v>1</v>
      </c>
      <c r="AD50" s="29">
        <f t="shared" si="11"/>
        <v>0.25</v>
      </c>
      <c r="AE50" s="30">
        <v>3.7278935185185193E-2</v>
      </c>
      <c r="AF50" s="23">
        <f t="shared" si="12"/>
        <v>1.25</v>
      </c>
      <c r="AG50" s="24">
        <f t="shared" si="36"/>
        <v>5</v>
      </c>
      <c r="AH50" s="28">
        <f t="shared" si="14"/>
        <v>1</v>
      </c>
      <c r="AI50" s="29">
        <f t="shared" si="15"/>
        <v>0.25</v>
      </c>
      <c r="AJ50" s="31">
        <v>1</v>
      </c>
      <c r="AK50" s="31">
        <v>1</v>
      </c>
      <c r="AL50" s="31">
        <v>1</v>
      </c>
      <c r="AM50" s="31">
        <v>0</v>
      </c>
      <c r="AN50" s="31">
        <v>1</v>
      </c>
      <c r="AO50" s="31">
        <v>1</v>
      </c>
      <c r="AP50" s="31">
        <v>1</v>
      </c>
      <c r="AQ50" s="31">
        <v>0</v>
      </c>
      <c r="AR50" s="23">
        <f t="shared" si="16"/>
        <v>1</v>
      </c>
      <c r="AS50" s="24">
        <f t="shared" si="17"/>
        <v>6</v>
      </c>
      <c r="AT50" s="28">
        <f t="shared" si="18"/>
        <v>0.75</v>
      </c>
      <c r="AU50" s="28">
        <f t="shared" si="19"/>
        <v>0.11249999999999999</v>
      </c>
      <c r="AV50" s="32">
        <v>75</v>
      </c>
      <c r="AW50" s="32">
        <v>65</v>
      </c>
      <c r="AX50" s="32">
        <v>90</v>
      </c>
      <c r="AY50" s="32">
        <v>85</v>
      </c>
      <c r="AZ50" s="32">
        <v>80</v>
      </c>
      <c r="BA50" s="32">
        <v>100</v>
      </c>
      <c r="BB50" s="23">
        <f t="shared" ca="1" si="20"/>
        <v>0.8</v>
      </c>
      <c r="BC50" s="33">
        <f t="shared" si="25"/>
        <v>82.5</v>
      </c>
      <c r="BD50" s="28">
        <f t="shared" si="21"/>
        <v>0.93939393939393945</v>
      </c>
      <c r="BE50" s="28">
        <f t="shared" si="22"/>
        <v>0.1878787878787879</v>
      </c>
      <c r="BF50" s="34">
        <f ca="1">Q50+AA50+AF50+AR50+BB50</f>
        <v>4.5</v>
      </c>
      <c r="BG50" s="34">
        <f>AVERAGE(AV50:AZ50)</f>
        <v>79</v>
      </c>
      <c r="BH50" s="35">
        <f>T50+AD50+AI50+AU50+BE50</f>
        <v>0.87697453255963886</v>
      </c>
      <c r="BI50" s="36" t="str">
        <f ca="1">IF(K50&lt;365,"New CE",(IF(BH50&gt;=100%,"Promote",IF(BH50&gt;=90%,"Sangat Baik",IF(BH50&gt;=80%,"Baik",IF(BH50&gt;=70%,"Lebih Dari Cukup",IF(BH50&gt;=60%,"Cukup","Kurang")))))))</f>
        <v>Baik</v>
      </c>
      <c r="BJ50" s="36" t="s">
        <v>860</v>
      </c>
      <c r="BK50" s="58" t="s">
        <v>54</v>
      </c>
      <c r="BL50" s="59" t="e">
        <v>#N/A</v>
      </c>
    </row>
    <row r="51" spans="1:64" x14ac:dyDescent="0.35">
      <c r="A51" s="19">
        <v>47</v>
      </c>
      <c r="B51" s="13" t="s">
        <v>175</v>
      </c>
      <c r="C51" s="20" t="s">
        <v>176</v>
      </c>
      <c r="D51" s="76" t="s">
        <v>48</v>
      </c>
      <c r="E51" s="13" t="s">
        <v>43</v>
      </c>
      <c r="F51" s="13" t="s">
        <v>44</v>
      </c>
      <c r="G51" s="13" t="s">
        <v>51</v>
      </c>
      <c r="H51" s="65">
        <v>44641</v>
      </c>
      <c r="I51" s="21">
        <f t="shared" ca="1" si="23"/>
        <v>45974</v>
      </c>
      <c r="J51" s="13" t="str">
        <f t="shared" ca="1" si="0"/>
        <v xml:space="preserve">3 Tahun 7 Bulan 23 Hari </v>
      </c>
      <c r="K51" s="13">
        <f t="shared" ca="1" si="24"/>
        <v>1919520</v>
      </c>
      <c r="L51" s="13">
        <v>1384</v>
      </c>
      <c r="M51" s="13">
        <v>22</v>
      </c>
      <c r="N51" s="13">
        <v>6775</v>
      </c>
      <c r="O51" s="22">
        <f t="shared" si="1"/>
        <v>307.95454545454544</v>
      </c>
      <c r="P51" s="13">
        <v>498</v>
      </c>
      <c r="Q51" s="23">
        <f t="shared" si="2"/>
        <v>1</v>
      </c>
      <c r="R51" s="24">
        <f t="shared" si="3"/>
        <v>5</v>
      </c>
      <c r="S51" s="25">
        <f t="shared" si="29"/>
        <v>1.6171217712177122</v>
      </c>
      <c r="T51" s="25">
        <f t="shared" si="5"/>
        <v>0.32342435424354243</v>
      </c>
      <c r="U51" s="26">
        <v>743.70495541135404</v>
      </c>
      <c r="V51" s="26">
        <v>2.3148148148148147E-5</v>
      </c>
      <c r="W51" s="26">
        <v>0</v>
      </c>
      <c r="X51" s="27">
        <f t="shared" si="38"/>
        <v>0</v>
      </c>
      <c r="Y51" s="27">
        <f t="shared" si="33"/>
        <v>1</v>
      </c>
      <c r="Z51" s="27">
        <f t="shared" si="34"/>
        <v>0</v>
      </c>
      <c r="AA51" s="23">
        <f>IF(AB51=3, 1.25, IF(AB51=2, 0.8, IF(AB51=1, 0.4, IF(AB51=0, 0, 0))))</f>
        <v>0.4</v>
      </c>
      <c r="AB51" s="24">
        <f t="shared" si="35"/>
        <v>1</v>
      </c>
      <c r="AC51" s="28">
        <f t="shared" si="10"/>
        <v>0.33333333333333331</v>
      </c>
      <c r="AD51" s="29">
        <f t="shared" si="11"/>
        <v>8.3333333333333329E-2</v>
      </c>
      <c r="AE51" s="30">
        <v>4.9816743827160476E-2</v>
      </c>
      <c r="AF51" s="23">
        <f t="shared" si="12"/>
        <v>1</v>
      </c>
      <c r="AG51" s="24">
        <f t="shared" si="36"/>
        <v>4</v>
      </c>
      <c r="AH51" s="28">
        <f t="shared" si="14"/>
        <v>0.8</v>
      </c>
      <c r="AI51" s="29">
        <f t="shared" si="15"/>
        <v>0.2</v>
      </c>
      <c r="AJ51" s="31">
        <v>1</v>
      </c>
      <c r="AK51" s="31">
        <v>1</v>
      </c>
      <c r="AL51" s="31">
        <v>1</v>
      </c>
      <c r="AM51" s="31">
        <v>1</v>
      </c>
      <c r="AN51" s="31">
        <v>0</v>
      </c>
      <c r="AO51" s="31">
        <v>0</v>
      </c>
      <c r="AP51" s="31">
        <v>0</v>
      </c>
      <c r="AQ51" s="31">
        <v>0</v>
      </c>
      <c r="AR51" s="23">
        <f t="shared" si="16"/>
        <v>0.8</v>
      </c>
      <c r="AS51" s="24">
        <f t="shared" si="17"/>
        <v>4</v>
      </c>
      <c r="AT51" s="28">
        <f t="shared" si="18"/>
        <v>0.5</v>
      </c>
      <c r="AU51" s="28">
        <f t="shared" si="19"/>
        <v>7.4999999999999997E-2</v>
      </c>
      <c r="AV51" s="32">
        <v>80</v>
      </c>
      <c r="AW51" s="32">
        <v>65</v>
      </c>
      <c r="AX51" s="32">
        <v>80</v>
      </c>
      <c r="AY51" s="32">
        <v>75</v>
      </c>
      <c r="AZ51" s="32">
        <v>80</v>
      </c>
      <c r="BA51" s="32">
        <v>100</v>
      </c>
      <c r="BB51" s="23">
        <f t="shared" ca="1" si="20"/>
        <v>0.8</v>
      </c>
      <c r="BC51" s="33">
        <f t="shared" si="25"/>
        <v>80</v>
      </c>
      <c r="BD51" s="28">
        <f t="shared" si="21"/>
        <v>0.9375</v>
      </c>
      <c r="BE51" s="28">
        <f t="shared" si="22"/>
        <v>0.1875</v>
      </c>
      <c r="BF51" s="34">
        <f ca="1">Q51+AA51+AF51+AR51+BB51</f>
        <v>4</v>
      </c>
      <c r="BG51" s="34">
        <f>AVERAGE(AV51:AZ51)</f>
        <v>76</v>
      </c>
      <c r="BH51" s="35">
        <f>T51+AD51+AI51+AU51+BE51</f>
        <v>0.86925768757687571</v>
      </c>
      <c r="BI51" s="36" t="str">
        <f ca="1">IF(K51&lt;365,"New CE",(IF(BH51&gt;=100%,"Promote",IF(BH51&gt;=90%,"Sangat Baik",IF(BH51&gt;=80%,"Baik",IF(BH51&gt;=70%,"Lebih Dari Cukup",IF(BH51&gt;=60%,"Cukup","Kurang")))))))</f>
        <v>Baik</v>
      </c>
      <c r="BJ51" s="36" t="s">
        <v>860</v>
      </c>
      <c r="BK51" s="58" t="s">
        <v>48</v>
      </c>
      <c r="BL51" s="59" t="e">
        <v>#N/A</v>
      </c>
    </row>
    <row r="52" spans="1:64" x14ac:dyDescent="0.35">
      <c r="A52" s="19">
        <v>48</v>
      </c>
      <c r="B52" s="13" t="s">
        <v>177</v>
      </c>
      <c r="C52" s="20" t="s">
        <v>178</v>
      </c>
      <c r="D52" s="76" t="s">
        <v>54</v>
      </c>
      <c r="E52" s="13" t="s">
        <v>179</v>
      </c>
      <c r="F52" s="13" t="s">
        <v>44</v>
      </c>
      <c r="G52" s="13" t="s">
        <v>55</v>
      </c>
      <c r="H52" s="65">
        <v>44837</v>
      </c>
      <c r="I52" s="21">
        <f t="shared" ca="1" si="23"/>
        <v>45974</v>
      </c>
      <c r="J52" s="13" t="str">
        <f t="shared" ca="1" si="0"/>
        <v xml:space="preserve">3 Tahun 1 Bulan 10 Hari </v>
      </c>
      <c r="K52" s="13">
        <f t="shared" ca="1" si="24"/>
        <v>1637280</v>
      </c>
      <c r="L52" s="13">
        <v>304</v>
      </c>
      <c r="M52" s="13">
        <v>5</v>
      </c>
      <c r="N52" s="13">
        <v>2111</v>
      </c>
      <c r="O52" s="22">
        <f t="shared" si="1"/>
        <v>422.2</v>
      </c>
      <c r="P52" s="13">
        <v>585</v>
      </c>
      <c r="Q52" s="23">
        <f t="shared" si="2"/>
        <v>1</v>
      </c>
      <c r="R52" s="24">
        <f t="shared" si="3"/>
        <v>5</v>
      </c>
      <c r="S52" s="25">
        <f t="shared" si="29"/>
        <v>1.385599242065372</v>
      </c>
      <c r="T52" s="25">
        <f t="shared" si="5"/>
        <v>0.27711984841307441</v>
      </c>
      <c r="U52" s="26">
        <v>7.1527777777777773E-2</v>
      </c>
      <c r="V52" s="26">
        <v>0.1388888888888889</v>
      </c>
      <c r="W52" s="26">
        <v>45547.733530092592</v>
      </c>
      <c r="X52" s="27">
        <v>1</v>
      </c>
      <c r="Y52" s="27">
        <f t="shared" si="33"/>
        <v>0</v>
      </c>
      <c r="Z52" s="27">
        <f t="shared" si="34"/>
        <v>1</v>
      </c>
      <c r="AA52" s="23">
        <f>IF(AB52=3, 1.75, IF(AB52=2, 1, IF(AB52=1, 0.75, IF(AB52=0, 0, 0))))</f>
        <v>1</v>
      </c>
      <c r="AB52" s="24">
        <f t="shared" si="35"/>
        <v>2</v>
      </c>
      <c r="AC52" s="28">
        <f t="shared" si="10"/>
        <v>0.66666666666666663</v>
      </c>
      <c r="AD52" s="29">
        <f t="shared" si="11"/>
        <v>0.16666666666666666</v>
      </c>
      <c r="AE52" s="30">
        <v>5.0667980232216359E-2</v>
      </c>
      <c r="AF52" s="23">
        <f t="shared" si="12"/>
        <v>1</v>
      </c>
      <c r="AG52" s="24">
        <f t="shared" si="36"/>
        <v>4</v>
      </c>
      <c r="AH52" s="28">
        <f t="shared" si="14"/>
        <v>0.8</v>
      </c>
      <c r="AI52" s="29">
        <f t="shared" si="15"/>
        <v>0.2</v>
      </c>
      <c r="AJ52" s="31">
        <v>1</v>
      </c>
      <c r="AK52" s="31">
        <v>1</v>
      </c>
      <c r="AL52" s="31">
        <v>0</v>
      </c>
      <c r="AM52" s="31">
        <v>0</v>
      </c>
      <c r="AN52" s="31">
        <v>0</v>
      </c>
      <c r="AO52" s="31">
        <v>0</v>
      </c>
      <c r="AP52" s="31">
        <v>0</v>
      </c>
      <c r="AQ52" s="31">
        <v>0</v>
      </c>
      <c r="AR52" s="23">
        <f t="shared" si="16"/>
        <v>0.4</v>
      </c>
      <c r="AS52" s="24">
        <f t="shared" si="17"/>
        <v>2</v>
      </c>
      <c r="AT52" s="28">
        <f t="shared" si="18"/>
        <v>0.25</v>
      </c>
      <c r="AU52" s="28">
        <f t="shared" si="19"/>
        <v>3.7499999999999999E-2</v>
      </c>
      <c r="AV52" s="32">
        <v>75</v>
      </c>
      <c r="AW52" s="32">
        <v>75</v>
      </c>
      <c r="AX52" s="32">
        <v>90</v>
      </c>
      <c r="AY52" s="32">
        <v>90</v>
      </c>
      <c r="AZ52" s="32">
        <v>90</v>
      </c>
      <c r="BA52" s="32">
        <v>100</v>
      </c>
      <c r="BB52" s="23">
        <f t="shared" ca="1" si="20"/>
        <v>0.8</v>
      </c>
      <c r="BC52" s="33">
        <f t="shared" si="25"/>
        <v>86.666666666666671</v>
      </c>
      <c r="BD52" s="28">
        <f t="shared" si="21"/>
        <v>0.94230769230769229</v>
      </c>
      <c r="BE52" s="28">
        <f t="shared" si="22"/>
        <v>0.18846153846153846</v>
      </c>
      <c r="BF52" s="34">
        <f ca="1">Q52+AA52+AF52+AR52+BB52</f>
        <v>4.2</v>
      </c>
      <c r="BG52" s="34">
        <f>AVERAGE(AV52:AZ52)</f>
        <v>84</v>
      </c>
      <c r="BH52" s="35">
        <f>T52+AD52+AI52+AU52+BE52</f>
        <v>0.86974805354127949</v>
      </c>
      <c r="BI52" s="36" t="str">
        <f ca="1">IF(K52&lt;365,"New CE",(IF(BH52&gt;=100%,"Promote",IF(BH52&gt;=90%,"Sangat Baik",IF(BH52&gt;=80%,"Baik",IF(BH52&gt;=70%,"Lebih Dari Cukup",IF(BH52&gt;=60%,"Cukup","Kurang")))))))</f>
        <v>Baik</v>
      </c>
      <c r="BJ52" s="36" t="s">
        <v>855</v>
      </c>
      <c r="BK52" s="58" t="s">
        <v>48</v>
      </c>
      <c r="BL52" s="59" t="e">
        <v>#N/A</v>
      </c>
    </row>
    <row r="53" spans="1:64" x14ac:dyDescent="0.35">
      <c r="A53" s="19">
        <v>49</v>
      </c>
      <c r="B53" s="13" t="s">
        <v>183</v>
      </c>
      <c r="C53" s="20" t="s">
        <v>184</v>
      </c>
      <c r="D53" s="76" t="s">
        <v>54</v>
      </c>
      <c r="E53" s="13" t="s">
        <v>64</v>
      </c>
      <c r="F53" s="13" t="s">
        <v>44</v>
      </c>
      <c r="G53" s="13" t="s">
        <v>51</v>
      </c>
      <c r="H53" s="65">
        <v>44466</v>
      </c>
      <c r="I53" s="21">
        <f t="shared" ca="1" si="23"/>
        <v>45974</v>
      </c>
      <c r="J53" s="13" t="str">
        <f t="shared" ca="1" si="0"/>
        <v xml:space="preserve">4 Tahun 1 Bulan 17 Hari </v>
      </c>
      <c r="K53" s="13">
        <f t="shared" ca="1" si="24"/>
        <v>2171520</v>
      </c>
      <c r="L53" s="13">
        <v>872</v>
      </c>
      <c r="M53" s="13">
        <v>15</v>
      </c>
      <c r="N53" s="13">
        <v>5975</v>
      </c>
      <c r="O53" s="22">
        <f t="shared" si="1"/>
        <v>398.33333333333331</v>
      </c>
      <c r="P53" s="13">
        <v>435</v>
      </c>
      <c r="Q53" s="23">
        <f t="shared" si="2"/>
        <v>1</v>
      </c>
      <c r="R53" s="24">
        <f t="shared" si="3"/>
        <v>5</v>
      </c>
      <c r="S53" s="25">
        <f t="shared" ref="S53:S69" si="39">P53/O53</f>
        <v>1.092050209205021</v>
      </c>
      <c r="T53" s="25">
        <f t="shared" si="5"/>
        <v>0.21841004184100421</v>
      </c>
      <c r="U53" s="26">
        <v>3.3333333333333333E-2</v>
      </c>
      <c r="V53" s="26">
        <v>5.9027777777777776E-2</v>
      </c>
      <c r="W53" s="26">
        <v>0</v>
      </c>
      <c r="X53" s="27">
        <f t="shared" ref="X53:X58" si="40">IF(U53=TIME(0,0,0), 0, IF(U53&lt;=TIME(1,30,0), 1, 0))</f>
        <v>1</v>
      </c>
      <c r="Y53" s="27">
        <f t="shared" si="33"/>
        <v>1</v>
      </c>
      <c r="Z53" s="27">
        <f t="shared" si="34"/>
        <v>0</v>
      </c>
      <c r="AA53" s="23">
        <f t="shared" ref="AA53:AA67" si="41">IF(AB53=3, 1.25, IF(AB53=2, 0.8, IF(AB53=1, 0.4, IF(AB53=0, 0, 0))))</f>
        <v>0.8</v>
      </c>
      <c r="AB53" s="24">
        <f t="shared" si="35"/>
        <v>2</v>
      </c>
      <c r="AC53" s="28">
        <f t="shared" si="10"/>
        <v>0.66666666666666663</v>
      </c>
      <c r="AD53" s="29">
        <f t="shared" si="11"/>
        <v>0.16666666666666666</v>
      </c>
      <c r="AE53" s="30">
        <v>4.6334382752968292E-2</v>
      </c>
      <c r="AF53" s="23">
        <f t="shared" si="12"/>
        <v>1</v>
      </c>
      <c r="AG53" s="24">
        <f t="shared" si="36"/>
        <v>4</v>
      </c>
      <c r="AH53" s="28">
        <f t="shared" si="14"/>
        <v>0.8</v>
      </c>
      <c r="AI53" s="29">
        <f t="shared" si="15"/>
        <v>0.2</v>
      </c>
      <c r="AJ53" s="31">
        <v>1</v>
      </c>
      <c r="AK53" s="31">
        <v>1</v>
      </c>
      <c r="AL53" s="31">
        <v>1</v>
      </c>
      <c r="AM53" s="31">
        <v>0</v>
      </c>
      <c r="AN53" s="31">
        <v>1</v>
      </c>
      <c r="AO53" s="31">
        <v>1</v>
      </c>
      <c r="AP53" s="31">
        <v>0</v>
      </c>
      <c r="AQ53" s="31">
        <v>0</v>
      </c>
      <c r="AR53" s="23">
        <f t="shared" si="16"/>
        <v>1</v>
      </c>
      <c r="AS53" s="24">
        <f t="shared" si="17"/>
        <v>5</v>
      </c>
      <c r="AT53" s="28">
        <f t="shared" si="18"/>
        <v>0.625</v>
      </c>
      <c r="AU53" s="28">
        <f t="shared" si="19"/>
        <v>9.375E-2</v>
      </c>
      <c r="AV53" s="32">
        <v>75</v>
      </c>
      <c r="AW53" s="32">
        <v>75</v>
      </c>
      <c r="AX53" s="32">
        <v>90</v>
      </c>
      <c r="AY53" s="32">
        <v>90</v>
      </c>
      <c r="AZ53" s="32">
        <v>90</v>
      </c>
      <c r="BA53" s="32">
        <v>100</v>
      </c>
      <c r="BB53" s="23">
        <f t="shared" ca="1" si="20"/>
        <v>0.8</v>
      </c>
      <c r="BC53" s="33">
        <f t="shared" si="25"/>
        <v>86.666666666666671</v>
      </c>
      <c r="BD53" s="28">
        <f t="shared" si="21"/>
        <v>0.94230769230769229</v>
      </c>
      <c r="BE53" s="28">
        <f t="shared" si="22"/>
        <v>0.18846153846153846</v>
      </c>
      <c r="BF53" s="34">
        <f ca="1">Q53+AA53+AF53+AR53+BB53</f>
        <v>4.5999999999999996</v>
      </c>
      <c r="BG53" s="34">
        <f>AVERAGE(AV53:AZ53)</f>
        <v>84</v>
      </c>
      <c r="BH53" s="35">
        <f>T53+AD53+AI53+AU53+BE53</f>
        <v>0.86728824696920936</v>
      </c>
      <c r="BI53" s="36" t="str">
        <f ca="1">IF(K53&lt;365,"New CE",(IF(BH53&gt;=100%,"Promote",IF(BH53&gt;=90%,"Sangat Baik",IF(BH53&gt;=80%,"Baik",IF(BH53&gt;=70%,"Lebih Dari Cukup",IF(BH53&gt;=60%,"Cukup","Kurang")))))))</f>
        <v>Baik</v>
      </c>
      <c r="BJ53" s="36" t="s">
        <v>855</v>
      </c>
      <c r="BK53" s="58" t="s">
        <v>48</v>
      </c>
      <c r="BL53" s="59" t="e">
        <v>#N/A</v>
      </c>
    </row>
    <row r="54" spans="1:64" x14ac:dyDescent="0.35">
      <c r="A54" s="19">
        <v>50</v>
      </c>
      <c r="B54" s="13" t="s">
        <v>185</v>
      </c>
      <c r="C54" s="20" t="s">
        <v>186</v>
      </c>
      <c r="D54" s="76" t="s">
        <v>54</v>
      </c>
      <c r="E54" s="13" t="s">
        <v>187</v>
      </c>
      <c r="F54" s="13" t="s">
        <v>74</v>
      </c>
      <c r="G54" s="13" t="s">
        <v>61</v>
      </c>
      <c r="H54" s="65">
        <v>44966</v>
      </c>
      <c r="I54" s="21">
        <f t="shared" ca="1" si="23"/>
        <v>45974</v>
      </c>
      <c r="J54" s="13" t="str">
        <f t="shared" ca="1" si="0"/>
        <v xml:space="preserve">2 Tahun 9 Bulan 4 Hari </v>
      </c>
      <c r="K54" s="13">
        <f t="shared" ca="1" si="24"/>
        <v>1451520</v>
      </c>
      <c r="L54" s="13">
        <v>684</v>
      </c>
      <c r="M54" s="13">
        <v>10</v>
      </c>
      <c r="N54" s="13">
        <v>4972</v>
      </c>
      <c r="O54" s="22">
        <f t="shared" si="1"/>
        <v>497.2</v>
      </c>
      <c r="P54" s="13">
        <v>476</v>
      </c>
      <c r="Q54" s="23">
        <f t="shared" si="2"/>
        <v>0.8</v>
      </c>
      <c r="R54" s="24">
        <f t="shared" si="3"/>
        <v>4</v>
      </c>
      <c r="S54" s="25">
        <f t="shared" si="39"/>
        <v>0.95736122284794856</v>
      </c>
      <c r="T54" s="25">
        <f t="shared" si="5"/>
        <v>0.19147224456958972</v>
      </c>
      <c r="U54" s="26">
        <v>2.8472222222222222E-2</v>
      </c>
      <c r="V54" s="26">
        <v>0.11180555555555556</v>
      </c>
      <c r="W54" s="26">
        <v>5.6142939814814816E-2</v>
      </c>
      <c r="X54" s="27">
        <f t="shared" si="40"/>
        <v>1</v>
      </c>
      <c r="Y54" s="27">
        <f t="shared" si="33"/>
        <v>1</v>
      </c>
      <c r="Z54" s="27">
        <f t="shared" si="34"/>
        <v>1</v>
      </c>
      <c r="AA54" s="23">
        <f t="shared" si="41"/>
        <v>1.25</v>
      </c>
      <c r="AB54" s="24">
        <f t="shared" si="35"/>
        <v>3</v>
      </c>
      <c r="AC54" s="28">
        <f t="shared" si="10"/>
        <v>1</v>
      </c>
      <c r="AD54" s="29">
        <f t="shared" si="11"/>
        <v>0.25</v>
      </c>
      <c r="AE54" s="30">
        <v>5.0657233174034262E-2</v>
      </c>
      <c r="AF54" s="23">
        <f t="shared" si="12"/>
        <v>1</v>
      </c>
      <c r="AG54" s="24">
        <f t="shared" si="36"/>
        <v>4</v>
      </c>
      <c r="AH54" s="28">
        <f t="shared" si="14"/>
        <v>0.8</v>
      </c>
      <c r="AI54" s="29">
        <f t="shared" si="15"/>
        <v>0.2</v>
      </c>
      <c r="AJ54" s="31">
        <v>1</v>
      </c>
      <c r="AK54" s="31">
        <v>1</v>
      </c>
      <c r="AL54" s="31">
        <v>0</v>
      </c>
      <c r="AM54" s="31">
        <v>0</v>
      </c>
      <c r="AN54" s="31">
        <v>0</v>
      </c>
      <c r="AO54" s="31">
        <v>0</v>
      </c>
      <c r="AP54" s="31">
        <v>0</v>
      </c>
      <c r="AQ54" s="31">
        <v>0</v>
      </c>
      <c r="AR54" s="23">
        <f t="shared" si="16"/>
        <v>0.4</v>
      </c>
      <c r="AS54" s="24">
        <f t="shared" si="17"/>
        <v>2</v>
      </c>
      <c r="AT54" s="28">
        <f t="shared" si="18"/>
        <v>0.25</v>
      </c>
      <c r="AU54" s="28">
        <f t="shared" si="19"/>
        <v>3.7499999999999999E-2</v>
      </c>
      <c r="AV54" s="32">
        <v>75</v>
      </c>
      <c r="AW54" s="32">
        <v>75</v>
      </c>
      <c r="AX54" s="32">
        <v>80</v>
      </c>
      <c r="AY54" s="32">
        <v>80</v>
      </c>
      <c r="AZ54" s="32">
        <v>80</v>
      </c>
      <c r="BA54" s="32">
        <v>100</v>
      </c>
      <c r="BB54" s="23">
        <f t="shared" ca="1" si="20"/>
        <v>0.8</v>
      </c>
      <c r="BC54" s="33">
        <f t="shared" si="25"/>
        <v>81.666666666666671</v>
      </c>
      <c r="BD54" s="28">
        <f t="shared" si="21"/>
        <v>0.93877551020408168</v>
      </c>
      <c r="BE54" s="28">
        <f t="shared" si="22"/>
        <v>0.18775510204081636</v>
      </c>
      <c r="BF54" s="34">
        <f ca="1">Q54+AA54+AF54+AR54+BB54</f>
        <v>4.25</v>
      </c>
      <c r="BG54" s="34">
        <f>AVERAGE(AV54:AZ54)</f>
        <v>78</v>
      </c>
      <c r="BH54" s="35">
        <f>T54+AD54+AI54+AU54+BE54</f>
        <v>0.86672734661040607</v>
      </c>
      <c r="BI54" s="36" t="str">
        <f ca="1">IF(K54&lt;365,"New CE",(IF(BH54&gt;=100%,"Promote",IF(BH54&gt;=90%,"Sangat Baik",IF(BH54&gt;=80%,"Baik",IF(BH54&gt;=70%,"Lebih Dari Cukup",IF(BH54&gt;=60%,"Cukup","Kurang")))))))</f>
        <v>Baik</v>
      </c>
      <c r="BJ54" s="36" t="s">
        <v>860</v>
      </c>
      <c r="BK54" s="58" t="s">
        <v>54</v>
      </c>
      <c r="BL54" s="59" t="str">
        <v>Muhammad Shafarizky</v>
      </c>
    </row>
    <row r="55" spans="1:64" x14ac:dyDescent="0.35">
      <c r="A55" s="19">
        <v>51</v>
      </c>
      <c r="B55" s="13" t="s">
        <v>188</v>
      </c>
      <c r="C55" s="20" t="s">
        <v>189</v>
      </c>
      <c r="D55" s="76" t="s">
        <v>42</v>
      </c>
      <c r="E55" s="13" t="s">
        <v>67</v>
      </c>
      <c r="F55" s="13" t="s">
        <v>44</v>
      </c>
      <c r="G55" s="13" t="s">
        <v>45</v>
      </c>
      <c r="H55" s="65">
        <v>42646</v>
      </c>
      <c r="I55" s="21">
        <f t="shared" ca="1" si="23"/>
        <v>45974</v>
      </c>
      <c r="J55" s="13" t="str">
        <f t="shared" ca="1" si="0"/>
        <v xml:space="preserve">9 Tahun 1 Bulan 10 Hari </v>
      </c>
      <c r="K55" s="13">
        <f t="shared" ca="1" si="24"/>
        <v>4792320</v>
      </c>
      <c r="L55" s="13">
        <v>625</v>
      </c>
      <c r="M55" s="13">
        <v>10</v>
      </c>
      <c r="N55" s="13">
        <v>4149</v>
      </c>
      <c r="O55" s="22">
        <f t="shared" si="1"/>
        <v>414.9</v>
      </c>
      <c r="P55" s="13">
        <v>561</v>
      </c>
      <c r="Q55" s="23">
        <f t="shared" si="2"/>
        <v>1</v>
      </c>
      <c r="R55" s="24">
        <f t="shared" si="3"/>
        <v>5</v>
      </c>
      <c r="S55" s="25">
        <f t="shared" si="39"/>
        <v>1.3521330441070138</v>
      </c>
      <c r="T55" s="25">
        <f t="shared" si="5"/>
        <v>0.27042660882140279</v>
      </c>
      <c r="U55" s="26">
        <v>32955.934455275237</v>
      </c>
      <c r="V55" s="26">
        <v>35376.695409593623</v>
      </c>
      <c r="W55" s="26">
        <v>15113.473229166666</v>
      </c>
      <c r="X55" s="27">
        <f t="shared" si="40"/>
        <v>0</v>
      </c>
      <c r="Y55" s="27">
        <f t="shared" si="33"/>
        <v>0</v>
      </c>
      <c r="Z55" s="27">
        <f t="shared" si="34"/>
        <v>1</v>
      </c>
      <c r="AA55" s="23">
        <f t="shared" si="41"/>
        <v>0.4</v>
      </c>
      <c r="AB55" s="24">
        <f t="shared" si="35"/>
        <v>1</v>
      </c>
      <c r="AC55" s="28">
        <f t="shared" si="10"/>
        <v>0.33333333333333331</v>
      </c>
      <c r="AD55" s="29">
        <f t="shared" si="11"/>
        <v>8.3333333333333329E-2</v>
      </c>
      <c r="AE55" s="30">
        <v>1.9642138804200543E-2</v>
      </c>
      <c r="AF55" s="23">
        <f t="shared" si="12"/>
        <v>1.25</v>
      </c>
      <c r="AG55" s="24">
        <f t="shared" si="36"/>
        <v>5</v>
      </c>
      <c r="AH55" s="28">
        <f t="shared" si="14"/>
        <v>1</v>
      </c>
      <c r="AI55" s="29">
        <f t="shared" si="15"/>
        <v>0.25</v>
      </c>
      <c r="AJ55" s="31">
        <v>1</v>
      </c>
      <c r="AK55" s="31">
        <v>1</v>
      </c>
      <c r="AL55" s="31">
        <v>1</v>
      </c>
      <c r="AM55" s="31">
        <v>0</v>
      </c>
      <c r="AN55" s="31">
        <v>0</v>
      </c>
      <c r="AO55" s="31">
        <v>1</v>
      </c>
      <c r="AP55" s="31">
        <v>0</v>
      </c>
      <c r="AQ55" s="31">
        <v>0</v>
      </c>
      <c r="AR55" s="23">
        <f t="shared" si="16"/>
        <v>0.8</v>
      </c>
      <c r="AS55" s="24">
        <f t="shared" si="17"/>
        <v>4</v>
      </c>
      <c r="AT55" s="28">
        <f t="shared" si="18"/>
        <v>0.5</v>
      </c>
      <c r="AU55" s="28">
        <f t="shared" si="19"/>
        <v>7.4999999999999997E-2</v>
      </c>
      <c r="AV55" s="32">
        <v>70</v>
      </c>
      <c r="AW55" s="32">
        <v>70</v>
      </c>
      <c r="AX55" s="32">
        <v>90</v>
      </c>
      <c r="AY55" s="32">
        <v>80</v>
      </c>
      <c r="AZ55" s="32">
        <v>80</v>
      </c>
      <c r="BA55" s="32">
        <v>100</v>
      </c>
      <c r="BB55" s="23">
        <f t="shared" ca="1" si="20"/>
        <v>0.8</v>
      </c>
      <c r="BC55" s="33">
        <f t="shared" si="25"/>
        <v>81.666666666666671</v>
      </c>
      <c r="BD55" s="28">
        <f t="shared" si="21"/>
        <v>0.93877551020408168</v>
      </c>
      <c r="BE55" s="28">
        <f t="shared" si="22"/>
        <v>0.18775510204081636</v>
      </c>
      <c r="BF55" s="34">
        <f ca="1">Q55+AA55+AF55+AR55+BB55</f>
        <v>4.25</v>
      </c>
      <c r="BG55" s="34">
        <f>AVERAGE(AV55:AZ55)</f>
        <v>78</v>
      </c>
      <c r="BH55" s="35">
        <f>T55+AD55+AI55+AU55+BE55</f>
        <v>0.86651504419555248</v>
      </c>
      <c r="BI55" s="36" t="str">
        <f ca="1">IF(K55&lt;365,"New CE",(IF(BH55&gt;=100%,"Promote",IF(BH55&gt;=90%,"Sangat Baik",IF(BH55&gt;=80%,"Baik",IF(BH55&gt;=70%,"Lebih Dari Cukup",IF(BH55&gt;=60%,"Cukup","Kurang")))))))</f>
        <v>Baik</v>
      </c>
      <c r="BJ55" s="36" t="s">
        <v>860</v>
      </c>
      <c r="BK55" s="58" t="s">
        <v>42</v>
      </c>
      <c r="BL55" s="59" t="e">
        <v>#N/A</v>
      </c>
    </row>
    <row r="56" spans="1:64" x14ac:dyDescent="0.35">
      <c r="A56" s="19">
        <v>52</v>
      </c>
      <c r="B56" s="13" t="s">
        <v>190</v>
      </c>
      <c r="C56" s="20" t="s">
        <v>191</v>
      </c>
      <c r="D56" s="76" t="s">
        <v>48</v>
      </c>
      <c r="E56" s="13" t="s">
        <v>192</v>
      </c>
      <c r="F56" s="13" t="s">
        <v>50</v>
      </c>
      <c r="G56" s="13" t="s">
        <v>55</v>
      </c>
      <c r="H56" s="65">
        <v>43892</v>
      </c>
      <c r="I56" s="21">
        <f t="shared" ca="1" si="23"/>
        <v>45974</v>
      </c>
      <c r="J56" s="13" t="str">
        <f t="shared" ca="1" si="0"/>
        <v xml:space="preserve">5 Tahun 8 Bulan 11 Hari </v>
      </c>
      <c r="K56" s="13">
        <f t="shared" ca="1" si="24"/>
        <v>2998080</v>
      </c>
      <c r="L56" s="13">
        <v>510</v>
      </c>
      <c r="M56" s="13">
        <v>9</v>
      </c>
      <c r="N56" s="13">
        <v>3962</v>
      </c>
      <c r="O56" s="22">
        <f t="shared" si="1"/>
        <v>440.22222222222223</v>
      </c>
      <c r="P56" s="13">
        <v>452</v>
      </c>
      <c r="Q56" s="23">
        <f t="shared" si="2"/>
        <v>1</v>
      </c>
      <c r="R56" s="24">
        <f t="shared" si="3"/>
        <v>5</v>
      </c>
      <c r="S56" s="25">
        <f t="shared" si="39"/>
        <v>1.0267541645633518</v>
      </c>
      <c r="T56" s="25">
        <f t="shared" si="5"/>
        <v>0.20535083291267037</v>
      </c>
      <c r="U56" s="26">
        <v>5.0694444444444445E-2</v>
      </c>
      <c r="V56" s="26">
        <v>0</v>
      </c>
      <c r="W56" s="26">
        <v>0</v>
      </c>
      <c r="X56" s="27">
        <f t="shared" si="40"/>
        <v>1</v>
      </c>
      <c r="Y56" s="27">
        <v>1</v>
      </c>
      <c r="Z56" s="27">
        <f t="shared" si="34"/>
        <v>0</v>
      </c>
      <c r="AA56" s="23">
        <f t="shared" si="41"/>
        <v>0.8</v>
      </c>
      <c r="AB56" s="24">
        <f t="shared" si="35"/>
        <v>2</v>
      </c>
      <c r="AC56" s="28">
        <f t="shared" si="10"/>
        <v>0.66666666666666663</v>
      </c>
      <c r="AD56" s="29">
        <f t="shared" si="11"/>
        <v>0.16666666666666666</v>
      </c>
      <c r="AE56" s="30">
        <v>3.3562275696238861E-2</v>
      </c>
      <c r="AF56" s="23">
        <f t="shared" si="12"/>
        <v>1.25</v>
      </c>
      <c r="AG56" s="24">
        <f t="shared" si="36"/>
        <v>5</v>
      </c>
      <c r="AH56" s="28">
        <f t="shared" si="14"/>
        <v>1</v>
      </c>
      <c r="AI56" s="29">
        <f t="shared" si="15"/>
        <v>0.25</v>
      </c>
      <c r="AJ56" s="31">
        <v>1</v>
      </c>
      <c r="AK56" s="31">
        <v>1</v>
      </c>
      <c r="AL56" s="31">
        <v>1</v>
      </c>
      <c r="AM56" s="31">
        <v>0</v>
      </c>
      <c r="AN56" s="31">
        <v>0</v>
      </c>
      <c r="AO56" s="31">
        <v>0</v>
      </c>
      <c r="AP56" s="31">
        <v>0</v>
      </c>
      <c r="AQ56" s="31">
        <v>0</v>
      </c>
      <c r="AR56" s="23">
        <f t="shared" si="16"/>
        <v>0.6</v>
      </c>
      <c r="AS56" s="24">
        <f t="shared" si="17"/>
        <v>3</v>
      </c>
      <c r="AT56" s="28">
        <f t="shared" si="18"/>
        <v>0.375</v>
      </c>
      <c r="AU56" s="28">
        <f t="shared" si="19"/>
        <v>5.6249999999999994E-2</v>
      </c>
      <c r="AV56" s="32">
        <v>75</v>
      </c>
      <c r="AW56" s="32">
        <v>75</v>
      </c>
      <c r="AX56" s="32">
        <v>90</v>
      </c>
      <c r="AY56" s="32">
        <v>90</v>
      </c>
      <c r="AZ56" s="32">
        <v>85</v>
      </c>
      <c r="BA56" s="32">
        <v>100</v>
      </c>
      <c r="BB56" s="23">
        <f t="shared" ca="1" si="20"/>
        <v>0.8</v>
      </c>
      <c r="BC56" s="33">
        <f t="shared" si="25"/>
        <v>85.833333333333329</v>
      </c>
      <c r="BD56" s="28">
        <f t="shared" si="21"/>
        <v>0.94174757281553401</v>
      </c>
      <c r="BE56" s="28">
        <f t="shared" si="22"/>
        <v>0.18834951456310681</v>
      </c>
      <c r="BF56" s="34">
        <f ca="1">Q56+AA56+AF56+AR56+BB56</f>
        <v>4.45</v>
      </c>
      <c r="BG56" s="34">
        <f>AVERAGE(AV56:AZ56)</f>
        <v>83</v>
      </c>
      <c r="BH56" s="35">
        <f>T56+AD56+AI56+AU56+BE56</f>
        <v>0.86661701414244385</v>
      </c>
      <c r="BI56" s="36" t="str">
        <f ca="1">IF(K56&lt;365,"New CE",(IF(BH56&gt;=100%,"Promote",IF(BH56&gt;=90%,"Sangat Baik",IF(BH56&gt;=80%,"Baik",IF(BH56&gt;=70%,"Lebih Dari Cukup",IF(BH56&gt;=60%,"Cukup","Kurang")))))))</f>
        <v>Baik</v>
      </c>
      <c r="BJ56" s="36" t="s">
        <v>855</v>
      </c>
      <c r="BK56" s="58" t="s">
        <v>851</v>
      </c>
      <c r="BL56" s="59" t="e">
        <v>#N/A</v>
      </c>
    </row>
    <row r="57" spans="1:64" x14ac:dyDescent="0.35">
      <c r="A57" s="19">
        <v>53</v>
      </c>
      <c r="B57" s="13" t="s">
        <v>193</v>
      </c>
      <c r="C57" s="20" t="s">
        <v>194</v>
      </c>
      <c r="D57" s="76" t="s">
        <v>54</v>
      </c>
      <c r="E57" s="13" t="s">
        <v>195</v>
      </c>
      <c r="F57" s="13" t="s">
        <v>74</v>
      </c>
      <c r="G57" s="13" t="s">
        <v>55</v>
      </c>
      <c r="H57" s="65">
        <v>44882</v>
      </c>
      <c r="I57" s="21">
        <f t="shared" ca="1" si="23"/>
        <v>45974</v>
      </c>
      <c r="J57" s="13" t="str">
        <f t="shared" ca="1" si="0"/>
        <v xml:space="preserve">2 Tahun 11 Bulan 27 Hari </v>
      </c>
      <c r="K57" s="13">
        <f t="shared" ca="1" si="24"/>
        <v>1572480</v>
      </c>
      <c r="L57" s="13">
        <v>159</v>
      </c>
      <c r="M57" s="13">
        <v>3</v>
      </c>
      <c r="N57" s="13">
        <v>1272</v>
      </c>
      <c r="O57" s="22">
        <f t="shared" si="1"/>
        <v>424</v>
      </c>
      <c r="P57" s="13">
        <v>402</v>
      </c>
      <c r="Q57" s="23">
        <f t="shared" si="2"/>
        <v>0.8</v>
      </c>
      <c r="R57" s="24">
        <f t="shared" si="3"/>
        <v>4</v>
      </c>
      <c r="S57" s="25">
        <f t="shared" si="39"/>
        <v>0.94811320754716977</v>
      </c>
      <c r="T57" s="25">
        <f t="shared" si="5"/>
        <v>0.18962264150943398</v>
      </c>
      <c r="U57" s="26">
        <v>5.6250000000000001E-2</v>
      </c>
      <c r="V57" s="26">
        <v>2.1527777777777778E-2</v>
      </c>
      <c r="W57" s="26">
        <v>3254.413073743387</v>
      </c>
      <c r="X57" s="27">
        <f t="shared" si="40"/>
        <v>1</v>
      </c>
      <c r="Y57" s="27">
        <f>IF(V57=TIME(0,0,0), 0, IF(V57&lt;=TIME(3,0,0), 1, 0))</f>
        <v>1</v>
      </c>
      <c r="Z57" s="27">
        <f t="shared" si="34"/>
        <v>1</v>
      </c>
      <c r="AA57" s="23">
        <f t="shared" si="41"/>
        <v>1.25</v>
      </c>
      <c r="AB57" s="24">
        <f t="shared" si="35"/>
        <v>3</v>
      </c>
      <c r="AC57" s="28">
        <f t="shared" si="10"/>
        <v>1</v>
      </c>
      <c r="AD57" s="29">
        <f t="shared" si="11"/>
        <v>0.25</v>
      </c>
      <c r="AE57" s="30">
        <v>4.4363425925925924E-2</v>
      </c>
      <c r="AF57" s="23">
        <f t="shared" si="12"/>
        <v>1</v>
      </c>
      <c r="AG57" s="24">
        <f t="shared" si="36"/>
        <v>4</v>
      </c>
      <c r="AH57" s="28">
        <f t="shared" si="14"/>
        <v>0.8</v>
      </c>
      <c r="AI57" s="29">
        <f t="shared" si="15"/>
        <v>0.2</v>
      </c>
      <c r="AJ57" s="31">
        <v>1</v>
      </c>
      <c r="AK57" s="31">
        <v>1</v>
      </c>
      <c r="AL57" s="31">
        <v>0</v>
      </c>
      <c r="AM57" s="31">
        <v>0</v>
      </c>
      <c r="AN57" s="31">
        <v>0</v>
      </c>
      <c r="AO57" s="31">
        <v>0</v>
      </c>
      <c r="AP57" s="31">
        <v>0</v>
      </c>
      <c r="AQ57" s="31">
        <v>0</v>
      </c>
      <c r="AR57" s="23">
        <f t="shared" si="16"/>
        <v>0.4</v>
      </c>
      <c r="AS57" s="24">
        <f t="shared" si="17"/>
        <v>2</v>
      </c>
      <c r="AT57" s="28">
        <f t="shared" si="18"/>
        <v>0.25</v>
      </c>
      <c r="AU57" s="28">
        <f t="shared" si="19"/>
        <v>3.7499999999999999E-2</v>
      </c>
      <c r="AV57" s="32">
        <v>75</v>
      </c>
      <c r="AW57" s="32">
        <v>75</v>
      </c>
      <c r="AX57" s="32">
        <v>85</v>
      </c>
      <c r="AY57" s="32">
        <v>85</v>
      </c>
      <c r="AZ57" s="32">
        <v>85</v>
      </c>
      <c r="BA57" s="32">
        <v>100</v>
      </c>
      <c r="BB57" s="23">
        <f t="shared" ca="1" si="20"/>
        <v>0.8</v>
      </c>
      <c r="BC57" s="33">
        <f t="shared" si="25"/>
        <v>84.166666666666671</v>
      </c>
      <c r="BD57" s="28">
        <f t="shared" si="21"/>
        <v>0.94059405940594054</v>
      </c>
      <c r="BE57" s="28">
        <f t="shared" si="22"/>
        <v>0.18811881188118812</v>
      </c>
      <c r="BF57" s="34">
        <f ca="1">Q57+AA57+AF57+AR57+BB57</f>
        <v>4.25</v>
      </c>
      <c r="BG57" s="34">
        <f>AVERAGE(AV57:AZ57)</f>
        <v>81</v>
      </c>
      <c r="BH57" s="35">
        <f>T57+AD57+AI57+AU57+BE57</f>
        <v>0.86524145339062208</v>
      </c>
      <c r="BI57" s="36" t="str">
        <f ca="1">IF(K57&lt;365,"New CE",(IF(BH57&gt;=100%,"Promote",IF(BH57&gt;=90%,"Sangat Baik",IF(BH57&gt;=80%,"Baik",IF(BH57&gt;=70%,"Lebih Dari Cukup",IF(BH57&gt;=60%,"Cukup","Kurang")))))))</f>
        <v>Baik</v>
      </c>
      <c r="BJ57" s="36" t="s">
        <v>855</v>
      </c>
      <c r="BK57" s="58" t="s">
        <v>48</v>
      </c>
      <c r="BL57" s="59" t="str">
        <v>Fajry Ramadhan</v>
      </c>
    </row>
    <row r="58" spans="1:64" x14ac:dyDescent="0.35">
      <c r="A58" s="19">
        <v>54</v>
      </c>
      <c r="B58" s="13" t="s">
        <v>196</v>
      </c>
      <c r="C58" s="20" t="s">
        <v>197</v>
      </c>
      <c r="D58" s="76" t="s">
        <v>54</v>
      </c>
      <c r="E58" s="13" t="s">
        <v>89</v>
      </c>
      <c r="F58" s="13" t="s">
        <v>74</v>
      </c>
      <c r="G58" s="13" t="s">
        <v>61</v>
      </c>
      <c r="H58" s="65">
        <v>45075</v>
      </c>
      <c r="I58" s="21">
        <f t="shared" ca="1" si="23"/>
        <v>45974</v>
      </c>
      <c r="J58" s="13" t="str">
        <f t="shared" ca="1" si="0"/>
        <v xml:space="preserve">2 Tahun 5 Bulan 15 Hari </v>
      </c>
      <c r="K58" s="13">
        <f t="shared" ca="1" si="24"/>
        <v>1294560</v>
      </c>
      <c r="L58" s="13">
        <v>448</v>
      </c>
      <c r="M58" s="13">
        <v>7</v>
      </c>
      <c r="N58" s="13">
        <v>2614</v>
      </c>
      <c r="O58" s="22">
        <f t="shared" si="1"/>
        <v>373.42857142857144</v>
      </c>
      <c r="P58" s="13">
        <v>318</v>
      </c>
      <c r="Q58" s="23">
        <f t="shared" si="2"/>
        <v>0.8</v>
      </c>
      <c r="R58" s="24">
        <f t="shared" si="3"/>
        <v>4</v>
      </c>
      <c r="S58" s="25">
        <f t="shared" si="39"/>
        <v>0.85156847742922726</v>
      </c>
      <c r="T58" s="25">
        <f t="shared" si="5"/>
        <v>0.17031369548584546</v>
      </c>
      <c r="U58" s="26">
        <v>5.347222222222222E-2</v>
      </c>
      <c r="V58" s="26">
        <v>5.7870370370370373E-5</v>
      </c>
      <c r="W58" s="26">
        <v>22669.164212962962</v>
      </c>
      <c r="X58" s="27">
        <f t="shared" si="40"/>
        <v>1</v>
      </c>
      <c r="Y58" s="27">
        <f>IF(V58=TIME(0,0,0), 0, IF(V58&lt;=TIME(3,0,0), 1, 0))</f>
        <v>1</v>
      </c>
      <c r="Z58" s="27">
        <f t="shared" si="34"/>
        <v>1</v>
      </c>
      <c r="AA58" s="23">
        <f t="shared" si="41"/>
        <v>1.25</v>
      </c>
      <c r="AB58" s="24">
        <f t="shared" si="35"/>
        <v>3</v>
      </c>
      <c r="AC58" s="28">
        <f t="shared" si="10"/>
        <v>1</v>
      </c>
      <c r="AD58" s="29">
        <f t="shared" si="11"/>
        <v>0.25</v>
      </c>
      <c r="AE58" s="30">
        <v>4.3852169571532325E-2</v>
      </c>
      <c r="AF58" s="23">
        <f t="shared" si="12"/>
        <v>1</v>
      </c>
      <c r="AG58" s="24">
        <f t="shared" si="36"/>
        <v>4</v>
      </c>
      <c r="AH58" s="28">
        <f t="shared" si="14"/>
        <v>0.8</v>
      </c>
      <c r="AI58" s="29">
        <f t="shared" si="15"/>
        <v>0.2</v>
      </c>
      <c r="AJ58" s="31">
        <v>1</v>
      </c>
      <c r="AK58" s="31">
        <v>1</v>
      </c>
      <c r="AL58" s="31">
        <v>1</v>
      </c>
      <c r="AM58" s="31">
        <v>0</v>
      </c>
      <c r="AN58" s="31">
        <v>0</v>
      </c>
      <c r="AO58" s="31">
        <v>0</v>
      </c>
      <c r="AP58" s="31">
        <v>0</v>
      </c>
      <c r="AQ58" s="31">
        <v>0</v>
      </c>
      <c r="AR58" s="23">
        <f t="shared" si="16"/>
        <v>0.6</v>
      </c>
      <c r="AS58" s="24">
        <f t="shared" si="17"/>
        <v>3</v>
      </c>
      <c r="AT58" s="28">
        <f t="shared" si="18"/>
        <v>0.375</v>
      </c>
      <c r="AU58" s="28">
        <f t="shared" si="19"/>
        <v>5.6249999999999994E-2</v>
      </c>
      <c r="AV58" s="32">
        <v>75</v>
      </c>
      <c r="AW58" s="32">
        <v>75</v>
      </c>
      <c r="AX58" s="32">
        <v>80</v>
      </c>
      <c r="AY58" s="32">
        <v>80</v>
      </c>
      <c r="AZ58" s="32">
        <v>80</v>
      </c>
      <c r="BA58" s="32">
        <v>100</v>
      </c>
      <c r="BB58" s="23">
        <f t="shared" ca="1" si="20"/>
        <v>0.8</v>
      </c>
      <c r="BC58" s="33">
        <f t="shared" si="25"/>
        <v>81.666666666666671</v>
      </c>
      <c r="BD58" s="28">
        <f t="shared" si="21"/>
        <v>0.93877551020408168</v>
      </c>
      <c r="BE58" s="28">
        <f t="shared" si="22"/>
        <v>0.18775510204081636</v>
      </c>
      <c r="BF58" s="34">
        <f ca="1">Q58+AA58+AF58+AR58+BB58</f>
        <v>4.45</v>
      </c>
      <c r="BG58" s="34">
        <f>AVERAGE(AV58:AZ58)</f>
        <v>78</v>
      </c>
      <c r="BH58" s="35">
        <f>T58+AD58+AI58+AU58+BE58</f>
        <v>0.86431879752666185</v>
      </c>
      <c r="BI58" s="36" t="str">
        <f ca="1">IF(K58&lt;365,"New CE",(IF(BH58&gt;=100%,"Promote",IF(BH58&gt;=90%,"Sangat Baik",IF(BH58&gt;=80%,"Baik",IF(BH58&gt;=70%,"Lebih Dari Cukup",IF(BH58&gt;=60%,"Cukup","Kurang")))))))</f>
        <v>Baik</v>
      </c>
      <c r="BJ58" s="36" t="s">
        <v>855</v>
      </c>
      <c r="BK58" s="58" t="s">
        <v>48</v>
      </c>
      <c r="BL58" s="59" t="str">
        <v>Iffat Ahmad Baihaki</v>
      </c>
    </row>
    <row r="59" spans="1:64" x14ac:dyDescent="0.35">
      <c r="A59" s="19">
        <v>55</v>
      </c>
      <c r="B59" s="13" t="s">
        <v>198</v>
      </c>
      <c r="C59" s="20" t="s">
        <v>199</v>
      </c>
      <c r="D59" s="76" t="s">
        <v>54</v>
      </c>
      <c r="E59" s="13" t="s">
        <v>200</v>
      </c>
      <c r="F59" s="13" t="s">
        <v>50</v>
      </c>
      <c r="G59" s="13" t="s">
        <v>61</v>
      </c>
      <c r="H59" s="65">
        <v>44966</v>
      </c>
      <c r="I59" s="21">
        <f t="shared" ca="1" si="23"/>
        <v>45974</v>
      </c>
      <c r="J59" s="13" t="str">
        <f t="shared" ca="1" si="0"/>
        <v xml:space="preserve">2 Tahun 9 Bulan 4 Hari </v>
      </c>
      <c r="K59" s="13">
        <f t="shared" ca="1" si="24"/>
        <v>1451520</v>
      </c>
      <c r="L59" s="13">
        <v>75</v>
      </c>
      <c r="M59" s="13">
        <v>2</v>
      </c>
      <c r="N59" s="13">
        <v>680</v>
      </c>
      <c r="O59" s="22">
        <f t="shared" si="1"/>
        <v>340</v>
      </c>
      <c r="P59" s="13">
        <v>321</v>
      </c>
      <c r="Q59" s="23">
        <f t="shared" si="2"/>
        <v>0.8</v>
      </c>
      <c r="R59" s="24">
        <f t="shared" si="3"/>
        <v>4</v>
      </c>
      <c r="S59" s="25">
        <f t="shared" si="39"/>
        <v>0.94411764705882351</v>
      </c>
      <c r="T59" s="25">
        <f t="shared" si="5"/>
        <v>0.18882352941176472</v>
      </c>
      <c r="U59" s="26">
        <v>7.7083333333333337E-2</v>
      </c>
      <c r="V59" s="26">
        <v>2.2222222222222223E-2</v>
      </c>
      <c r="W59" s="26">
        <v>2.4820601851851854E-2</v>
      </c>
      <c r="X59" s="27">
        <v>1</v>
      </c>
      <c r="Y59" s="27">
        <v>1</v>
      </c>
      <c r="Z59" s="27">
        <f t="shared" si="34"/>
        <v>1</v>
      </c>
      <c r="AA59" s="23">
        <f t="shared" si="41"/>
        <v>1.25</v>
      </c>
      <c r="AB59" s="24">
        <f t="shared" si="35"/>
        <v>3</v>
      </c>
      <c r="AC59" s="28">
        <f t="shared" si="10"/>
        <v>1</v>
      </c>
      <c r="AD59" s="29">
        <f t="shared" si="11"/>
        <v>0.25</v>
      </c>
      <c r="AE59" s="30">
        <v>6.0636574074074072E-2</v>
      </c>
      <c r="AF59" s="23">
        <f t="shared" si="12"/>
        <v>1</v>
      </c>
      <c r="AG59" s="24">
        <f t="shared" si="36"/>
        <v>4</v>
      </c>
      <c r="AH59" s="28">
        <f t="shared" si="14"/>
        <v>0.8</v>
      </c>
      <c r="AI59" s="29">
        <f t="shared" si="15"/>
        <v>0.2</v>
      </c>
      <c r="AJ59" s="31">
        <v>1</v>
      </c>
      <c r="AK59" s="31">
        <v>1</v>
      </c>
      <c r="AL59" s="31">
        <v>0</v>
      </c>
      <c r="AM59" s="31">
        <v>0</v>
      </c>
      <c r="AN59" s="31">
        <v>0</v>
      </c>
      <c r="AO59" s="31">
        <v>0</v>
      </c>
      <c r="AP59" s="31">
        <v>0</v>
      </c>
      <c r="AQ59" s="31">
        <v>0</v>
      </c>
      <c r="AR59" s="23">
        <f t="shared" si="16"/>
        <v>0.4</v>
      </c>
      <c r="AS59" s="24">
        <f t="shared" si="17"/>
        <v>2</v>
      </c>
      <c r="AT59" s="28">
        <f t="shared" si="18"/>
        <v>0.25</v>
      </c>
      <c r="AU59" s="28">
        <f t="shared" si="19"/>
        <v>3.7499999999999999E-2</v>
      </c>
      <c r="AV59" s="32">
        <v>75</v>
      </c>
      <c r="AW59" s="32">
        <v>75</v>
      </c>
      <c r="AX59" s="32">
        <v>90</v>
      </c>
      <c r="AY59" s="32">
        <v>85</v>
      </c>
      <c r="AZ59" s="32">
        <v>80</v>
      </c>
      <c r="BA59" s="32">
        <v>100</v>
      </c>
      <c r="BB59" s="23">
        <f t="shared" ca="1" si="20"/>
        <v>0.8</v>
      </c>
      <c r="BC59" s="33">
        <f t="shared" si="25"/>
        <v>84.166666666666671</v>
      </c>
      <c r="BD59" s="28">
        <f t="shared" si="21"/>
        <v>0.94059405940594054</v>
      </c>
      <c r="BE59" s="28">
        <f t="shared" si="22"/>
        <v>0.18811881188118812</v>
      </c>
      <c r="BF59" s="34">
        <f ca="1">Q59+AA59+AF59+AR59+BB59</f>
        <v>4.25</v>
      </c>
      <c r="BG59" s="34">
        <f>AVERAGE(AV59:AZ59)</f>
        <v>81</v>
      </c>
      <c r="BH59" s="35">
        <f>T59+AD59+AI59+AU59+BE59</f>
        <v>0.86444234129295294</v>
      </c>
      <c r="BI59" s="36" t="str">
        <f ca="1">IF(K59&lt;365,"New CE",(IF(BH59&gt;=100%,"Promote",IF(BH59&gt;=90%,"Sangat Baik",IF(BH59&gt;=80%,"Baik",IF(BH59&gt;=70%,"Lebih Dari Cukup",IF(BH59&gt;=60%,"Cukup","Kurang")))))))</f>
        <v>Baik</v>
      </c>
      <c r="BJ59" s="36" t="s">
        <v>855</v>
      </c>
      <c r="BK59" s="58" t="s">
        <v>48</v>
      </c>
      <c r="BL59" s="59" t="e">
        <v>#N/A</v>
      </c>
    </row>
    <row r="60" spans="1:64" x14ac:dyDescent="0.35">
      <c r="A60" s="19">
        <v>56</v>
      </c>
      <c r="B60" s="13" t="s">
        <v>201</v>
      </c>
      <c r="C60" s="20" t="s">
        <v>202</v>
      </c>
      <c r="D60" s="76" t="s">
        <v>48</v>
      </c>
      <c r="E60" s="13" t="s">
        <v>43</v>
      </c>
      <c r="F60" s="13" t="s">
        <v>44</v>
      </c>
      <c r="G60" s="13" t="s">
        <v>51</v>
      </c>
      <c r="H60" s="65">
        <v>44431</v>
      </c>
      <c r="I60" s="21">
        <f t="shared" ca="1" si="23"/>
        <v>45974</v>
      </c>
      <c r="J60" s="13" t="str">
        <f t="shared" ca="1" si="0"/>
        <v xml:space="preserve">4 Tahun 2 Bulan 21 Hari </v>
      </c>
      <c r="K60" s="13">
        <f t="shared" ca="1" si="24"/>
        <v>2221920</v>
      </c>
      <c r="L60" s="13">
        <v>1384</v>
      </c>
      <c r="M60" s="13">
        <v>22</v>
      </c>
      <c r="N60" s="13">
        <v>6775</v>
      </c>
      <c r="O60" s="22">
        <f t="shared" si="1"/>
        <v>307.95454545454544</v>
      </c>
      <c r="P60" s="13">
        <v>570</v>
      </c>
      <c r="Q60" s="23">
        <f t="shared" si="2"/>
        <v>1</v>
      </c>
      <c r="R60" s="24">
        <f t="shared" si="3"/>
        <v>5</v>
      </c>
      <c r="S60" s="25">
        <f t="shared" si="39"/>
        <v>1.8509225092250923</v>
      </c>
      <c r="T60" s="25">
        <f t="shared" si="5"/>
        <v>0.3701845018450185</v>
      </c>
      <c r="U60" s="26">
        <v>1351.9725949990818</v>
      </c>
      <c r="V60" s="26">
        <v>0</v>
      </c>
      <c r="W60" s="26">
        <v>0</v>
      </c>
      <c r="X60" s="27">
        <f>IF(U60=TIME(0,0,0), 0, IF(U60&lt;=TIME(1,30,0), 1, 0))</f>
        <v>0</v>
      </c>
      <c r="Y60" s="27">
        <f t="shared" ref="Y60:Y67" si="42">IF(V60=TIME(0,0,0), 0, IF(V60&lt;=TIME(3,0,0), 1, 0))</f>
        <v>0</v>
      </c>
      <c r="Z60" s="27">
        <f t="shared" si="34"/>
        <v>0</v>
      </c>
      <c r="AA60" s="23">
        <f t="shared" si="41"/>
        <v>0</v>
      </c>
      <c r="AB60" s="24">
        <f t="shared" si="35"/>
        <v>0</v>
      </c>
      <c r="AC60" s="28">
        <f t="shared" si="10"/>
        <v>0</v>
      </c>
      <c r="AD60" s="29">
        <f t="shared" si="11"/>
        <v>0</v>
      </c>
      <c r="AE60" s="30">
        <v>3.3621533118484336E-2</v>
      </c>
      <c r="AF60" s="23">
        <f t="shared" si="12"/>
        <v>1.25</v>
      </c>
      <c r="AG60" s="24">
        <f t="shared" si="36"/>
        <v>5</v>
      </c>
      <c r="AH60" s="28">
        <f t="shared" si="14"/>
        <v>1</v>
      </c>
      <c r="AI60" s="29">
        <f t="shared" si="15"/>
        <v>0.25</v>
      </c>
      <c r="AJ60" s="31">
        <v>1</v>
      </c>
      <c r="AK60" s="31">
        <v>1</v>
      </c>
      <c r="AL60" s="31">
        <v>1</v>
      </c>
      <c r="AM60" s="31">
        <v>0</v>
      </c>
      <c r="AN60" s="31">
        <v>0</v>
      </c>
      <c r="AO60" s="31">
        <v>0</v>
      </c>
      <c r="AP60" s="31">
        <v>0</v>
      </c>
      <c r="AQ60" s="31">
        <v>0</v>
      </c>
      <c r="AR60" s="23">
        <f t="shared" si="16"/>
        <v>0.6</v>
      </c>
      <c r="AS60" s="24">
        <f t="shared" si="17"/>
        <v>3</v>
      </c>
      <c r="AT60" s="28">
        <f t="shared" si="18"/>
        <v>0.375</v>
      </c>
      <c r="AU60" s="28">
        <f t="shared" si="19"/>
        <v>5.6249999999999994E-2</v>
      </c>
      <c r="AV60" s="32">
        <v>75</v>
      </c>
      <c r="AW60" s="32">
        <v>60</v>
      </c>
      <c r="AX60" s="32">
        <v>75</v>
      </c>
      <c r="AY60" s="32">
        <v>75</v>
      </c>
      <c r="AZ60" s="32">
        <v>75</v>
      </c>
      <c r="BA60" s="32">
        <v>100</v>
      </c>
      <c r="BB60" s="23">
        <f t="shared" ca="1" si="20"/>
        <v>0.8</v>
      </c>
      <c r="BC60" s="33">
        <f t="shared" si="25"/>
        <v>76.666666666666671</v>
      </c>
      <c r="BD60" s="28">
        <f t="shared" si="21"/>
        <v>0.93478260869565222</v>
      </c>
      <c r="BE60" s="28">
        <f t="shared" si="22"/>
        <v>0.18695652173913047</v>
      </c>
      <c r="BF60" s="34">
        <f ca="1">Q60+AA60+AF60+AR60+BB60</f>
        <v>3.6500000000000004</v>
      </c>
      <c r="BG60" s="34">
        <f>AVERAGE(AV60:AZ60)</f>
        <v>72</v>
      </c>
      <c r="BH60" s="35">
        <f>T60+AD60+AI60+AU60+BE60</f>
        <v>0.86339102358414899</v>
      </c>
      <c r="BI60" s="36" t="str">
        <f ca="1">IF(K60&lt;365,"New CE",(IF(BH60&gt;=100%,"Promote",IF(BH60&gt;=90%,"Sangat Baik",IF(BH60&gt;=80%,"Baik",IF(BH60&gt;=70%,"Lebih Dari Cukup",IF(BH60&gt;=60%,"Cukup","Kurang")))))))</f>
        <v>Baik</v>
      </c>
      <c r="BJ60" s="36" t="s">
        <v>860</v>
      </c>
      <c r="BK60" s="58" t="s">
        <v>48</v>
      </c>
      <c r="BL60" s="59" t="e">
        <v>#N/A</v>
      </c>
    </row>
    <row r="61" spans="1:64" x14ac:dyDescent="0.35">
      <c r="A61" s="19">
        <v>57</v>
      </c>
      <c r="B61" s="13" t="s">
        <v>203</v>
      </c>
      <c r="C61" s="20" t="s">
        <v>204</v>
      </c>
      <c r="D61" s="76" t="s">
        <v>54</v>
      </c>
      <c r="E61" s="13" t="s">
        <v>205</v>
      </c>
      <c r="F61" s="13" t="s">
        <v>74</v>
      </c>
      <c r="G61" s="13" t="s">
        <v>61</v>
      </c>
      <c r="H61" s="65">
        <v>44966</v>
      </c>
      <c r="I61" s="21">
        <f t="shared" ca="1" si="23"/>
        <v>45974</v>
      </c>
      <c r="J61" s="13" t="str">
        <f t="shared" ca="1" si="0"/>
        <v xml:space="preserve">2 Tahun 9 Bulan 4 Hari </v>
      </c>
      <c r="K61" s="13">
        <f t="shared" ca="1" si="24"/>
        <v>1451520</v>
      </c>
      <c r="L61" s="13">
        <v>90</v>
      </c>
      <c r="M61" s="13">
        <v>2</v>
      </c>
      <c r="N61" s="13">
        <v>587</v>
      </c>
      <c r="O61" s="22">
        <f t="shared" si="1"/>
        <v>293.5</v>
      </c>
      <c r="P61" s="13">
        <v>370</v>
      </c>
      <c r="Q61" s="23">
        <f t="shared" si="2"/>
        <v>1</v>
      </c>
      <c r="R61" s="24">
        <f t="shared" si="3"/>
        <v>5</v>
      </c>
      <c r="S61" s="25">
        <f t="shared" si="39"/>
        <v>1.2606473594548553</v>
      </c>
      <c r="T61" s="25">
        <f t="shared" si="5"/>
        <v>0.25212947189097107</v>
      </c>
      <c r="U61" s="26">
        <v>4.4444444444444446E-2</v>
      </c>
      <c r="V61" s="26">
        <v>0.13541666666666666</v>
      </c>
      <c r="W61" s="26">
        <v>5036.9637024176955</v>
      </c>
      <c r="X61" s="27">
        <f>IF(U61=TIME(0,0,0), 0, IF(U61&lt;=TIME(1,30,0), 1, 0))</f>
        <v>1</v>
      </c>
      <c r="Y61" s="27">
        <f t="shared" si="42"/>
        <v>0</v>
      </c>
      <c r="Z61" s="27">
        <f t="shared" si="34"/>
        <v>1</v>
      </c>
      <c r="AA61" s="23">
        <f t="shared" si="41"/>
        <v>0.8</v>
      </c>
      <c r="AB61" s="24">
        <f t="shared" si="35"/>
        <v>2</v>
      </c>
      <c r="AC61" s="28">
        <f t="shared" si="10"/>
        <v>0.66666666666666663</v>
      </c>
      <c r="AD61" s="29">
        <f t="shared" si="11"/>
        <v>0.16666666666666666</v>
      </c>
      <c r="AE61" s="30">
        <v>6.8839285714285714E-2</v>
      </c>
      <c r="AF61" s="23">
        <f t="shared" si="12"/>
        <v>1</v>
      </c>
      <c r="AG61" s="24">
        <f t="shared" si="36"/>
        <v>4</v>
      </c>
      <c r="AH61" s="28">
        <f t="shared" si="14"/>
        <v>0.8</v>
      </c>
      <c r="AI61" s="29">
        <f t="shared" si="15"/>
        <v>0.2</v>
      </c>
      <c r="AJ61" s="31">
        <v>1</v>
      </c>
      <c r="AK61" s="31">
        <v>1</v>
      </c>
      <c r="AL61" s="31">
        <v>0</v>
      </c>
      <c r="AM61" s="31">
        <v>0</v>
      </c>
      <c r="AN61" s="31">
        <v>0</v>
      </c>
      <c r="AO61" s="31">
        <v>0</v>
      </c>
      <c r="AP61" s="31">
        <v>0</v>
      </c>
      <c r="AQ61" s="31">
        <v>1</v>
      </c>
      <c r="AR61" s="23">
        <f t="shared" si="16"/>
        <v>0.6</v>
      </c>
      <c r="AS61" s="24">
        <f t="shared" si="17"/>
        <v>3</v>
      </c>
      <c r="AT61" s="28">
        <f t="shared" si="18"/>
        <v>0.375</v>
      </c>
      <c r="AU61" s="28">
        <f t="shared" si="19"/>
        <v>5.6249999999999994E-2</v>
      </c>
      <c r="AV61" s="32">
        <v>75</v>
      </c>
      <c r="AW61" s="32">
        <v>75</v>
      </c>
      <c r="AX61" s="32">
        <v>80</v>
      </c>
      <c r="AY61" s="32">
        <v>80</v>
      </c>
      <c r="AZ61" s="32">
        <v>80</v>
      </c>
      <c r="BA61" s="32">
        <v>100</v>
      </c>
      <c r="BB61" s="23">
        <f t="shared" ca="1" si="20"/>
        <v>0.8</v>
      </c>
      <c r="BC61" s="33">
        <f t="shared" si="25"/>
        <v>81.666666666666671</v>
      </c>
      <c r="BD61" s="28">
        <f t="shared" si="21"/>
        <v>0.93877551020408168</v>
      </c>
      <c r="BE61" s="28">
        <f t="shared" si="22"/>
        <v>0.18775510204081636</v>
      </c>
      <c r="BF61" s="34">
        <f ca="1">Q61+AA61+AF61+AR61+BB61</f>
        <v>4.2</v>
      </c>
      <c r="BG61" s="34">
        <f>AVERAGE(AV61:AZ61)</f>
        <v>78</v>
      </c>
      <c r="BH61" s="35">
        <f>T61+AD61+AI61+AU61+BE61</f>
        <v>0.86280124059845409</v>
      </c>
      <c r="BI61" s="36" t="str">
        <f ca="1">IF(K61&lt;365,"New CE",(IF(BH61&gt;=100%,"Promote",IF(BH61&gt;=90%,"Sangat Baik",IF(BH61&gt;=80%,"Baik",IF(BH61&gt;=70%,"Lebih Dari Cukup",IF(BH61&gt;=60%,"Cukup","Kurang")))))))</f>
        <v>Baik</v>
      </c>
      <c r="BJ61" s="36" t="s">
        <v>855</v>
      </c>
      <c r="BK61" s="58" t="s">
        <v>48</v>
      </c>
      <c r="BL61" s="59" t="str">
        <v>Bima Putra Harsya</v>
      </c>
    </row>
    <row r="62" spans="1:64" x14ac:dyDescent="0.35">
      <c r="A62" s="19">
        <v>58</v>
      </c>
      <c r="B62" s="13" t="s">
        <v>206</v>
      </c>
      <c r="C62" s="20" t="s">
        <v>207</v>
      </c>
      <c r="D62" s="76" t="s">
        <v>54</v>
      </c>
      <c r="E62" s="13" t="s">
        <v>192</v>
      </c>
      <c r="F62" s="13" t="s">
        <v>50</v>
      </c>
      <c r="G62" s="13" t="s">
        <v>55</v>
      </c>
      <c r="H62" s="65">
        <v>43388</v>
      </c>
      <c r="I62" s="21">
        <f t="shared" ca="1" si="23"/>
        <v>45974</v>
      </c>
      <c r="J62" s="13" t="str">
        <f t="shared" ca="1" si="0"/>
        <v xml:space="preserve">7 Tahun 0 Bulan 29 Hari </v>
      </c>
      <c r="K62" s="13">
        <f t="shared" ca="1" si="24"/>
        <v>3723840</v>
      </c>
      <c r="L62" s="13">
        <v>510</v>
      </c>
      <c r="M62" s="13">
        <v>9</v>
      </c>
      <c r="N62" s="13">
        <v>3962</v>
      </c>
      <c r="O62" s="22">
        <f t="shared" si="1"/>
        <v>440.22222222222223</v>
      </c>
      <c r="P62" s="13">
        <v>441</v>
      </c>
      <c r="Q62" s="23">
        <f t="shared" si="2"/>
        <v>1</v>
      </c>
      <c r="R62" s="24">
        <f t="shared" si="3"/>
        <v>5</v>
      </c>
      <c r="S62" s="25">
        <f t="shared" si="39"/>
        <v>1.0017667844522968</v>
      </c>
      <c r="T62" s="25">
        <f t="shared" si="5"/>
        <v>0.20035335689045938</v>
      </c>
      <c r="U62" s="26">
        <v>5.347222222222222E-2</v>
      </c>
      <c r="V62" s="26">
        <v>9.0277777777777769E-3</v>
      </c>
      <c r="W62" s="26">
        <v>0</v>
      </c>
      <c r="X62" s="27">
        <f>IF(U62=TIME(0,0,0), 0, IF(U62&lt;=TIME(1,30,0), 1, 0))</f>
        <v>1</v>
      </c>
      <c r="Y62" s="27">
        <f t="shared" si="42"/>
        <v>1</v>
      </c>
      <c r="Z62" s="27">
        <f t="shared" si="34"/>
        <v>0</v>
      </c>
      <c r="AA62" s="23">
        <f t="shared" si="41"/>
        <v>0.8</v>
      </c>
      <c r="AB62" s="24">
        <f t="shared" si="35"/>
        <v>2</v>
      </c>
      <c r="AC62" s="28">
        <f t="shared" si="10"/>
        <v>0.66666666666666663</v>
      </c>
      <c r="AD62" s="29">
        <f t="shared" si="11"/>
        <v>0.16666666666666666</v>
      </c>
      <c r="AE62" s="30">
        <v>3.099614451348278E-2</v>
      </c>
      <c r="AF62" s="23">
        <f t="shared" si="12"/>
        <v>1.25</v>
      </c>
      <c r="AG62" s="24">
        <f t="shared" si="36"/>
        <v>5</v>
      </c>
      <c r="AH62" s="28">
        <f t="shared" si="14"/>
        <v>1</v>
      </c>
      <c r="AI62" s="29">
        <f t="shared" si="15"/>
        <v>0.25</v>
      </c>
      <c r="AJ62" s="31">
        <v>1</v>
      </c>
      <c r="AK62" s="31">
        <v>1</v>
      </c>
      <c r="AL62" s="31">
        <v>1</v>
      </c>
      <c r="AM62" s="31">
        <v>0</v>
      </c>
      <c r="AN62" s="31">
        <v>0</v>
      </c>
      <c r="AO62" s="31">
        <v>0</v>
      </c>
      <c r="AP62" s="31">
        <v>0</v>
      </c>
      <c r="AQ62" s="31">
        <v>0</v>
      </c>
      <c r="AR62" s="23">
        <f t="shared" si="16"/>
        <v>0.6</v>
      </c>
      <c r="AS62" s="24">
        <f t="shared" si="17"/>
        <v>3</v>
      </c>
      <c r="AT62" s="28">
        <f t="shared" si="18"/>
        <v>0.375</v>
      </c>
      <c r="AU62" s="28">
        <f t="shared" si="19"/>
        <v>5.6249999999999994E-2</v>
      </c>
      <c r="AV62" s="32">
        <v>75</v>
      </c>
      <c r="AW62" s="32">
        <v>75</v>
      </c>
      <c r="AX62" s="32">
        <v>90</v>
      </c>
      <c r="AY62" s="32">
        <v>85</v>
      </c>
      <c r="AZ62" s="32">
        <v>80</v>
      </c>
      <c r="BA62" s="32">
        <v>100</v>
      </c>
      <c r="BB62" s="23">
        <f t="shared" ca="1" si="20"/>
        <v>0.8</v>
      </c>
      <c r="BC62" s="33">
        <f t="shared" si="25"/>
        <v>84.166666666666671</v>
      </c>
      <c r="BD62" s="28">
        <f t="shared" si="21"/>
        <v>0.94059405940594054</v>
      </c>
      <c r="BE62" s="28">
        <f t="shared" si="22"/>
        <v>0.18811881188118812</v>
      </c>
      <c r="BF62" s="34">
        <f ca="1">Q62+AA62+AF62+AR62+BB62</f>
        <v>4.45</v>
      </c>
      <c r="BG62" s="34">
        <f>AVERAGE(AV62:AZ62)</f>
        <v>81</v>
      </c>
      <c r="BH62" s="35">
        <f>T62+AD62+AI62+AU62+BE62</f>
        <v>0.86138883543831413</v>
      </c>
      <c r="BI62" s="36" t="str">
        <f ca="1">IF(K62&lt;365,"New CE",(IF(BH62&gt;=100%,"Promote",IF(BH62&gt;=90%,"Sangat Baik",IF(BH62&gt;=80%,"Baik",IF(BH62&gt;=70%,"Lebih Dari Cukup",IF(BH62&gt;=60%,"Cukup","Kurang")))))))</f>
        <v>Baik</v>
      </c>
      <c r="BJ62" s="36" t="s">
        <v>860</v>
      </c>
      <c r="BK62" s="58" t="s">
        <v>54</v>
      </c>
      <c r="BL62" s="59" t="e">
        <v>#N/A</v>
      </c>
    </row>
    <row r="63" spans="1:64" x14ac:dyDescent="0.35">
      <c r="A63" s="19">
        <v>59</v>
      </c>
      <c r="B63" s="13" t="s">
        <v>210</v>
      </c>
      <c r="C63" s="20" t="s">
        <v>211</v>
      </c>
      <c r="D63" s="76" t="s">
        <v>54</v>
      </c>
      <c r="E63" s="13" t="s">
        <v>212</v>
      </c>
      <c r="F63" s="13" t="s">
        <v>74</v>
      </c>
      <c r="G63" s="13" t="s">
        <v>61</v>
      </c>
      <c r="H63" s="65">
        <v>45323</v>
      </c>
      <c r="I63" s="21">
        <f t="shared" ca="1" si="23"/>
        <v>45974</v>
      </c>
      <c r="J63" s="13" t="str">
        <f t="shared" ca="1" si="0"/>
        <v xml:space="preserve">1 Tahun 9 Bulan 12 Hari </v>
      </c>
      <c r="K63" s="13">
        <f t="shared" ca="1" si="24"/>
        <v>937440</v>
      </c>
      <c r="L63" s="13">
        <v>103</v>
      </c>
      <c r="M63" s="13">
        <v>2</v>
      </c>
      <c r="N63" s="13">
        <v>733</v>
      </c>
      <c r="O63" s="22">
        <f t="shared" si="1"/>
        <v>366.5</v>
      </c>
      <c r="P63" s="13">
        <v>306</v>
      </c>
      <c r="Q63" s="23">
        <f t="shared" si="2"/>
        <v>0.8</v>
      </c>
      <c r="R63" s="24">
        <f t="shared" si="3"/>
        <v>4</v>
      </c>
      <c r="S63" s="25">
        <f t="shared" si="39"/>
        <v>0.834924965893588</v>
      </c>
      <c r="T63" s="25">
        <f t="shared" si="5"/>
        <v>0.16698499317871762</v>
      </c>
      <c r="U63" s="26">
        <v>1.5106481481481479E-3</v>
      </c>
      <c r="V63" s="26">
        <v>1.7102396514161219E-3</v>
      </c>
      <c r="W63" s="26">
        <v>1.3599537037037036E-4</v>
      </c>
      <c r="X63" s="27">
        <f>IF(U63=TIME(0,0,0), 0, IF(U63&lt;=TIME(1,30,0), 1, 0))</f>
        <v>1</v>
      </c>
      <c r="Y63" s="27">
        <f t="shared" si="42"/>
        <v>1</v>
      </c>
      <c r="Z63" s="27">
        <f t="shared" si="34"/>
        <v>1</v>
      </c>
      <c r="AA63" s="23">
        <f t="shared" si="41"/>
        <v>1.25</v>
      </c>
      <c r="AB63" s="24">
        <f t="shared" si="35"/>
        <v>3</v>
      </c>
      <c r="AC63" s="28">
        <f t="shared" si="10"/>
        <v>1</v>
      </c>
      <c r="AD63" s="29">
        <f t="shared" si="11"/>
        <v>0.25</v>
      </c>
      <c r="AE63" s="30">
        <v>7.1276721960989206E-2</v>
      </c>
      <c r="AF63" s="23">
        <f t="shared" si="12"/>
        <v>1</v>
      </c>
      <c r="AG63" s="24">
        <f t="shared" si="36"/>
        <v>4</v>
      </c>
      <c r="AH63" s="28">
        <f t="shared" si="14"/>
        <v>0.8</v>
      </c>
      <c r="AI63" s="29">
        <f t="shared" si="15"/>
        <v>0.2</v>
      </c>
      <c r="AJ63" s="31">
        <v>1</v>
      </c>
      <c r="AK63" s="31">
        <v>1</v>
      </c>
      <c r="AL63" s="31">
        <v>1</v>
      </c>
      <c r="AM63" s="31">
        <v>0</v>
      </c>
      <c r="AN63" s="31">
        <v>0</v>
      </c>
      <c r="AO63" s="31">
        <v>0</v>
      </c>
      <c r="AP63" s="31">
        <v>0</v>
      </c>
      <c r="AQ63" s="31">
        <v>0</v>
      </c>
      <c r="AR63" s="23">
        <f t="shared" si="16"/>
        <v>0.6</v>
      </c>
      <c r="AS63" s="24">
        <f t="shared" si="17"/>
        <v>3</v>
      </c>
      <c r="AT63" s="28">
        <f t="shared" si="18"/>
        <v>0.375</v>
      </c>
      <c r="AU63" s="28">
        <f t="shared" si="19"/>
        <v>5.6249999999999994E-2</v>
      </c>
      <c r="AV63" s="32">
        <v>75</v>
      </c>
      <c r="AW63" s="32">
        <v>70</v>
      </c>
      <c r="AX63" s="32">
        <v>80</v>
      </c>
      <c r="AY63" s="32">
        <v>80</v>
      </c>
      <c r="AZ63" s="32">
        <v>80</v>
      </c>
      <c r="BA63" s="32">
        <v>100</v>
      </c>
      <c r="BB63" s="23">
        <f t="shared" ca="1" si="20"/>
        <v>0.8</v>
      </c>
      <c r="BC63" s="33">
        <f t="shared" si="25"/>
        <v>80.833333333333329</v>
      </c>
      <c r="BD63" s="28">
        <f t="shared" si="21"/>
        <v>0.93814432989690721</v>
      </c>
      <c r="BE63" s="28">
        <f t="shared" si="22"/>
        <v>0.18762886597938144</v>
      </c>
      <c r="BF63" s="34">
        <f ca="1">Q63+AA63+AF63+AR63+BB63</f>
        <v>4.45</v>
      </c>
      <c r="BG63" s="34">
        <f>AVERAGE(AV63:AZ63)</f>
        <v>77</v>
      </c>
      <c r="BH63" s="35">
        <f>T63+AD63+AI63+AU63+BE63</f>
        <v>0.86086385915809915</v>
      </c>
      <c r="BI63" s="36" t="str">
        <f ca="1">IF(K63&lt;365,"New CE",(IF(BH63&gt;=100%,"Promote",IF(BH63&gt;=90%,"Sangat Baik",IF(BH63&gt;=80%,"Baik",IF(BH63&gt;=70%,"Lebih Dari Cukup",IF(BH63&gt;=60%,"Cukup","Kurang")))))))</f>
        <v>Baik</v>
      </c>
      <c r="BJ63" s="36" t="s">
        <v>860</v>
      </c>
      <c r="BK63" s="58" t="s">
        <v>54</v>
      </c>
      <c r="BL63" s="59" t="str">
        <v>Abdul Rahman</v>
      </c>
    </row>
    <row r="64" spans="1:64" x14ac:dyDescent="0.35">
      <c r="A64" s="19">
        <v>60</v>
      </c>
      <c r="B64" s="13" t="s">
        <v>213</v>
      </c>
      <c r="C64" s="20" t="s">
        <v>214</v>
      </c>
      <c r="D64" s="76" t="s">
        <v>54</v>
      </c>
      <c r="E64" s="13" t="s">
        <v>43</v>
      </c>
      <c r="F64" s="13" t="s">
        <v>44</v>
      </c>
      <c r="G64" s="13" t="s">
        <v>61</v>
      </c>
      <c r="H64" s="65">
        <v>45075</v>
      </c>
      <c r="I64" s="21">
        <f t="shared" ca="1" si="23"/>
        <v>45974</v>
      </c>
      <c r="J64" s="13" t="str">
        <f t="shared" ca="1" si="0"/>
        <v xml:space="preserve">2 Tahun 5 Bulan 15 Hari </v>
      </c>
      <c r="K64" s="13">
        <f t="shared" ca="1" si="24"/>
        <v>1294560</v>
      </c>
      <c r="L64" s="13">
        <v>1384</v>
      </c>
      <c r="M64" s="13">
        <v>22</v>
      </c>
      <c r="N64" s="13">
        <v>6775</v>
      </c>
      <c r="O64" s="22">
        <f t="shared" si="1"/>
        <v>307.95454545454544</v>
      </c>
      <c r="P64" s="13">
        <v>435</v>
      </c>
      <c r="Q64" s="23">
        <f t="shared" si="2"/>
        <v>1</v>
      </c>
      <c r="R64" s="24">
        <f t="shared" si="3"/>
        <v>5</v>
      </c>
      <c r="S64" s="25">
        <f t="shared" si="39"/>
        <v>1.4125461254612546</v>
      </c>
      <c r="T64" s="25">
        <f t="shared" si="5"/>
        <v>0.2825092250922509</v>
      </c>
      <c r="U64" s="26">
        <v>1432.5325810185184</v>
      </c>
      <c r="V64" s="26">
        <v>2.5462962962962961E-4</v>
      </c>
      <c r="W64" s="26">
        <v>0</v>
      </c>
      <c r="X64" s="27">
        <f>IF(U64=TIME(0,0,0), 0, IF(U64&lt;=TIME(1,30,0), 1, 0))</f>
        <v>0</v>
      </c>
      <c r="Y64" s="27">
        <f t="shared" si="42"/>
        <v>1</v>
      </c>
      <c r="Z64" s="27">
        <f t="shared" si="34"/>
        <v>0</v>
      </c>
      <c r="AA64" s="23">
        <f t="shared" si="41"/>
        <v>0.4</v>
      </c>
      <c r="AB64" s="24">
        <f t="shared" si="35"/>
        <v>1</v>
      </c>
      <c r="AC64" s="28">
        <f t="shared" si="10"/>
        <v>0.33333333333333331</v>
      </c>
      <c r="AD64" s="29">
        <f t="shared" si="11"/>
        <v>8.3333333333333329E-2</v>
      </c>
      <c r="AE64" s="30">
        <v>2.993337191358025E-2</v>
      </c>
      <c r="AF64" s="23">
        <f t="shared" si="12"/>
        <v>1.25</v>
      </c>
      <c r="AG64" s="24">
        <f t="shared" si="36"/>
        <v>5</v>
      </c>
      <c r="AH64" s="28">
        <f t="shared" si="14"/>
        <v>1</v>
      </c>
      <c r="AI64" s="29">
        <f t="shared" si="15"/>
        <v>0.25</v>
      </c>
      <c r="AJ64" s="31">
        <v>1</v>
      </c>
      <c r="AK64" s="31">
        <v>1</v>
      </c>
      <c r="AL64" s="31">
        <v>1</v>
      </c>
      <c r="AM64" s="31">
        <v>0</v>
      </c>
      <c r="AN64" s="31">
        <v>0</v>
      </c>
      <c r="AO64" s="31">
        <v>0</v>
      </c>
      <c r="AP64" s="31">
        <v>0</v>
      </c>
      <c r="AQ64" s="31">
        <v>0</v>
      </c>
      <c r="AR64" s="23">
        <f t="shared" si="16"/>
        <v>0.6</v>
      </c>
      <c r="AS64" s="24">
        <f t="shared" si="17"/>
        <v>3</v>
      </c>
      <c r="AT64" s="28">
        <f t="shared" si="18"/>
        <v>0.375</v>
      </c>
      <c r="AU64" s="28">
        <f t="shared" si="19"/>
        <v>5.6249999999999994E-2</v>
      </c>
      <c r="AV64" s="32">
        <v>75</v>
      </c>
      <c r="AW64" s="32">
        <v>70</v>
      </c>
      <c r="AX64" s="32">
        <v>70</v>
      </c>
      <c r="AY64" s="32">
        <v>75</v>
      </c>
      <c r="AZ64" s="32">
        <v>80</v>
      </c>
      <c r="BA64" s="32">
        <v>100</v>
      </c>
      <c r="BB64" s="23">
        <f t="shared" ca="1" si="20"/>
        <v>0.8</v>
      </c>
      <c r="BC64" s="33">
        <f t="shared" si="25"/>
        <v>78.333333333333329</v>
      </c>
      <c r="BD64" s="28">
        <f t="shared" si="21"/>
        <v>0.93617021276595747</v>
      </c>
      <c r="BE64" s="28">
        <f t="shared" si="22"/>
        <v>0.18723404255319151</v>
      </c>
      <c r="BF64" s="34">
        <f ca="1">Q64+AA64+AF64+AR64+BB64</f>
        <v>4.05</v>
      </c>
      <c r="BG64" s="34">
        <f>AVERAGE(AV64:AZ64)</f>
        <v>74</v>
      </c>
      <c r="BH64" s="35">
        <f>T64+AD64+AI64+AU64+BE64</f>
        <v>0.85932660097877578</v>
      </c>
      <c r="BI64" s="36" t="str">
        <f ca="1">IF(K64&lt;365,"New CE",(IF(BH64&gt;=100%,"Promote",IF(BH64&gt;=90%,"Sangat Baik",IF(BH64&gt;=80%,"Baik",IF(BH64&gt;=70%,"Lebih Dari Cukup",IF(BH64&gt;=60%,"Cukup","Kurang")))))))</f>
        <v>Baik</v>
      </c>
      <c r="BJ64" s="36" t="s">
        <v>860</v>
      </c>
      <c r="BK64" s="58" t="s">
        <v>54</v>
      </c>
      <c r="BL64" s="59" t="e">
        <v>#N/A</v>
      </c>
    </row>
    <row r="65" spans="1:64" x14ac:dyDescent="0.35">
      <c r="A65" s="19">
        <v>61</v>
      </c>
      <c r="B65" s="13" t="s">
        <v>215</v>
      </c>
      <c r="C65" s="20" t="s">
        <v>216</v>
      </c>
      <c r="D65" s="76" t="s">
        <v>54</v>
      </c>
      <c r="E65" s="13" t="s">
        <v>64</v>
      </c>
      <c r="F65" s="13" t="s">
        <v>44</v>
      </c>
      <c r="G65" s="13" t="s">
        <v>51</v>
      </c>
      <c r="H65" s="65">
        <v>44621</v>
      </c>
      <c r="I65" s="21">
        <f t="shared" ca="1" si="23"/>
        <v>45974</v>
      </c>
      <c r="J65" s="13" t="str">
        <f t="shared" ca="1" si="0"/>
        <v xml:space="preserve">3 Tahun 8 Bulan 12 Hari </v>
      </c>
      <c r="K65" s="13">
        <f t="shared" ca="1" si="24"/>
        <v>1948320</v>
      </c>
      <c r="L65" s="13">
        <v>872</v>
      </c>
      <c r="M65" s="13">
        <v>15</v>
      </c>
      <c r="N65" s="13">
        <v>5975</v>
      </c>
      <c r="O65" s="22">
        <f t="shared" si="1"/>
        <v>398.33333333333331</v>
      </c>
      <c r="P65" s="13">
        <v>395</v>
      </c>
      <c r="Q65" s="23">
        <f t="shared" si="2"/>
        <v>0.8</v>
      </c>
      <c r="R65" s="24">
        <f t="shared" si="3"/>
        <v>4</v>
      </c>
      <c r="S65" s="25">
        <f t="shared" si="39"/>
        <v>0.99163179916318001</v>
      </c>
      <c r="T65" s="25">
        <f t="shared" si="5"/>
        <v>0.19832635983263602</v>
      </c>
      <c r="U65" s="26">
        <v>6063.0807524691354</v>
      </c>
      <c r="V65" s="26">
        <v>5.486111111111111E-2</v>
      </c>
      <c r="W65" s="26">
        <v>0</v>
      </c>
      <c r="X65" s="27">
        <v>1</v>
      </c>
      <c r="Y65" s="27">
        <f t="shared" si="42"/>
        <v>1</v>
      </c>
      <c r="Z65" s="27">
        <f t="shared" si="34"/>
        <v>0</v>
      </c>
      <c r="AA65" s="23">
        <f t="shared" si="41"/>
        <v>0.8</v>
      </c>
      <c r="AB65" s="24">
        <f t="shared" si="35"/>
        <v>2</v>
      </c>
      <c r="AC65" s="28">
        <f t="shared" si="10"/>
        <v>0.66666666666666663</v>
      </c>
      <c r="AD65" s="29">
        <f t="shared" si="11"/>
        <v>0.16666666666666666</v>
      </c>
      <c r="AE65" s="30">
        <v>3.8578455284552851E-2</v>
      </c>
      <c r="AF65" s="23">
        <f t="shared" si="12"/>
        <v>1.25</v>
      </c>
      <c r="AG65" s="24">
        <f t="shared" si="36"/>
        <v>5</v>
      </c>
      <c r="AH65" s="28">
        <f t="shared" si="14"/>
        <v>1</v>
      </c>
      <c r="AI65" s="29">
        <f t="shared" si="15"/>
        <v>0.25</v>
      </c>
      <c r="AJ65" s="31">
        <v>1</v>
      </c>
      <c r="AK65" s="31">
        <v>1</v>
      </c>
      <c r="AL65" s="31">
        <v>1</v>
      </c>
      <c r="AM65" s="31">
        <v>0</v>
      </c>
      <c r="AN65" s="31">
        <v>0</v>
      </c>
      <c r="AO65" s="31">
        <v>0</v>
      </c>
      <c r="AP65" s="31">
        <v>0</v>
      </c>
      <c r="AQ65" s="31">
        <v>0</v>
      </c>
      <c r="AR65" s="23">
        <f t="shared" si="16"/>
        <v>0.6</v>
      </c>
      <c r="AS65" s="24">
        <f t="shared" si="17"/>
        <v>3</v>
      </c>
      <c r="AT65" s="28">
        <f t="shared" si="18"/>
        <v>0.375</v>
      </c>
      <c r="AU65" s="28">
        <f t="shared" si="19"/>
        <v>5.6249999999999994E-2</v>
      </c>
      <c r="AV65" s="32">
        <v>75</v>
      </c>
      <c r="AW65" s="32">
        <v>75</v>
      </c>
      <c r="AX65" s="32">
        <v>85</v>
      </c>
      <c r="AY65" s="32">
        <v>90</v>
      </c>
      <c r="AZ65" s="32">
        <v>85</v>
      </c>
      <c r="BA65" s="32">
        <v>100</v>
      </c>
      <c r="BB65" s="23">
        <f t="shared" ca="1" si="20"/>
        <v>0.8</v>
      </c>
      <c r="BC65" s="33">
        <f t="shared" si="25"/>
        <v>85</v>
      </c>
      <c r="BD65" s="28">
        <f t="shared" si="21"/>
        <v>0.94117647058823528</v>
      </c>
      <c r="BE65" s="28">
        <f t="shared" si="22"/>
        <v>0.18823529411764706</v>
      </c>
      <c r="BF65" s="34">
        <f ca="1">Q65+AA65+AF65+AR65+BB65</f>
        <v>4.25</v>
      </c>
      <c r="BG65" s="34">
        <f>AVERAGE(AV65:AZ65)</f>
        <v>82</v>
      </c>
      <c r="BH65" s="35">
        <f>T65+AD65+AI65+AU65+BE65</f>
        <v>0.85947832061694973</v>
      </c>
      <c r="BI65" s="36" t="str">
        <f ca="1">IF(K65&lt;365,"New CE",(IF(BH65&gt;=100%,"Promote",IF(BH65&gt;=90%,"Sangat Baik",IF(BH65&gt;=80%,"Baik",IF(BH65&gt;=70%,"Lebih Dari Cukup",IF(BH65&gt;=60%,"Cukup","Kurang")))))))</f>
        <v>Baik</v>
      </c>
      <c r="BJ65" s="36" t="s">
        <v>855</v>
      </c>
      <c r="BK65" s="58" t="s">
        <v>48</v>
      </c>
      <c r="BL65" s="59" t="e">
        <v>#N/A</v>
      </c>
    </row>
    <row r="66" spans="1:64" x14ac:dyDescent="0.35">
      <c r="A66" s="19">
        <v>62</v>
      </c>
      <c r="B66" s="13" t="s">
        <v>217</v>
      </c>
      <c r="C66" s="20" t="s">
        <v>218</v>
      </c>
      <c r="D66" s="76" t="s">
        <v>54</v>
      </c>
      <c r="E66" s="13" t="s">
        <v>187</v>
      </c>
      <c r="F66" s="13" t="s">
        <v>74</v>
      </c>
      <c r="G66" s="13" t="s">
        <v>61</v>
      </c>
      <c r="H66" s="65">
        <v>45131</v>
      </c>
      <c r="I66" s="21">
        <f t="shared" ca="1" si="23"/>
        <v>45974</v>
      </c>
      <c r="J66" s="13" t="str">
        <f t="shared" ca="1" si="0"/>
        <v xml:space="preserve">2 Tahun 3 Bulan 20 Hari </v>
      </c>
      <c r="K66" s="13">
        <f t="shared" ca="1" si="24"/>
        <v>1213920</v>
      </c>
      <c r="L66" s="13">
        <v>211</v>
      </c>
      <c r="M66" s="13">
        <v>4</v>
      </c>
      <c r="N66" s="13">
        <v>1415</v>
      </c>
      <c r="O66" s="22">
        <f t="shared" si="1"/>
        <v>353.75</v>
      </c>
      <c r="P66" s="13">
        <v>272</v>
      </c>
      <c r="Q66" s="23">
        <f t="shared" si="2"/>
        <v>0.6</v>
      </c>
      <c r="R66" s="24">
        <f t="shared" si="3"/>
        <v>3</v>
      </c>
      <c r="S66" s="25">
        <f t="shared" si="39"/>
        <v>0.76890459363957597</v>
      </c>
      <c r="T66" s="25">
        <f t="shared" si="5"/>
        <v>0.15378091872791522</v>
      </c>
      <c r="U66" s="26">
        <v>1890.9401731288579</v>
      </c>
      <c r="V66" s="26">
        <v>3.0917245370370373E-2</v>
      </c>
      <c r="W66" s="26">
        <v>3023.5337237654321</v>
      </c>
      <c r="X66" s="27">
        <f t="shared" ref="X66:X74" si="43">IF(U66=TIME(0,0,0), 0, IF(U66&lt;=TIME(1,30,0), 1, 0))</f>
        <v>0</v>
      </c>
      <c r="Y66" s="27">
        <f t="shared" si="42"/>
        <v>1</v>
      </c>
      <c r="Z66" s="27">
        <f t="shared" si="34"/>
        <v>1</v>
      </c>
      <c r="AA66" s="23">
        <f t="shared" si="41"/>
        <v>0.8</v>
      </c>
      <c r="AB66" s="24">
        <f t="shared" si="35"/>
        <v>2</v>
      </c>
      <c r="AC66" s="28">
        <f t="shared" si="10"/>
        <v>0.66666666666666663</v>
      </c>
      <c r="AD66" s="29">
        <f t="shared" si="11"/>
        <v>0.16666666666666666</v>
      </c>
      <c r="AE66" s="30">
        <v>6.8221122147689467E-2</v>
      </c>
      <c r="AF66" s="23">
        <f t="shared" si="12"/>
        <v>1</v>
      </c>
      <c r="AG66" s="24">
        <f t="shared" si="36"/>
        <v>4</v>
      </c>
      <c r="AH66" s="28">
        <f t="shared" si="14"/>
        <v>0.8</v>
      </c>
      <c r="AI66" s="29">
        <f t="shared" si="15"/>
        <v>0.2</v>
      </c>
      <c r="AJ66" s="31">
        <v>1</v>
      </c>
      <c r="AK66" s="31">
        <v>1</v>
      </c>
      <c r="AL66" s="31">
        <v>1</v>
      </c>
      <c r="AM66" s="31">
        <v>1</v>
      </c>
      <c r="AN66" s="31">
        <v>1</v>
      </c>
      <c r="AO66" s="31">
        <v>1</v>
      </c>
      <c r="AP66" s="31">
        <v>1</v>
      </c>
      <c r="AQ66" s="31">
        <v>1</v>
      </c>
      <c r="AR66" s="23">
        <f t="shared" si="16"/>
        <v>1</v>
      </c>
      <c r="AS66" s="24">
        <f t="shared" si="17"/>
        <v>8</v>
      </c>
      <c r="AT66" s="28">
        <f t="shared" si="18"/>
        <v>1</v>
      </c>
      <c r="AU66" s="28">
        <f t="shared" si="19"/>
        <v>0.15</v>
      </c>
      <c r="AV66" s="32">
        <v>75</v>
      </c>
      <c r="AW66" s="32">
        <v>70</v>
      </c>
      <c r="AX66" s="32">
        <v>80</v>
      </c>
      <c r="AY66" s="32">
        <v>80</v>
      </c>
      <c r="AZ66" s="32">
        <v>80</v>
      </c>
      <c r="BA66" s="32">
        <v>100</v>
      </c>
      <c r="BB66" s="23">
        <f t="shared" ca="1" si="20"/>
        <v>0.8</v>
      </c>
      <c r="BC66" s="33">
        <f t="shared" si="25"/>
        <v>80.833333333333329</v>
      </c>
      <c r="BD66" s="28">
        <f t="shared" si="21"/>
        <v>0.93814432989690721</v>
      </c>
      <c r="BE66" s="28">
        <f t="shared" si="22"/>
        <v>0.18762886597938144</v>
      </c>
      <c r="BF66" s="34">
        <f ca="1">Q66+AA66+AF66+AR66+BB66</f>
        <v>4.2</v>
      </c>
      <c r="BG66" s="34">
        <f>AVERAGE(AV66:AZ66)</f>
        <v>77</v>
      </c>
      <c r="BH66" s="35">
        <f>T66+AD66+AI66+AU66+BE66</f>
        <v>0.85807645137396327</v>
      </c>
      <c r="BI66" s="36" t="str">
        <f ca="1">IF(K66&lt;365,"New CE",(IF(BH66&gt;=100%,"Promote",IF(BH66&gt;=90%,"Sangat Baik",IF(BH66&gt;=80%,"Baik",IF(BH66&gt;=70%,"Lebih Dari Cukup",IF(BH66&gt;=60%,"Cukup","Kurang")))))))</f>
        <v>Baik</v>
      </c>
      <c r="BJ66" s="36" t="s">
        <v>860</v>
      </c>
      <c r="BK66" s="58" t="s">
        <v>54</v>
      </c>
      <c r="BL66" s="59" t="str">
        <v>Muhammad Baskara</v>
      </c>
    </row>
    <row r="67" spans="1:64" x14ac:dyDescent="0.35">
      <c r="A67" s="19">
        <v>63</v>
      </c>
      <c r="B67" s="13" t="s">
        <v>219</v>
      </c>
      <c r="C67" s="20" t="s">
        <v>220</v>
      </c>
      <c r="D67" s="76" t="s">
        <v>54</v>
      </c>
      <c r="E67" s="13" t="s">
        <v>133</v>
      </c>
      <c r="F67" s="13" t="s">
        <v>50</v>
      </c>
      <c r="G67" s="13" t="s">
        <v>55</v>
      </c>
      <c r="H67" s="65">
        <v>44882</v>
      </c>
      <c r="I67" s="21">
        <f t="shared" ca="1" si="23"/>
        <v>45974</v>
      </c>
      <c r="J67" s="13" t="str">
        <f t="shared" ca="1" si="0"/>
        <v xml:space="preserve">2 Tahun 11 Bulan 27 Hari </v>
      </c>
      <c r="K67" s="13">
        <f t="shared" ca="1" si="24"/>
        <v>1572480</v>
      </c>
      <c r="L67" s="13">
        <v>760</v>
      </c>
      <c r="M67" s="13">
        <v>13</v>
      </c>
      <c r="N67" s="13">
        <v>5863</v>
      </c>
      <c r="O67" s="22">
        <f t="shared" si="1"/>
        <v>451</v>
      </c>
      <c r="P67" s="13">
        <v>555</v>
      </c>
      <c r="Q67" s="23">
        <f t="shared" si="2"/>
        <v>1</v>
      </c>
      <c r="R67" s="24">
        <f t="shared" si="3"/>
        <v>5</v>
      </c>
      <c r="S67" s="25">
        <f t="shared" si="39"/>
        <v>1.23059866962306</v>
      </c>
      <c r="T67" s="25">
        <f t="shared" si="5"/>
        <v>0.24611973392461201</v>
      </c>
      <c r="U67" s="26">
        <v>5.1388888888888887E-2</v>
      </c>
      <c r="V67" s="26">
        <v>3.4027777777777775E-2</v>
      </c>
      <c r="W67" s="26">
        <v>0</v>
      </c>
      <c r="X67" s="27">
        <f t="shared" si="43"/>
        <v>1</v>
      </c>
      <c r="Y67" s="27">
        <f t="shared" si="42"/>
        <v>1</v>
      </c>
      <c r="Z67" s="27">
        <f t="shared" si="34"/>
        <v>0</v>
      </c>
      <c r="AA67" s="23">
        <f t="shared" si="41"/>
        <v>0.8</v>
      </c>
      <c r="AB67" s="24">
        <f t="shared" si="35"/>
        <v>2</v>
      </c>
      <c r="AC67" s="28">
        <f t="shared" si="10"/>
        <v>0.66666666666666663</v>
      </c>
      <c r="AD67" s="29">
        <f t="shared" si="11"/>
        <v>0.16666666666666666</v>
      </c>
      <c r="AE67" s="30">
        <v>6.6219061609686602E-2</v>
      </c>
      <c r="AF67" s="23">
        <f t="shared" si="12"/>
        <v>1</v>
      </c>
      <c r="AG67" s="24">
        <f t="shared" si="36"/>
        <v>4</v>
      </c>
      <c r="AH67" s="28">
        <f t="shared" si="14"/>
        <v>0.8</v>
      </c>
      <c r="AI67" s="29">
        <f t="shared" si="15"/>
        <v>0.2</v>
      </c>
      <c r="AJ67" s="31">
        <v>1</v>
      </c>
      <c r="AK67" s="31">
        <v>1</v>
      </c>
      <c r="AL67" s="31">
        <v>1</v>
      </c>
      <c r="AM67" s="31">
        <v>0</v>
      </c>
      <c r="AN67" s="31">
        <v>0</v>
      </c>
      <c r="AO67" s="31">
        <v>0</v>
      </c>
      <c r="AP67" s="31">
        <v>0</v>
      </c>
      <c r="AQ67" s="31">
        <v>0</v>
      </c>
      <c r="AR67" s="23">
        <f t="shared" si="16"/>
        <v>0.6</v>
      </c>
      <c r="AS67" s="24">
        <f t="shared" si="17"/>
        <v>3</v>
      </c>
      <c r="AT67" s="28">
        <f t="shared" si="18"/>
        <v>0.375</v>
      </c>
      <c r="AU67" s="28">
        <f t="shared" si="19"/>
        <v>5.6249999999999994E-2</v>
      </c>
      <c r="AV67" s="32">
        <v>75</v>
      </c>
      <c r="AW67" s="32">
        <v>75</v>
      </c>
      <c r="AX67" s="32">
        <v>90</v>
      </c>
      <c r="AY67" s="32">
        <v>85</v>
      </c>
      <c r="AZ67" s="32">
        <v>80</v>
      </c>
      <c r="BA67" s="32">
        <v>100</v>
      </c>
      <c r="BB67" s="23">
        <f t="shared" ca="1" si="20"/>
        <v>0.8</v>
      </c>
      <c r="BC67" s="33">
        <f t="shared" si="25"/>
        <v>84.166666666666671</v>
      </c>
      <c r="BD67" s="28">
        <f t="shared" si="21"/>
        <v>0.94059405940594054</v>
      </c>
      <c r="BE67" s="28">
        <f t="shared" si="22"/>
        <v>0.18811881188118812</v>
      </c>
      <c r="BF67" s="34">
        <f ca="1">Q67+AA67+AF67+AR67+BB67</f>
        <v>4.2</v>
      </c>
      <c r="BG67" s="34">
        <f>AVERAGE(AV67:AZ67)</f>
        <v>81</v>
      </c>
      <c r="BH67" s="35">
        <f>T67+AD67+AI67+AU67+BE67</f>
        <v>0.85715521247246684</v>
      </c>
      <c r="BI67" s="36" t="str">
        <f ca="1">IF(K67&lt;365,"New CE",(IF(BH67&gt;=100%,"Promote",IF(BH67&gt;=90%,"Sangat Baik",IF(BH67&gt;=80%,"Baik",IF(BH67&gt;=70%,"Lebih Dari Cukup",IF(BH67&gt;=60%,"Cukup","Kurang")))))))</f>
        <v>Baik</v>
      </c>
      <c r="BJ67" s="36" t="s">
        <v>855</v>
      </c>
      <c r="BK67" s="58" t="s">
        <v>48</v>
      </c>
      <c r="BL67" s="59" t="e">
        <v>#N/A</v>
      </c>
    </row>
    <row r="68" spans="1:64" x14ac:dyDescent="0.35">
      <c r="A68" s="19">
        <v>64</v>
      </c>
      <c r="B68" s="13" t="s">
        <v>221</v>
      </c>
      <c r="C68" s="20" t="s">
        <v>222</v>
      </c>
      <c r="D68" s="76" t="s">
        <v>54</v>
      </c>
      <c r="E68" s="13" t="s">
        <v>223</v>
      </c>
      <c r="F68" s="13" t="s">
        <v>74</v>
      </c>
      <c r="G68" s="13" t="s">
        <v>51</v>
      </c>
      <c r="H68" s="65">
        <v>44691</v>
      </c>
      <c r="I68" s="21">
        <f t="shared" ca="1" si="23"/>
        <v>45974</v>
      </c>
      <c r="J68" s="13" t="str">
        <f t="shared" ca="1" si="0"/>
        <v xml:space="preserve">3 Tahun 6 Bulan 3 Hari </v>
      </c>
      <c r="K68" s="13">
        <f t="shared" ca="1" si="24"/>
        <v>1847520</v>
      </c>
      <c r="L68" s="13">
        <v>426</v>
      </c>
      <c r="M68" s="13">
        <v>6</v>
      </c>
      <c r="N68" s="13">
        <v>3000</v>
      </c>
      <c r="O68" s="22">
        <f t="shared" si="1"/>
        <v>500</v>
      </c>
      <c r="P68" s="13">
        <v>488</v>
      </c>
      <c r="Q68" s="23">
        <f t="shared" si="2"/>
        <v>0.8</v>
      </c>
      <c r="R68" s="24">
        <f t="shared" si="3"/>
        <v>4</v>
      </c>
      <c r="S68" s="25">
        <f t="shared" si="39"/>
        <v>0.97599999999999998</v>
      </c>
      <c r="T68" s="25">
        <f t="shared" si="5"/>
        <v>0.19520000000000001</v>
      </c>
      <c r="U68" s="26">
        <v>6.0416666666666667E-2</v>
      </c>
      <c r="V68" s="26">
        <v>0.12708333333333333</v>
      </c>
      <c r="W68" s="26">
        <v>26961.740682870375</v>
      </c>
      <c r="X68" s="27">
        <f t="shared" si="43"/>
        <v>1</v>
      </c>
      <c r="Y68" s="27">
        <v>0</v>
      </c>
      <c r="Z68" s="27">
        <f t="shared" si="34"/>
        <v>1</v>
      </c>
      <c r="AA68" s="23">
        <f>IF(AB68=3, 1.75, IF(AB68=2, 1, IF(AB68=1, 0.75, IF(AB68=0, 0, 0))))</f>
        <v>1</v>
      </c>
      <c r="AB68" s="24">
        <f t="shared" si="35"/>
        <v>2</v>
      </c>
      <c r="AC68" s="28">
        <f t="shared" si="10"/>
        <v>0.66666666666666663</v>
      </c>
      <c r="AD68" s="29">
        <f t="shared" si="11"/>
        <v>0.16666666666666666</v>
      </c>
      <c r="AE68" s="30">
        <v>3.6959870280182786E-2</v>
      </c>
      <c r="AF68" s="23">
        <f t="shared" si="12"/>
        <v>1.25</v>
      </c>
      <c r="AG68" s="24">
        <f t="shared" si="36"/>
        <v>5</v>
      </c>
      <c r="AH68" s="28">
        <f t="shared" si="14"/>
        <v>1</v>
      </c>
      <c r="AI68" s="29">
        <f t="shared" si="15"/>
        <v>0.25</v>
      </c>
      <c r="AJ68" s="31">
        <v>1</v>
      </c>
      <c r="AK68" s="31">
        <v>1</v>
      </c>
      <c r="AL68" s="31">
        <v>1</v>
      </c>
      <c r="AM68" s="31">
        <v>0</v>
      </c>
      <c r="AN68" s="31">
        <v>0</v>
      </c>
      <c r="AO68" s="31">
        <v>0</v>
      </c>
      <c r="AP68" s="31">
        <v>0</v>
      </c>
      <c r="AQ68" s="31">
        <v>0</v>
      </c>
      <c r="AR68" s="23">
        <f t="shared" si="16"/>
        <v>0.6</v>
      </c>
      <c r="AS68" s="24">
        <f t="shared" si="17"/>
        <v>3</v>
      </c>
      <c r="AT68" s="28">
        <f t="shared" si="18"/>
        <v>0.375</v>
      </c>
      <c r="AU68" s="28">
        <f t="shared" si="19"/>
        <v>5.6249999999999994E-2</v>
      </c>
      <c r="AV68" s="32">
        <v>75</v>
      </c>
      <c r="AW68" s="32">
        <v>75</v>
      </c>
      <c r="AX68" s="32">
        <v>85</v>
      </c>
      <c r="AY68" s="32">
        <v>90</v>
      </c>
      <c r="AZ68" s="32">
        <v>85</v>
      </c>
      <c r="BA68" s="32">
        <v>100</v>
      </c>
      <c r="BB68" s="23">
        <f t="shared" ca="1" si="20"/>
        <v>0.8</v>
      </c>
      <c r="BC68" s="33">
        <f t="shared" si="25"/>
        <v>85</v>
      </c>
      <c r="BD68" s="28">
        <f t="shared" si="21"/>
        <v>0.94117647058823528</v>
      </c>
      <c r="BE68" s="28">
        <f t="shared" si="22"/>
        <v>0.18823529411764706</v>
      </c>
      <c r="BF68" s="34">
        <f ca="1">Q68+AA68+AF68+AR68+BB68</f>
        <v>4.45</v>
      </c>
      <c r="BG68" s="34">
        <f>AVERAGE(AV68:AZ68)</f>
        <v>82</v>
      </c>
      <c r="BH68" s="35">
        <f>T68+AD68+AI68+AU68+BE68</f>
        <v>0.85635196078431375</v>
      </c>
      <c r="BI68" s="36" t="str">
        <f ca="1">IF(K68&lt;365,"New CE",(IF(BH68&gt;=100%,"Promote",IF(BH68&gt;=90%,"Sangat Baik",IF(BH68&gt;=80%,"Baik",IF(BH68&gt;=70%,"Lebih Dari Cukup",IF(BH68&gt;=60%,"Cukup","Kurang")))))))</f>
        <v>Baik</v>
      </c>
      <c r="BJ68" s="36" t="s">
        <v>855</v>
      </c>
      <c r="BK68" s="58" t="s">
        <v>48</v>
      </c>
      <c r="BL68" s="59" t="str">
        <v>Rahmad Ade Kurniawan</v>
      </c>
    </row>
    <row r="69" spans="1:64" x14ac:dyDescent="0.35">
      <c r="A69" s="19">
        <v>65</v>
      </c>
      <c r="B69" s="13" t="s">
        <v>224</v>
      </c>
      <c r="C69" s="20" t="s">
        <v>225</v>
      </c>
      <c r="D69" s="76" t="s">
        <v>54</v>
      </c>
      <c r="E69" s="13" t="s">
        <v>226</v>
      </c>
      <c r="F69" s="13" t="s">
        <v>74</v>
      </c>
      <c r="G69" s="13" t="s">
        <v>61</v>
      </c>
      <c r="H69" s="65">
        <v>45173</v>
      </c>
      <c r="I69" s="21">
        <f t="shared" ca="1" si="23"/>
        <v>45974</v>
      </c>
      <c r="J69" s="13" t="str">
        <f t="shared" ref="J69:J131" ca="1" si="44">DATEDIF(H69,NOW(),"Y") &amp; " Tahun " &amp; DATEDIF(H69,NOW(),"YM") &amp; " Bulan " &amp; DATEDIF(H69,NOW(),"MD") &amp; " Hari "</f>
        <v xml:space="preserve">2 Tahun 2 Bulan 9 Hari </v>
      </c>
      <c r="K69" s="13">
        <f t="shared" ca="1" si="24"/>
        <v>1153440</v>
      </c>
      <c r="L69" s="13">
        <v>283</v>
      </c>
      <c r="M69" s="13">
        <v>4</v>
      </c>
      <c r="N69" s="13">
        <v>1878</v>
      </c>
      <c r="O69" s="22">
        <f t="shared" ref="O69:O131" si="45">N69/M69</f>
        <v>469.5</v>
      </c>
      <c r="P69" s="13">
        <v>457</v>
      </c>
      <c r="Q69" s="23">
        <f t="shared" ref="Q69:Q131" si="46">IF(R69=5, 1, IF(R69=4, 0.8, IF(R69=3, 0.6, IF(R69=2, 0.4, IF(R69=1, 0.2, 0)))))</f>
        <v>0.8</v>
      </c>
      <c r="R69" s="24">
        <f t="shared" ref="R69:R131" si="47">IF(S69&gt;=100%, 5, IF(S69&gt;=80%, 4, IF(S69&gt;=60%, 3, IF(S69&gt;=40%, 2, IF(S69&gt;=0%, 1, "")))))</f>
        <v>4</v>
      </c>
      <c r="S69" s="25">
        <f t="shared" si="39"/>
        <v>0.97337593184238547</v>
      </c>
      <c r="T69" s="25">
        <f t="shared" ref="T69:T131" si="48">20%*S69</f>
        <v>0.19467518636847711</v>
      </c>
      <c r="U69" s="26">
        <v>1069.2862947984752</v>
      </c>
      <c r="V69" s="26">
        <v>7.1934799382716061E-2</v>
      </c>
      <c r="W69" s="26">
        <v>22768.934560185186</v>
      </c>
      <c r="X69" s="27">
        <f t="shared" si="43"/>
        <v>0</v>
      </c>
      <c r="Y69" s="27">
        <f t="shared" ref="Y69:Y99" si="49">IF(V69=TIME(0,0,0), 0, IF(V69&lt;=TIME(3,0,0), 1, 0))</f>
        <v>1</v>
      </c>
      <c r="Z69" s="27">
        <f t="shared" si="34"/>
        <v>1</v>
      </c>
      <c r="AA69" s="23">
        <f t="shared" ref="AA69:AA90" si="50">IF(AB69=3, 1.25, IF(AB69=2, 0.8, IF(AB69=1, 0.4, IF(AB69=0, 0, 0))))</f>
        <v>0.8</v>
      </c>
      <c r="AB69" s="24">
        <f t="shared" ref="AB69:AB99" si="51">X69+Y69+Z69</f>
        <v>2</v>
      </c>
      <c r="AC69" s="28">
        <f t="shared" ref="AC69:AC131" si="52">AB69/3</f>
        <v>0.66666666666666663</v>
      </c>
      <c r="AD69" s="29">
        <f t="shared" ref="AD69:AD131" si="53">25%*AC69</f>
        <v>0.16666666666666666</v>
      </c>
      <c r="AE69" s="30">
        <v>4.0849224224224226E-2</v>
      </c>
      <c r="AF69" s="23">
        <f t="shared" ref="AF69:AF131" si="54">IF(AG69=5, 1.25, IF(AG69=4, 1, IF(AG69=3, 0.75, IF(AG69=2, 0.5, IF(AG69=1, 0.25, 0)))))</f>
        <v>1.25</v>
      </c>
      <c r="AG69" s="24">
        <f t="shared" ref="AG69:AG99" si="55">IF(AE69="",0,IF(AE69&lt;=TIME(1,0,0),5,IF(AE69&lt;=TIME(2,0,0),4,IF(AE69&lt;=TIME(3,0,0),3,IF(AE69&lt;=TIME(4,0,0),2,IF(AE69&lt;TIME(8,0,0),1,0))))))</f>
        <v>5</v>
      </c>
      <c r="AH69" s="28">
        <f t="shared" ref="AH69:AH131" si="56">IF(AE69=TIME(0,0,0),0%,AG69/5)</f>
        <v>1</v>
      </c>
      <c r="AI69" s="29">
        <f t="shared" ref="AI69:AI131" si="57">25%*AH69</f>
        <v>0.25</v>
      </c>
      <c r="AJ69" s="31">
        <v>1</v>
      </c>
      <c r="AK69" s="31">
        <v>1</v>
      </c>
      <c r="AL69" s="31">
        <v>0</v>
      </c>
      <c r="AM69" s="31">
        <v>0</v>
      </c>
      <c r="AN69" s="31">
        <v>0</v>
      </c>
      <c r="AO69" s="31">
        <v>1</v>
      </c>
      <c r="AP69" s="31">
        <v>0</v>
      </c>
      <c r="AQ69" s="31">
        <v>0</v>
      </c>
      <c r="AR69" s="23">
        <f t="shared" ref="AR69:AR131" si="58">IF(AS69&gt;=5, 1, IF(AS69=4, 0.8, IF(AS69=3, 0.6, IF(AS69=2, 0.4, IF(AS69=1, 0.2, 0)))))</f>
        <v>0.6</v>
      </c>
      <c r="AS69" s="24">
        <f t="shared" ref="AS69:AS131" si="59">SUM(AJ69:AQ69)</f>
        <v>3</v>
      </c>
      <c r="AT69" s="28">
        <f t="shared" ref="AT69:AT131" si="60">AS69/8</f>
        <v>0.375</v>
      </c>
      <c r="AU69" s="28">
        <f t="shared" ref="AU69:AU131" si="61">15%*AT69</f>
        <v>5.6249999999999994E-2</v>
      </c>
      <c r="AV69" s="32">
        <v>75</v>
      </c>
      <c r="AW69" s="32">
        <v>85</v>
      </c>
      <c r="AX69" s="32">
        <v>80</v>
      </c>
      <c r="AY69" s="32">
        <v>80</v>
      </c>
      <c r="AZ69" s="32">
        <v>80</v>
      </c>
      <c r="BA69" s="32">
        <v>100</v>
      </c>
      <c r="BB69" s="23">
        <f t="shared" ref="BB69:BB131" ca="1" si="62">IF(BI69&gt;="Sangat Baik", 1, IF(BI69&gt;="Baik", 0.8, IF(BI69&gt;="Cukup", 0.6, IF(BI69&gt;="Kurang", 0.4, IF(BI69&gt;="Sangat Kurang", 0.2, 0)))))</f>
        <v>0.8</v>
      </c>
      <c r="BC69" s="33">
        <f t="shared" si="25"/>
        <v>83.333333333333329</v>
      </c>
      <c r="BD69" s="28">
        <f t="shared" ref="BD69:BD131" si="63">100%-(5/BC69)</f>
        <v>0.94</v>
      </c>
      <c r="BE69" s="28">
        <f t="shared" ref="BE69:BE131" si="64">20%*BD69</f>
        <v>0.188</v>
      </c>
      <c r="BF69" s="34">
        <f ca="1">Q69+AA69+AF69+AR69+BB69</f>
        <v>4.25</v>
      </c>
      <c r="BG69" s="34">
        <f>AVERAGE(AV69:AZ69)</f>
        <v>80</v>
      </c>
      <c r="BH69" s="35">
        <f>T69+AD69+AI69+AU69+BE69</f>
        <v>0.85559185303514385</v>
      </c>
      <c r="BI69" s="36" t="str">
        <f ca="1">IF(K69&lt;365,"New CE",(IF(BH69&gt;=100%,"Promote",IF(BH69&gt;=90%,"Sangat Baik",IF(BH69&gt;=80%,"Baik",IF(BH69&gt;=70%,"Lebih Dari Cukup",IF(BH69&gt;=60%,"Cukup","Kurang")))))))</f>
        <v>Baik</v>
      </c>
      <c r="BJ69" s="36" t="s">
        <v>860</v>
      </c>
      <c r="BK69" s="58" t="s">
        <v>54</v>
      </c>
      <c r="BL69" s="59" t="str">
        <v>Lukmanul Hakim</v>
      </c>
    </row>
    <row r="70" spans="1:64" x14ac:dyDescent="0.35">
      <c r="A70" s="19">
        <v>66</v>
      </c>
      <c r="B70" s="13" t="s">
        <v>228</v>
      </c>
      <c r="C70" s="20" t="s">
        <v>229</v>
      </c>
      <c r="D70" s="76" t="s">
        <v>48</v>
      </c>
      <c r="E70" s="13" t="s">
        <v>230</v>
      </c>
      <c r="F70" s="13" t="s">
        <v>44</v>
      </c>
      <c r="G70" s="13" t="s">
        <v>45</v>
      </c>
      <c r="H70" s="65">
        <v>43472</v>
      </c>
      <c r="I70" s="21">
        <f t="shared" ref="I70:I133" ca="1" si="65">TODAY()</f>
        <v>45974</v>
      </c>
      <c r="J70" s="13" t="str">
        <f t="shared" ca="1" si="44"/>
        <v xml:space="preserve">6 Tahun 10 Bulan 6 Hari </v>
      </c>
      <c r="K70" s="13">
        <f t="shared" ref="K70:K133" ca="1" si="66">1440*(I70-H70)</f>
        <v>3602880</v>
      </c>
      <c r="L70" s="13">
        <v>332</v>
      </c>
      <c r="M70" s="13">
        <v>6</v>
      </c>
      <c r="N70" s="13">
        <v>2281</v>
      </c>
      <c r="O70" s="22">
        <f t="shared" si="45"/>
        <v>380.16666666666669</v>
      </c>
      <c r="P70" s="13">
        <v>393</v>
      </c>
      <c r="Q70" s="23">
        <f t="shared" si="46"/>
        <v>1</v>
      </c>
      <c r="R70" s="24">
        <f t="shared" si="47"/>
        <v>5</v>
      </c>
      <c r="S70" s="25">
        <f t="shared" ref="S70:S133" si="67">P70/O70</f>
        <v>1.0337571240683909</v>
      </c>
      <c r="T70" s="25">
        <f t="shared" si="48"/>
        <v>0.2067514248136782</v>
      </c>
      <c r="U70" s="26">
        <v>0.05</v>
      </c>
      <c r="V70" s="26">
        <v>3247.2640608465599</v>
      </c>
      <c r="W70" s="26">
        <v>45485.925856481481</v>
      </c>
      <c r="X70" s="27">
        <f t="shared" si="43"/>
        <v>1</v>
      </c>
      <c r="Y70" s="27">
        <f t="shared" si="49"/>
        <v>0</v>
      </c>
      <c r="Z70" s="27">
        <f t="shared" si="34"/>
        <v>1</v>
      </c>
      <c r="AA70" s="23">
        <f t="shared" si="50"/>
        <v>0.8</v>
      </c>
      <c r="AB70" s="24">
        <f t="shared" si="51"/>
        <v>2</v>
      </c>
      <c r="AC70" s="28">
        <f t="shared" si="52"/>
        <v>0.66666666666666663</v>
      </c>
      <c r="AD70" s="29">
        <f t="shared" si="53"/>
        <v>0.16666666666666666</v>
      </c>
      <c r="AE70" s="30">
        <v>6.2532348053181391E-2</v>
      </c>
      <c r="AF70" s="23">
        <f t="shared" si="54"/>
        <v>1</v>
      </c>
      <c r="AG70" s="24">
        <f t="shared" si="55"/>
        <v>4</v>
      </c>
      <c r="AH70" s="28">
        <f t="shared" si="56"/>
        <v>0.8</v>
      </c>
      <c r="AI70" s="29">
        <f t="shared" si="57"/>
        <v>0.2</v>
      </c>
      <c r="AJ70" s="31">
        <v>1</v>
      </c>
      <c r="AK70" s="31">
        <v>1</v>
      </c>
      <c r="AL70" s="31">
        <v>1</v>
      </c>
      <c r="AM70" s="31">
        <v>0</v>
      </c>
      <c r="AN70" s="31">
        <v>0</v>
      </c>
      <c r="AO70" s="31">
        <v>1</v>
      </c>
      <c r="AP70" s="31">
        <v>0</v>
      </c>
      <c r="AQ70" s="31">
        <v>1</v>
      </c>
      <c r="AR70" s="23">
        <f t="shared" si="58"/>
        <v>1</v>
      </c>
      <c r="AS70" s="24">
        <f t="shared" si="59"/>
        <v>5</v>
      </c>
      <c r="AT70" s="28">
        <f t="shared" si="60"/>
        <v>0.625</v>
      </c>
      <c r="AU70" s="28">
        <f t="shared" si="61"/>
        <v>9.375E-2</v>
      </c>
      <c r="AV70" s="32">
        <v>75</v>
      </c>
      <c r="AW70" s="32">
        <v>75</v>
      </c>
      <c r="AX70" s="32">
        <v>90</v>
      </c>
      <c r="AY70" s="32">
        <v>90</v>
      </c>
      <c r="AZ70" s="32">
        <v>90</v>
      </c>
      <c r="BA70" s="32">
        <v>100</v>
      </c>
      <c r="BB70" s="23">
        <f t="shared" ca="1" si="62"/>
        <v>0.8</v>
      </c>
      <c r="BC70" s="33">
        <f t="shared" ref="BC70:BC133" si="68">AVERAGE(AV70:BA70)</f>
        <v>86.666666666666671</v>
      </c>
      <c r="BD70" s="28">
        <f t="shared" si="63"/>
        <v>0.94230769230769229</v>
      </c>
      <c r="BE70" s="28">
        <f t="shared" si="64"/>
        <v>0.18846153846153846</v>
      </c>
      <c r="BF70" s="34">
        <f ca="1">Q70+AA70+AF70+AR70+BB70</f>
        <v>4.5999999999999996</v>
      </c>
      <c r="BG70" s="34">
        <f>AVERAGE(AV70:AZ70)</f>
        <v>84</v>
      </c>
      <c r="BH70" s="35">
        <f>T70+AD70+AI70+AU70+BE70</f>
        <v>0.8556296299418833</v>
      </c>
      <c r="BI70" s="36" t="str">
        <f ca="1">IF(K70&lt;365,"New CE",(IF(BH70&gt;=100%,"Promote",IF(BH70&gt;=90%,"Sangat Baik",IF(BH70&gt;=80%,"Baik",IF(BH70&gt;=70%,"Lebih Dari Cukup",IF(BH70&gt;=60%,"Cukup","Kurang")))))))</f>
        <v>Baik</v>
      </c>
      <c r="BJ70" s="36" t="s">
        <v>855</v>
      </c>
      <c r="BK70" s="58" t="s">
        <v>851</v>
      </c>
      <c r="BL70" s="59" t="e">
        <v>#N/A</v>
      </c>
    </row>
    <row r="71" spans="1:64" x14ac:dyDescent="0.35">
      <c r="A71" s="19">
        <v>67</v>
      </c>
      <c r="B71" s="13" t="s">
        <v>231</v>
      </c>
      <c r="C71" s="20" t="s">
        <v>232</v>
      </c>
      <c r="D71" s="76" t="s">
        <v>42</v>
      </c>
      <c r="E71" s="13" t="s">
        <v>43</v>
      </c>
      <c r="F71" s="13" t="s">
        <v>44</v>
      </c>
      <c r="G71" s="13" t="s">
        <v>45</v>
      </c>
      <c r="H71" s="65">
        <v>42646</v>
      </c>
      <c r="I71" s="21">
        <f t="shared" ca="1" si="65"/>
        <v>45974</v>
      </c>
      <c r="J71" s="13" t="str">
        <f t="shared" ca="1" si="44"/>
        <v xml:space="preserve">9 Tahun 1 Bulan 10 Hari </v>
      </c>
      <c r="K71" s="13">
        <f t="shared" ca="1" si="66"/>
        <v>4792320</v>
      </c>
      <c r="L71" s="13">
        <v>1384</v>
      </c>
      <c r="M71" s="13">
        <v>22</v>
      </c>
      <c r="N71" s="13">
        <v>6775</v>
      </c>
      <c r="O71" s="22">
        <f t="shared" si="45"/>
        <v>307.95454545454544</v>
      </c>
      <c r="P71" s="13">
        <v>376</v>
      </c>
      <c r="Q71" s="23">
        <f t="shared" si="46"/>
        <v>1</v>
      </c>
      <c r="R71" s="24">
        <f t="shared" si="47"/>
        <v>5</v>
      </c>
      <c r="S71" s="25">
        <f t="shared" si="67"/>
        <v>1.2209594095940961</v>
      </c>
      <c r="T71" s="25">
        <f t="shared" si="48"/>
        <v>0.24419188191881924</v>
      </c>
      <c r="U71" s="26">
        <v>4717.0319594033872</v>
      </c>
      <c r="V71" s="26">
        <v>3.911265432098765E-2</v>
      </c>
      <c r="W71" s="26">
        <v>11327.520306712962</v>
      </c>
      <c r="X71" s="27">
        <f t="shared" si="43"/>
        <v>0</v>
      </c>
      <c r="Y71" s="27">
        <f t="shared" si="49"/>
        <v>1</v>
      </c>
      <c r="Z71" s="27">
        <f t="shared" si="34"/>
        <v>1</v>
      </c>
      <c r="AA71" s="23">
        <f t="shared" si="50"/>
        <v>0.8</v>
      </c>
      <c r="AB71" s="24">
        <f t="shared" si="51"/>
        <v>2</v>
      </c>
      <c r="AC71" s="28">
        <f t="shared" si="52"/>
        <v>0.66666666666666663</v>
      </c>
      <c r="AD71" s="29">
        <f t="shared" si="53"/>
        <v>0.16666666666666666</v>
      </c>
      <c r="AE71" s="30">
        <v>4.7800780199085291E-2</v>
      </c>
      <c r="AF71" s="23">
        <f t="shared" si="54"/>
        <v>1</v>
      </c>
      <c r="AG71" s="24">
        <f t="shared" si="55"/>
        <v>4</v>
      </c>
      <c r="AH71" s="28">
        <f t="shared" si="56"/>
        <v>0.8</v>
      </c>
      <c r="AI71" s="29">
        <f t="shared" si="57"/>
        <v>0.2</v>
      </c>
      <c r="AJ71" s="31">
        <v>1</v>
      </c>
      <c r="AK71" s="31">
        <v>1</v>
      </c>
      <c r="AL71" s="31">
        <v>1</v>
      </c>
      <c r="AM71" s="31">
        <v>0</v>
      </c>
      <c r="AN71" s="31">
        <v>0</v>
      </c>
      <c r="AO71" s="31">
        <v>0</v>
      </c>
      <c r="AP71" s="31">
        <v>0</v>
      </c>
      <c r="AQ71" s="31">
        <v>0</v>
      </c>
      <c r="AR71" s="23">
        <f t="shared" si="58"/>
        <v>0.6</v>
      </c>
      <c r="AS71" s="24">
        <f t="shared" si="59"/>
        <v>3</v>
      </c>
      <c r="AT71" s="28">
        <f t="shared" si="60"/>
        <v>0.375</v>
      </c>
      <c r="AU71" s="28">
        <f t="shared" si="61"/>
        <v>5.6249999999999994E-2</v>
      </c>
      <c r="AV71" s="32">
        <v>85</v>
      </c>
      <c r="AW71" s="32">
        <v>80</v>
      </c>
      <c r="AX71" s="32">
        <v>80</v>
      </c>
      <c r="AY71" s="32">
        <v>80</v>
      </c>
      <c r="AZ71" s="32">
        <v>80</v>
      </c>
      <c r="BA71" s="32">
        <v>100</v>
      </c>
      <c r="BB71" s="23">
        <f t="shared" ca="1" si="62"/>
        <v>0.8</v>
      </c>
      <c r="BC71" s="33">
        <f t="shared" si="68"/>
        <v>84.166666666666671</v>
      </c>
      <c r="BD71" s="28">
        <f t="shared" si="63"/>
        <v>0.94059405940594054</v>
      </c>
      <c r="BE71" s="28">
        <f t="shared" si="64"/>
        <v>0.18811881188118812</v>
      </c>
      <c r="BF71" s="34">
        <f ca="1">Q71+AA71+AF71+AR71+BB71</f>
        <v>4.2</v>
      </c>
      <c r="BG71" s="34">
        <f>AVERAGE(AV71:AZ71)</f>
        <v>81</v>
      </c>
      <c r="BH71" s="35">
        <f>T71+AD71+AI71+AU71+BE71</f>
        <v>0.85522736046667402</v>
      </c>
      <c r="BI71" s="36" t="str">
        <f ca="1">IF(K71&lt;365,"New CE",(IF(BH71&gt;=100%,"Promote",IF(BH71&gt;=90%,"Sangat Baik",IF(BH71&gt;=80%,"Baik",IF(BH71&gt;=70%,"Lebih Dari Cukup",IF(BH71&gt;=60%,"Cukup","Kurang")))))))</f>
        <v>Baik</v>
      </c>
      <c r="BJ71" s="36" t="s">
        <v>860</v>
      </c>
      <c r="BK71" s="58" t="s">
        <v>42</v>
      </c>
      <c r="BL71" s="59" t="e">
        <v>#N/A</v>
      </c>
    </row>
    <row r="72" spans="1:64" x14ac:dyDescent="0.35">
      <c r="A72" s="19">
        <v>68</v>
      </c>
      <c r="B72" s="13" t="s">
        <v>233</v>
      </c>
      <c r="C72" s="20" t="s">
        <v>234</v>
      </c>
      <c r="D72" s="76" t="s">
        <v>42</v>
      </c>
      <c r="E72" s="13" t="s">
        <v>95</v>
      </c>
      <c r="F72" s="13" t="s">
        <v>50</v>
      </c>
      <c r="G72" s="13" t="s">
        <v>51</v>
      </c>
      <c r="H72" s="65">
        <v>44502</v>
      </c>
      <c r="I72" s="21">
        <f t="shared" ca="1" si="65"/>
        <v>45974</v>
      </c>
      <c r="J72" s="13" t="str">
        <f t="shared" ca="1" si="44"/>
        <v xml:space="preserve">4 Tahun 0 Bulan 11 Hari </v>
      </c>
      <c r="K72" s="13">
        <f t="shared" ca="1" si="66"/>
        <v>2119680</v>
      </c>
      <c r="L72" s="13">
        <v>897</v>
      </c>
      <c r="M72" s="13">
        <v>13</v>
      </c>
      <c r="N72" s="13">
        <v>6212</v>
      </c>
      <c r="O72" s="22">
        <f t="shared" si="45"/>
        <v>477.84615384615387</v>
      </c>
      <c r="P72" s="13">
        <v>417</v>
      </c>
      <c r="Q72" s="23">
        <f t="shared" si="46"/>
        <v>0.8</v>
      </c>
      <c r="R72" s="24">
        <f t="shared" si="47"/>
        <v>4</v>
      </c>
      <c r="S72" s="25">
        <f t="shared" si="67"/>
        <v>0.87266580811332906</v>
      </c>
      <c r="T72" s="25">
        <f t="shared" si="48"/>
        <v>0.17453316162266583</v>
      </c>
      <c r="U72" s="26">
        <v>23886.245619113201</v>
      </c>
      <c r="V72" s="26">
        <v>9.2650462962962962E-2</v>
      </c>
      <c r="W72" s="26">
        <v>45446.695318287035</v>
      </c>
      <c r="X72" s="27">
        <f t="shared" si="43"/>
        <v>0</v>
      </c>
      <c r="Y72" s="27">
        <f t="shared" si="49"/>
        <v>1</v>
      </c>
      <c r="Z72" s="27">
        <f t="shared" si="34"/>
        <v>1</v>
      </c>
      <c r="AA72" s="23">
        <f t="shared" si="50"/>
        <v>0.8</v>
      </c>
      <c r="AB72" s="24">
        <f t="shared" si="51"/>
        <v>2</v>
      </c>
      <c r="AC72" s="28">
        <f t="shared" si="52"/>
        <v>0.66666666666666663</v>
      </c>
      <c r="AD72" s="29">
        <f t="shared" si="53"/>
        <v>0.16666666666666666</v>
      </c>
      <c r="AE72" s="30">
        <v>2.6476631393298061E-2</v>
      </c>
      <c r="AF72" s="23">
        <f t="shared" si="54"/>
        <v>1.25</v>
      </c>
      <c r="AG72" s="24">
        <f t="shared" si="55"/>
        <v>5</v>
      </c>
      <c r="AH72" s="28">
        <f t="shared" si="56"/>
        <v>1</v>
      </c>
      <c r="AI72" s="29">
        <f t="shared" si="57"/>
        <v>0.25</v>
      </c>
      <c r="AJ72" s="31">
        <v>1</v>
      </c>
      <c r="AK72" s="31">
        <v>1</v>
      </c>
      <c r="AL72" s="31">
        <v>1</v>
      </c>
      <c r="AM72" s="31">
        <v>0</v>
      </c>
      <c r="AN72" s="31">
        <v>1</v>
      </c>
      <c r="AO72" s="31">
        <v>0</v>
      </c>
      <c r="AP72" s="31">
        <v>0</v>
      </c>
      <c r="AQ72" s="31">
        <v>0</v>
      </c>
      <c r="AR72" s="23">
        <f t="shared" si="58"/>
        <v>0.8</v>
      </c>
      <c r="AS72" s="24">
        <f t="shared" si="59"/>
        <v>4</v>
      </c>
      <c r="AT72" s="28">
        <f t="shared" si="60"/>
        <v>0.5</v>
      </c>
      <c r="AU72" s="28">
        <f t="shared" si="61"/>
        <v>7.4999999999999997E-2</v>
      </c>
      <c r="AV72" s="32">
        <v>85</v>
      </c>
      <c r="AW72" s="32">
        <v>90</v>
      </c>
      <c r="AX72" s="32">
        <v>75</v>
      </c>
      <c r="AY72" s="32">
        <v>90</v>
      </c>
      <c r="AZ72" s="32">
        <v>90</v>
      </c>
      <c r="BA72" s="32">
        <v>100</v>
      </c>
      <c r="BB72" s="23">
        <f t="shared" ca="1" si="62"/>
        <v>0.8</v>
      </c>
      <c r="BC72" s="33">
        <f t="shared" si="68"/>
        <v>88.333333333333329</v>
      </c>
      <c r="BD72" s="28">
        <f t="shared" si="63"/>
        <v>0.94339622641509435</v>
      </c>
      <c r="BE72" s="28">
        <f t="shared" si="64"/>
        <v>0.18867924528301888</v>
      </c>
      <c r="BF72" s="34">
        <f ca="1">Q72+AA72+AF72+AR72+BB72</f>
        <v>4.45</v>
      </c>
      <c r="BG72" s="34">
        <f>AVERAGE(AV72:AZ72)</f>
        <v>86</v>
      </c>
      <c r="BH72" s="35">
        <f>T72+AD72+AI72+AU72+BE72</f>
        <v>0.85487907357235127</v>
      </c>
      <c r="BI72" s="36" t="str">
        <f ca="1">IF(K72&lt;365,"New CE",(IF(BH72&gt;=100%,"Promote",IF(BH72&gt;=90%,"Sangat Baik",IF(BH72&gt;=80%,"Baik",IF(BH72&gt;=70%,"Lebih Dari Cukup",IF(BH72&gt;=60%,"Cukup","Kurang")))))))</f>
        <v>Baik</v>
      </c>
      <c r="BJ72" s="36" t="s">
        <v>860</v>
      </c>
      <c r="BK72" s="58" t="s">
        <v>42</v>
      </c>
      <c r="BL72" s="59" t="e">
        <v>#N/A</v>
      </c>
    </row>
    <row r="73" spans="1:64" x14ac:dyDescent="0.35">
      <c r="A73" s="19">
        <v>69</v>
      </c>
      <c r="B73" s="13" t="s">
        <v>235</v>
      </c>
      <c r="C73" s="20" t="s">
        <v>236</v>
      </c>
      <c r="D73" s="76" t="s">
        <v>48</v>
      </c>
      <c r="E73" s="13" t="s">
        <v>43</v>
      </c>
      <c r="F73" s="13" t="s">
        <v>44</v>
      </c>
      <c r="G73" s="13" t="s">
        <v>55</v>
      </c>
      <c r="H73" s="65">
        <v>44466</v>
      </c>
      <c r="I73" s="21">
        <f t="shared" ca="1" si="65"/>
        <v>45974</v>
      </c>
      <c r="J73" s="13" t="str">
        <f t="shared" ca="1" si="44"/>
        <v xml:space="preserve">4 Tahun 1 Bulan 17 Hari </v>
      </c>
      <c r="K73" s="13">
        <f t="shared" ca="1" si="66"/>
        <v>2171520</v>
      </c>
      <c r="L73" s="13">
        <v>1384</v>
      </c>
      <c r="M73" s="13">
        <v>22</v>
      </c>
      <c r="N73" s="13">
        <v>6775</v>
      </c>
      <c r="O73" s="22">
        <f t="shared" si="45"/>
        <v>307.95454545454544</v>
      </c>
      <c r="P73" s="13">
        <v>393</v>
      </c>
      <c r="Q73" s="23">
        <f t="shared" si="46"/>
        <v>1</v>
      </c>
      <c r="R73" s="24">
        <f t="shared" si="47"/>
        <v>5</v>
      </c>
      <c r="S73" s="25">
        <f t="shared" si="67"/>
        <v>1.2761623616236164</v>
      </c>
      <c r="T73" s="25">
        <f t="shared" si="48"/>
        <v>0.25523247232472329</v>
      </c>
      <c r="U73" s="26">
        <v>2376.5931144849919</v>
      </c>
      <c r="V73" s="26">
        <v>6.8275462962962968E-2</v>
      </c>
      <c r="W73" s="26">
        <v>0</v>
      </c>
      <c r="X73" s="27">
        <f t="shared" si="43"/>
        <v>0</v>
      </c>
      <c r="Y73" s="27">
        <f t="shared" si="49"/>
        <v>1</v>
      </c>
      <c r="Z73" s="27">
        <f t="shared" si="34"/>
        <v>0</v>
      </c>
      <c r="AA73" s="23">
        <f t="shared" si="50"/>
        <v>0.4</v>
      </c>
      <c r="AB73" s="24">
        <f t="shared" si="51"/>
        <v>1</v>
      </c>
      <c r="AC73" s="28">
        <f t="shared" si="52"/>
        <v>0.33333333333333331</v>
      </c>
      <c r="AD73" s="29">
        <f t="shared" si="53"/>
        <v>8.3333333333333329E-2</v>
      </c>
      <c r="AE73" s="30">
        <v>2.8134121503316442E-2</v>
      </c>
      <c r="AF73" s="23">
        <f t="shared" si="54"/>
        <v>1.25</v>
      </c>
      <c r="AG73" s="24">
        <f t="shared" si="55"/>
        <v>5</v>
      </c>
      <c r="AH73" s="28">
        <f t="shared" si="56"/>
        <v>1</v>
      </c>
      <c r="AI73" s="29">
        <f t="shared" si="57"/>
        <v>0.25</v>
      </c>
      <c r="AJ73" s="31">
        <v>1</v>
      </c>
      <c r="AK73" s="31">
        <v>1</v>
      </c>
      <c r="AL73" s="31">
        <v>1</v>
      </c>
      <c r="AM73" s="31">
        <v>0</v>
      </c>
      <c r="AN73" s="31">
        <v>0</v>
      </c>
      <c r="AO73" s="31">
        <v>0</v>
      </c>
      <c r="AP73" s="31">
        <v>0</v>
      </c>
      <c r="AQ73" s="31">
        <v>1</v>
      </c>
      <c r="AR73" s="23">
        <f t="shared" si="58"/>
        <v>0.8</v>
      </c>
      <c r="AS73" s="24">
        <f t="shared" si="59"/>
        <v>4</v>
      </c>
      <c r="AT73" s="28">
        <f t="shared" si="60"/>
        <v>0.5</v>
      </c>
      <c r="AU73" s="28">
        <f t="shared" si="61"/>
        <v>7.4999999999999997E-2</v>
      </c>
      <c r="AV73" s="32">
        <v>75</v>
      </c>
      <c r="AW73" s="32">
        <v>60</v>
      </c>
      <c r="AX73" s="32">
        <v>80</v>
      </c>
      <c r="AY73" s="32">
        <v>75</v>
      </c>
      <c r="AZ73" s="32">
        <v>80</v>
      </c>
      <c r="BA73" s="32">
        <v>100</v>
      </c>
      <c r="BB73" s="23">
        <f t="shared" ca="1" si="62"/>
        <v>0.8</v>
      </c>
      <c r="BC73" s="33">
        <f t="shared" si="68"/>
        <v>78.333333333333329</v>
      </c>
      <c r="BD73" s="28">
        <f t="shared" si="63"/>
        <v>0.93617021276595747</v>
      </c>
      <c r="BE73" s="28">
        <f t="shared" si="64"/>
        <v>0.18723404255319151</v>
      </c>
      <c r="BF73" s="34">
        <f ca="1">Q73+AA73+AF73+AR73+BB73</f>
        <v>4.25</v>
      </c>
      <c r="BG73" s="34">
        <f>AVERAGE(AV73:AZ73)</f>
        <v>74</v>
      </c>
      <c r="BH73" s="35">
        <f>T73+AD73+AI73+AU73+BE73</f>
        <v>0.8507998482112481</v>
      </c>
      <c r="BI73" s="36" t="str">
        <f ca="1">IF(K73&lt;365,"New CE",(IF(BH73&gt;=100%,"Promote",IF(BH73&gt;=90%,"Sangat Baik",IF(BH73&gt;=80%,"Baik",IF(BH73&gt;=70%,"Lebih Dari Cukup",IF(BH73&gt;=60%,"Cukup","Kurang")))))))</f>
        <v>Baik</v>
      </c>
      <c r="BJ73" s="36" t="s">
        <v>860</v>
      </c>
      <c r="BK73" s="58" t="s">
        <v>48</v>
      </c>
      <c r="BL73" s="59" t="e">
        <v>#N/A</v>
      </c>
    </row>
    <row r="74" spans="1:64" x14ac:dyDescent="0.35">
      <c r="A74" s="19">
        <v>70</v>
      </c>
      <c r="B74" s="13" t="s">
        <v>237</v>
      </c>
      <c r="C74" s="20" t="s">
        <v>238</v>
      </c>
      <c r="D74" s="76" t="s">
        <v>54</v>
      </c>
      <c r="E74" s="13" t="s">
        <v>49</v>
      </c>
      <c r="F74" s="13" t="s">
        <v>50</v>
      </c>
      <c r="G74" s="13" t="s">
        <v>55</v>
      </c>
      <c r="H74" s="65">
        <v>44795</v>
      </c>
      <c r="I74" s="21">
        <f t="shared" ca="1" si="65"/>
        <v>45974</v>
      </c>
      <c r="J74" s="13" t="str">
        <f t="shared" ca="1" si="44"/>
        <v xml:space="preserve">3 Tahun 2 Bulan 22 Hari </v>
      </c>
      <c r="K74" s="13">
        <f t="shared" ca="1" si="66"/>
        <v>1697760</v>
      </c>
      <c r="L74" s="13">
        <v>893</v>
      </c>
      <c r="M74" s="13">
        <v>14</v>
      </c>
      <c r="N74" s="13">
        <v>6172</v>
      </c>
      <c r="O74" s="22">
        <f t="shared" si="45"/>
        <v>440.85714285714283</v>
      </c>
      <c r="P74" s="13">
        <v>375</v>
      </c>
      <c r="Q74" s="23">
        <f t="shared" si="46"/>
        <v>0.8</v>
      </c>
      <c r="R74" s="24">
        <f t="shared" si="47"/>
        <v>4</v>
      </c>
      <c r="S74" s="25">
        <f t="shared" si="67"/>
        <v>0.85061568373298768</v>
      </c>
      <c r="T74" s="25">
        <f t="shared" si="48"/>
        <v>0.17012313674659754</v>
      </c>
      <c r="U74" s="26">
        <v>5.7638888888888892E-2</v>
      </c>
      <c r="V74" s="26">
        <v>3.125E-2</v>
      </c>
      <c r="W74" s="26">
        <v>0</v>
      </c>
      <c r="X74" s="27">
        <f t="shared" si="43"/>
        <v>1</v>
      </c>
      <c r="Y74" s="27">
        <f t="shared" si="49"/>
        <v>1</v>
      </c>
      <c r="Z74" s="27">
        <f t="shared" si="34"/>
        <v>0</v>
      </c>
      <c r="AA74" s="23">
        <f t="shared" si="50"/>
        <v>0.8</v>
      </c>
      <c r="AB74" s="24">
        <f t="shared" si="51"/>
        <v>2</v>
      </c>
      <c r="AC74" s="28">
        <f t="shared" si="52"/>
        <v>0.66666666666666663</v>
      </c>
      <c r="AD74" s="29">
        <f t="shared" si="53"/>
        <v>0.16666666666666666</v>
      </c>
      <c r="AE74" s="30">
        <v>3.4087863281942229E-2</v>
      </c>
      <c r="AF74" s="23">
        <f t="shared" si="54"/>
        <v>1.25</v>
      </c>
      <c r="AG74" s="24">
        <f t="shared" si="55"/>
        <v>5</v>
      </c>
      <c r="AH74" s="28">
        <f t="shared" si="56"/>
        <v>1</v>
      </c>
      <c r="AI74" s="29">
        <f t="shared" si="57"/>
        <v>0.25</v>
      </c>
      <c r="AJ74" s="31">
        <v>1</v>
      </c>
      <c r="AK74" s="31">
        <v>1</v>
      </c>
      <c r="AL74" s="31">
        <v>0</v>
      </c>
      <c r="AM74" s="31">
        <v>1</v>
      </c>
      <c r="AN74" s="31">
        <v>0</v>
      </c>
      <c r="AO74" s="31">
        <v>1</v>
      </c>
      <c r="AP74" s="31">
        <v>0</v>
      </c>
      <c r="AQ74" s="31">
        <v>0</v>
      </c>
      <c r="AR74" s="23">
        <f t="shared" si="58"/>
        <v>0.8</v>
      </c>
      <c r="AS74" s="24">
        <f t="shared" si="59"/>
        <v>4</v>
      </c>
      <c r="AT74" s="28">
        <f t="shared" si="60"/>
        <v>0.5</v>
      </c>
      <c r="AU74" s="28">
        <f t="shared" si="61"/>
        <v>7.4999999999999997E-2</v>
      </c>
      <c r="AV74" s="32">
        <v>75</v>
      </c>
      <c r="AW74" s="32">
        <v>75</v>
      </c>
      <c r="AX74" s="32">
        <v>90</v>
      </c>
      <c r="AY74" s="32">
        <v>85</v>
      </c>
      <c r="AZ74" s="32">
        <v>80</v>
      </c>
      <c r="BA74" s="32">
        <v>100</v>
      </c>
      <c r="BB74" s="23">
        <f t="shared" ca="1" si="62"/>
        <v>0.8</v>
      </c>
      <c r="BC74" s="33">
        <f t="shared" si="68"/>
        <v>84.166666666666671</v>
      </c>
      <c r="BD74" s="28">
        <f t="shared" si="63"/>
        <v>0.94059405940594054</v>
      </c>
      <c r="BE74" s="28">
        <f t="shared" si="64"/>
        <v>0.18811881188118812</v>
      </c>
      <c r="BF74" s="34">
        <f ca="1">Q74+AA74+AF74+AR74+BB74</f>
        <v>4.45</v>
      </c>
      <c r="BG74" s="34">
        <f>AVERAGE(AV74:AZ74)</f>
        <v>81</v>
      </c>
      <c r="BH74" s="35">
        <f>T74+AD74+AI74+AU74+BE74</f>
        <v>0.84990861529445216</v>
      </c>
      <c r="BI74" s="36" t="str">
        <f ca="1">IF(K74&lt;365,"New CE",(IF(BH74&gt;=100%,"Promote",IF(BH74&gt;=90%,"Sangat Baik",IF(BH74&gt;=80%,"Baik",IF(BH74&gt;=70%,"Lebih Dari Cukup",IF(BH74&gt;=60%,"Cukup","Kurang")))))))</f>
        <v>Baik</v>
      </c>
      <c r="BJ74" s="36" t="s">
        <v>855</v>
      </c>
      <c r="BK74" s="58" t="s">
        <v>48</v>
      </c>
      <c r="BL74" s="59" t="e">
        <v>#N/A</v>
      </c>
    </row>
    <row r="75" spans="1:64" x14ac:dyDescent="0.35">
      <c r="A75" s="19">
        <v>71</v>
      </c>
      <c r="B75" s="13" t="s">
        <v>239</v>
      </c>
      <c r="C75" s="20" t="s">
        <v>240</v>
      </c>
      <c r="D75" s="76" t="s">
        <v>54</v>
      </c>
      <c r="E75" s="13" t="s">
        <v>241</v>
      </c>
      <c r="F75" s="13" t="s">
        <v>74</v>
      </c>
      <c r="G75" s="13" t="s">
        <v>61</v>
      </c>
      <c r="H75" s="65">
        <v>44935</v>
      </c>
      <c r="I75" s="21">
        <f t="shared" ca="1" si="65"/>
        <v>45974</v>
      </c>
      <c r="J75" s="13" t="str">
        <f t="shared" ca="1" si="44"/>
        <v xml:space="preserve">2 Tahun 10 Bulan 4 Hari </v>
      </c>
      <c r="K75" s="13">
        <f t="shared" ca="1" si="66"/>
        <v>1496160</v>
      </c>
      <c r="L75" s="13">
        <v>142</v>
      </c>
      <c r="M75" s="13">
        <v>3</v>
      </c>
      <c r="N75" s="13">
        <v>1369</v>
      </c>
      <c r="O75" s="22">
        <f t="shared" si="45"/>
        <v>456.33333333333331</v>
      </c>
      <c r="P75" s="13">
        <v>355</v>
      </c>
      <c r="Q75" s="23">
        <f t="shared" si="46"/>
        <v>0.6</v>
      </c>
      <c r="R75" s="24">
        <f t="shared" si="47"/>
        <v>3</v>
      </c>
      <c r="S75" s="25">
        <f t="shared" si="67"/>
        <v>0.77794010226442667</v>
      </c>
      <c r="T75" s="25">
        <f t="shared" si="48"/>
        <v>0.15558802045288533</v>
      </c>
      <c r="U75" s="26">
        <v>6.3888888888888884E-2</v>
      </c>
      <c r="V75" s="26">
        <v>8.2638888888888887E-2</v>
      </c>
      <c r="W75" s="26">
        <v>5.8460648148148144E-2</v>
      </c>
      <c r="X75" s="27">
        <v>1</v>
      </c>
      <c r="Y75" s="27">
        <f t="shared" si="49"/>
        <v>1</v>
      </c>
      <c r="Z75" s="27">
        <f t="shared" si="34"/>
        <v>1</v>
      </c>
      <c r="AA75" s="23">
        <f t="shared" si="50"/>
        <v>1.25</v>
      </c>
      <c r="AB75" s="24">
        <f t="shared" si="51"/>
        <v>3</v>
      </c>
      <c r="AC75" s="28">
        <f t="shared" si="52"/>
        <v>1</v>
      </c>
      <c r="AD75" s="29">
        <f t="shared" si="53"/>
        <v>0.25</v>
      </c>
      <c r="AE75" s="30">
        <v>6.0587709172479298E-2</v>
      </c>
      <c r="AF75" s="23">
        <f t="shared" si="54"/>
        <v>1</v>
      </c>
      <c r="AG75" s="24">
        <f t="shared" si="55"/>
        <v>4</v>
      </c>
      <c r="AH75" s="28">
        <f t="shared" si="56"/>
        <v>0.8</v>
      </c>
      <c r="AI75" s="29">
        <f t="shared" si="57"/>
        <v>0.2</v>
      </c>
      <c r="AJ75" s="31">
        <v>1</v>
      </c>
      <c r="AK75" s="31">
        <v>1</v>
      </c>
      <c r="AL75" s="31">
        <v>1</v>
      </c>
      <c r="AM75" s="31">
        <v>0</v>
      </c>
      <c r="AN75" s="31">
        <v>0</v>
      </c>
      <c r="AO75" s="31">
        <v>0</v>
      </c>
      <c r="AP75" s="31">
        <v>0</v>
      </c>
      <c r="AQ75" s="31">
        <v>0</v>
      </c>
      <c r="AR75" s="23">
        <f t="shared" si="58"/>
        <v>0.6</v>
      </c>
      <c r="AS75" s="24">
        <f t="shared" si="59"/>
        <v>3</v>
      </c>
      <c r="AT75" s="28">
        <f t="shared" si="60"/>
        <v>0.375</v>
      </c>
      <c r="AU75" s="28">
        <f t="shared" si="61"/>
        <v>5.6249999999999994E-2</v>
      </c>
      <c r="AV75" s="32">
        <v>75</v>
      </c>
      <c r="AW75" s="32">
        <v>75</v>
      </c>
      <c r="AX75" s="32">
        <v>80</v>
      </c>
      <c r="AY75" s="32">
        <v>80</v>
      </c>
      <c r="AZ75" s="32">
        <v>80</v>
      </c>
      <c r="BA75" s="32">
        <v>100</v>
      </c>
      <c r="BB75" s="23">
        <f t="shared" ca="1" si="62"/>
        <v>0.8</v>
      </c>
      <c r="BC75" s="33">
        <f t="shared" si="68"/>
        <v>81.666666666666671</v>
      </c>
      <c r="BD75" s="28">
        <f t="shared" si="63"/>
        <v>0.93877551020408168</v>
      </c>
      <c r="BE75" s="28">
        <f t="shared" si="64"/>
        <v>0.18775510204081636</v>
      </c>
      <c r="BF75" s="34">
        <f ca="1">Q75+AA75+AF75+AR75+BB75</f>
        <v>4.25</v>
      </c>
      <c r="BG75" s="34">
        <f>AVERAGE(AV75:AZ75)</f>
        <v>78</v>
      </c>
      <c r="BH75" s="35">
        <f>T75+AD75+AI75+AU75+BE75</f>
        <v>0.84959312249370178</v>
      </c>
      <c r="BI75" s="36" t="str">
        <f ca="1">IF(K75&lt;365,"New CE",(IF(BH75&gt;=100%,"Promote",IF(BH75&gt;=90%,"Sangat Baik",IF(BH75&gt;=80%,"Baik",IF(BH75&gt;=70%,"Lebih Dari Cukup",IF(BH75&gt;=60%,"Cukup","Kurang")))))))</f>
        <v>Baik</v>
      </c>
      <c r="BJ75" s="36" t="s">
        <v>860</v>
      </c>
      <c r="BK75" s="58" t="s">
        <v>54</v>
      </c>
      <c r="BL75" s="59" t="str">
        <v>Andre Fikriawan</v>
      </c>
    </row>
    <row r="76" spans="1:64" x14ac:dyDescent="0.35">
      <c r="A76" s="19">
        <v>72</v>
      </c>
      <c r="B76" s="13" t="s">
        <v>242</v>
      </c>
      <c r="C76" s="20" t="s">
        <v>243</v>
      </c>
      <c r="D76" s="76" t="s">
        <v>48</v>
      </c>
      <c r="E76" s="13" t="s">
        <v>244</v>
      </c>
      <c r="F76" s="13" t="s">
        <v>74</v>
      </c>
      <c r="G76" s="13" t="s">
        <v>55</v>
      </c>
      <c r="H76" s="65">
        <v>44228</v>
      </c>
      <c r="I76" s="21">
        <f t="shared" ca="1" si="65"/>
        <v>45974</v>
      </c>
      <c r="J76" s="13" t="str">
        <f t="shared" ca="1" si="44"/>
        <v xml:space="preserve">4 Tahun 9 Bulan 12 Hari </v>
      </c>
      <c r="K76" s="13">
        <f t="shared" ca="1" si="66"/>
        <v>2514240</v>
      </c>
      <c r="L76" s="13">
        <v>134</v>
      </c>
      <c r="M76" s="13">
        <v>3</v>
      </c>
      <c r="N76" s="13">
        <v>1306</v>
      </c>
      <c r="O76" s="22">
        <f t="shared" si="45"/>
        <v>435.33333333333331</v>
      </c>
      <c r="P76" s="13">
        <v>592</v>
      </c>
      <c r="Q76" s="23">
        <f t="shared" si="46"/>
        <v>1</v>
      </c>
      <c r="R76" s="24">
        <f t="shared" si="47"/>
        <v>5</v>
      </c>
      <c r="S76" s="25">
        <f t="shared" si="67"/>
        <v>1.3598774885145484</v>
      </c>
      <c r="T76" s="25">
        <f t="shared" si="48"/>
        <v>0.27197549770290969</v>
      </c>
      <c r="U76" s="26">
        <v>32022.155039086214</v>
      </c>
      <c r="V76" s="26">
        <v>45514.459722222222</v>
      </c>
      <c r="W76" s="26">
        <v>37789.235382880579</v>
      </c>
      <c r="X76" s="27">
        <f>IF(U76=TIME(0,0,0), 0, IF(U76&lt;=TIME(1,30,0), 1, 0))</f>
        <v>0</v>
      </c>
      <c r="Y76" s="27">
        <f t="shared" si="49"/>
        <v>0</v>
      </c>
      <c r="Z76" s="27">
        <f t="shared" si="34"/>
        <v>1</v>
      </c>
      <c r="AA76" s="23">
        <f t="shared" si="50"/>
        <v>0.4</v>
      </c>
      <c r="AB76" s="24">
        <f t="shared" si="51"/>
        <v>1</v>
      </c>
      <c r="AC76" s="28">
        <f t="shared" si="52"/>
        <v>0.33333333333333331</v>
      </c>
      <c r="AD76" s="29">
        <f t="shared" si="53"/>
        <v>8.3333333333333329E-2</v>
      </c>
      <c r="AE76" s="30">
        <v>1.9927245776478232E-2</v>
      </c>
      <c r="AF76" s="23">
        <f t="shared" si="54"/>
        <v>1.25</v>
      </c>
      <c r="AG76" s="24">
        <f t="shared" si="55"/>
        <v>5</v>
      </c>
      <c r="AH76" s="28">
        <f t="shared" si="56"/>
        <v>1</v>
      </c>
      <c r="AI76" s="29">
        <f t="shared" si="57"/>
        <v>0.25</v>
      </c>
      <c r="AJ76" s="31">
        <v>1</v>
      </c>
      <c r="AK76" s="31">
        <v>1</v>
      </c>
      <c r="AL76" s="31">
        <v>0</v>
      </c>
      <c r="AM76" s="31">
        <v>0</v>
      </c>
      <c r="AN76" s="31">
        <v>0</v>
      </c>
      <c r="AO76" s="31">
        <v>1</v>
      </c>
      <c r="AP76" s="31">
        <v>0</v>
      </c>
      <c r="AQ76" s="31">
        <v>0</v>
      </c>
      <c r="AR76" s="23">
        <f t="shared" si="58"/>
        <v>0.6</v>
      </c>
      <c r="AS76" s="24">
        <f t="shared" si="59"/>
        <v>3</v>
      </c>
      <c r="AT76" s="28">
        <f t="shared" si="60"/>
        <v>0.375</v>
      </c>
      <c r="AU76" s="28">
        <f t="shared" si="61"/>
        <v>5.6249999999999994E-2</v>
      </c>
      <c r="AV76" s="32">
        <v>80</v>
      </c>
      <c r="AW76" s="32">
        <v>75</v>
      </c>
      <c r="AX76" s="32">
        <v>95</v>
      </c>
      <c r="AY76" s="32">
        <v>95</v>
      </c>
      <c r="AZ76" s="32">
        <v>90</v>
      </c>
      <c r="BA76" s="32">
        <v>100</v>
      </c>
      <c r="BB76" s="23">
        <f t="shared" ca="1" si="62"/>
        <v>0.8</v>
      </c>
      <c r="BC76" s="33">
        <f t="shared" si="68"/>
        <v>89.166666666666671</v>
      </c>
      <c r="BD76" s="28">
        <f t="shared" si="63"/>
        <v>0.94392523364485981</v>
      </c>
      <c r="BE76" s="28">
        <f t="shared" si="64"/>
        <v>0.18878504672897198</v>
      </c>
      <c r="BF76" s="34">
        <f ca="1">Q76+AA76+AF76+AR76+BB76</f>
        <v>4.05</v>
      </c>
      <c r="BG76" s="34">
        <f>AVERAGE(AV76:AZ76)</f>
        <v>87</v>
      </c>
      <c r="BH76" s="35">
        <f>T76+AD76+AI76+AU76+BE76</f>
        <v>0.85034387776521503</v>
      </c>
      <c r="BI76" s="36" t="str">
        <f ca="1">IF(K76&lt;365,"New CE",(IF(BH76&gt;=100%,"Promote",IF(BH76&gt;=90%,"Sangat Baik",IF(BH76&gt;=80%,"Baik",IF(BH76&gt;=70%,"Lebih Dari Cukup",IF(BH76&gt;=60%,"Cukup","Kurang")))))))</f>
        <v>Baik</v>
      </c>
      <c r="BJ76" s="36" t="s">
        <v>855</v>
      </c>
      <c r="BK76" s="58" t="s">
        <v>851</v>
      </c>
      <c r="BL76" s="59" t="str">
        <v>Adi Sujana Mahmud</v>
      </c>
    </row>
    <row r="77" spans="1:64" x14ac:dyDescent="0.35">
      <c r="A77" s="19">
        <v>73</v>
      </c>
      <c r="B77" s="13" t="s">
        <v>245</v>
      </c>
      <c r="C77" s="20" t="s">
        <v>246</v>
      </c>
      <c r="D77" s="76" t="s">
        <v>42</v>
      </c>
      <c r="E77" s="13" t="s">
        <v>227</v>
      </c>
      <c r="F77" s="13" t="s">
        <v>74</v>
      </c>
      <c r="G77" s="13" t="s">
        <v>45</v>
      </c>
      <c r="H77" s="65">
        <v>43892</v>
      </c>
      <c r="I77" s="21">
        <f t="shared" ca="1" si="65"/>
        <v>45974</v>
      </c>
      <c r="J77" s="13" t="str">
        <f t="shared" ca="1" si="44"/>
        <v xml:space="preserve">5 Tahun 8 Bulan 11 Hari </v>
      </c>
      <c r="K77" s="13">
        <f t="shared" ca="1" si="66"/>
        <v>2998080</v>
      </c>
      <c r="L77" s="13">
        <v>185</v>
      </c>
      <c r="M77" s="13">
        <v>3</v>
      </c>
      <c r="N77" s="13">
        <v>1462</v>
      </c>
      <c r="O77" s="22">
        <f t="shared" si="45"/>
        <v>487.33333333333331</v>
      </c>
      <c r="P77" s="13">
        <v>489</v>
      </c>
      <c r="Q77" s="23">
        <f t="shared" si="46"/>
        <v>1</v>
      </c>
      <c r="R77" s="24">
        <f t="shared" si="47"/>
        <v>5</v>
      </c>
      <c r="S77" s="25">
        <f t="shared" si="67"/>
        <v>1.0034199726402189</v>
      </c>
      <c r="T77" s="25">
        <f t="shared" si="48"/>
        <v>0.20068399452804378</v>
      </c>
      <c r="U77" s="26">
        <v>2527.0214471879281</v>
      </c>
      <c r="V77" s="26">
        <v>6.2500000000000001E-4</v>
      </c>
      <c r="W77" s="26">
        <v>4780.0409545565308</v>
      </c>
      <c r="X77" s="27">
        <f>IF(U77=TIME(0,0,0), 0, IF(U77&lt;=TIME(1,30,0), 1, 0))</f>
        <v>0</v>
      </c>
      <c r="Y77" s="27">
        <f t="shared" si="49"/>
        <v>1</v>
      </c>
      <c r="Z77" s="27">
        <f t="shared" si="34"/>
        <v>1</v>
      </c>
      <c r="AA77" s="23">
        <f t="shared" si="50"/>
        <v>0.8</v>
      </c>
      <c r="AB77" s="24">
        <f t="shared" si="51"/>
        <v>2</v>
      </c>
      <c r="AC77" s="28">
        <f t="shared" si="52"/>
        <v>0.66666666666666663</v>
      </c>
      <c r="AD77" s="29">
        <f t="shared" si="53"/>
        <v>0.16666666666666666</v>
      </c>
      <c r="AE77" s="30">
        <v>4.8656433588761178E-2</v>
      </c>
      <c r="AF77" s="23">
        <f t="shared" si="54"/>
        <v>1</v>
      </c>
      <c r="AG77" s="24">
        <f t="shared" si="55"/>
        <v>4</v>
      </c>
      <c r="AH77" s="28">
        <f t="shared" si="56"/>
        <v>0.8</v>
      </c>
      <c r="AI77" s="29">
        <f t="shared" si="57"/>
        <v>0.2</v>
      </c>
      <c r="AJ77" s="31">
        <v>1</v>
      </c>
      <c r="AK77" s="31">
        <v>1</v>
      </c>
      <c r="AL77" s="31">
        <v>1</v>
      </c>
      <c r="AM77" s="31">
        <v>0</v>
      </c>
      <c r="AN77" s="31">
        <v>1</v>
      </c>
      <c r="AO77" s="31">
        <v>1</v>
      </c>
      <c r="AP77" s="31">
        <v>0</v>
      </c>
      <c r="AQ77" s="31">
        <v>0</v>
      </c>
      <c r="AR77" s="23">
        <f t="shared" si="58"/>
        <v>1</v>
      </c>
      <c r="AS77" s="24">
        <f t="shared" si="59"/>
        <v>5</v>
      </c>
      <c r="AT77" s="28">
        <f t="shared" si="60"/>
        <v>0.625</v>
      </c>
      <c r="AU77" s="28">
        <f t="shared" si="61"/>
        <v>9.375E-2</v>
      </c>
      <c r="AV77" s="32">
        <v>85</v>
      </c>
      <c r="AW77" s="32">
        <v>75</v>
      </c>
      <c r="AX77" s="32">
        <v>85</v>
      </c>
      <c r="AY77" s="32">
        <v>90</v>
      </c>
      <c r="AZ77" s="32">
        <v>85</v>
      </c>
      <c r="BA77" s="32">
        <v>100</v>
      </c>
      <c r="BB77" s="23">
        <f t="shared" ca="1" si="62"/>
        <v>0.8</v>
      </c>
      <c r="BC77" s="33">
        <f t="shared" si="68"/>
        <v>86.666666666666671</v>
      </c>
      <c r="BD77" s="28">
        <f t="shared" si="63"/>
        <v>0.94230769230769229</v>
      </c>
      <c r="BE77" s="28">
        <f t="shared" si="64"/>
        <v>0.18846153846153846</v>
      </c>
      <c r="BF77" s="34">
        <f ca="1">Q77+AA77+AF77+AR77+BB77</f>
        <v>4.5999999999999996</v>
      </c>
      <c r="BG77" s="34">
        <f>AVERAGE(AV77:AZ77)</f>
        <v>84</v>
      </c>
      <c r="BH77" s="35">
        <f>T77+AD77+AI77+AU77+BE77</f>
        <v>0.84956219965624891</v>
      </c>
      <c r="BI77" s="36" t="str">
        <f ca="1">IF(K77&lt;365,"New CE",(IF(BH77&gt;=100%,"Promote",IF(BH77&gt;=90%,"Sangat Baik",IF(BH77&gt;=80%,"Baik",IF(BH77&gt;=70%,"Lebih Dari Cukup",IF(BH77&gt;=60%,"Cukup","Kurang")))))))</f>
        <v>Baik</v>
      </c>
      <c r="BJ77" s="36" t="s">
        <v>860</v>
      </c>
      <c r="BK77" s="58" t="s">
        <v>42</v>
      </c>
      <c r="BL77" s="59" t="str">
        <v>Muhammad Faris Akbar</v>
      </c>
    </row>
    <row r="78" spans="1:64" x14ac:dyDescent="0.35">
      <c r="A78" s="19">
        <v>74</v>
      </c>
      <c r="B78" s="13" t="s">
        <v>248</v>
      </c>
      <c r="C78" s="20" t="s">
        <v>249</v>
      </c>
      <c r="D78" s="76" t="s">
        <v>54</v>
      </c>
      <c r="E78" s="13" t="s">
        <v>133</v>
      </c>
      <c r="F78" s="13" t="s">
        <v>50</v>
      </c>
      <c r="G78" s="13" t="s">
        <v>55</v>
      </c>
      <c r="H78" s="65">
        <v>45231</v>
      </c>
      <c r="I78" s="21">
        <f t="shared" ca="1" si="65"/>
        <v>45974</v>
      </c>
      <c r="J78" s="13" t="str">
        <f t="shared" ca="1" si="44"/>
        <v xml:space="preserve">2 Tahun 0 Bulan 12 Hari </v>
      </c>
      <c r="K78" s="13">
        <f t="shared" ca="1" si="66"/>
        <v>1069920</v>
      </c>
      <c r="L78" s="13">
        <v>760</v>
      </c>
      <c r="M78" s="13">
        <v>17</v>
      </c>
      <c r="N78" s="13">
        <v>5863</v>
      </c>
      <c r="O78" s="22">
        <f t="shared" si="45"/>
        <v>344.88235294117646</v>
      </c>
      <c r="P78" s="13">
        <v>499</v>
      </c>
      <c r="Q78" s="23">
        <f t="shared" si="46"/>
        <v>1</v>
      </c>
      <c r="R78" s="24">
        <f t="shared" si="47"/>
        <v>5</v>
      </c>
      <c r="S78" s="25">
        <f t="shared" si="67"/>
        <v>1.446870202967764</v>
      </c>
      <c r="T78" s="25">
        <f t="shared" si="48"/>
        <v>0.28937404059355282</v>
      </c>
      <c r="U78" s="26">
        <v>1608.0297119796787</v>
      </c>
      <c r="V78" s="26">
        <v>0</v>
      </c>
      <c r="W78" s="26">
        <v>0</v>
      </c>
      <c r="X78" s="27">
        <v>1</v>
      </c>
      <c r="Y78" s="27">
        <f t="shared" si="49"/>
        <v>0</v>
      </c>
      <c r="Z78" s="27">
        <f t="shared" si="34"/>
        <v>0</v>
      </c>
      <c r="AA78" s="23">
        <f t="shared" si="50"/>
        <v>0.4</v>
      </c>
      <c r="AB78" s="24">
        <f t="shared" si="51"/>
        <v>1</v>
      </c>
      <c r="AC78" s="28">
        <f t="shared" si="52"/>
        <v>0.33333333333333331</v>
      </c>
      <c r="AD78" s="29">
        <f t="shared" si="53"/>
        <v>8.3333333333333329E-2</v>
      </c>
      <c r="AE78" s="30">
        <v>2.149819958847736E-2</v>
      </c>
      <c r="AF78" s="23">
        <f t="shared" si="54"/>
        <v>1.25</v>
      </c>
      <c r="AG78" s="24">
        <f t="shared" si="55"/>
        <v>5</v>
      </c>
      <c r="AH78" s="28">
        <f t="shared" si="56"/>
        <v>1</v>
      </c>
      <c r="AI78" s="29">
        <f t="shared" si="57"/>
        <v>0.25</v>
      </c>
      <c r="AJ78" s="31">
        <v>1</v>
      </c>
      <c r="AK78" s="31">
        <v>1</v>
      </c>
      <c r="AL78" s="31">
        <v>0</v>
      </c>
      <c r="AM78" s="31">
        <v>0</v>
      </c>
      <c r="AN78" s="31">
        <v>0</v>
      </c>
      <c r="AO78" s="31">
        <v>0</v>
      </c>
      <c r="AP78" s="31">
        <v>0</v>
      </c>
      <c r="AQ78" s="31">
        <v>0</v>
      </c>
      <c r="AR78" s="23">
        <f t="shared" si="58"/>
        <v>0.4</v>
      </c>
      <c r="AS78" s="24">
        <f t="shared" si="59"/>
        <v>2</v>
      </c>
      <c r="AT78" s="28">
        <f t="shared" si="60"/>
        <v>0.25</v>
      </c>
      <c r="AU78" s="28">
        <f t="shared" si="61"/>
        <v>3.7499999999999999E-2</v>
      </c>
      <c r="AV78" s="32">
        <v>75</v>
      </c>
      <c r="AW78" s="32">
        <v>75</v>
      </c>
      <c r="AX78" s="32">
        <v>90</v>
      </c>
      <c r="AY78" s="32">
        <v>85</v>
      </c>
      <c r="AZ78" s="32">
        <v>80</v>
      </c>
      <c r="BA78" s="32">
        <v>100</v>
      </c>
      <c r="BB78" s="23">
        <f t="shared" ca="1" si="62"/>
        <v>0.8</v>
      </c>
      <c r="BC78" s="33">
        <f t="shared" si="68"/>
        <v>84.166666666666671</v>
      </c>
      <c r="BD78" s="28">
        <f t="shared" si="63"/>
        <v>0.94059405940594054</v>
      </c>
      <c r="BE78" s="28">
        <f t="shared" si="64"/>
        <v>0.18811881188118812</v>
      </c>
      <c r="BF78" s="34">
        <f ca="1">Q78+AA78+AF78+AR78+BB78</f>
        <v>3.8499999999999996</v>
      </c>
      <c r="BG78" s="34">
        <f>AVERAGE(AV78:AZ78)</f>
        <v>81</v>
      </c>
      <c r="BH78" s="35">
        <f>T78+AD78+AI78+AU78+BE78</f>
        <v>0.84832618580807417</v>
      </c>
      <c r="BI78" s="36" t="str">
        <f ca="1">IF(K78&lt;365,"New CE",(IF(BH78&gt;=100%,"Promote",IF(BH78&gt;=90%,"Sangat Baik",IF(BH78&gt;=80%,"Baik",IF(BH78&gt;=70%,"Lebih Dari Cukup",IF(BH78&gt;=60%,"Cukup","Kurang")))))))</f>
        <v>Baik</v>
      </c>
      <c r="BJ78" s="36" t="s">
        <v>860</v>
      </c>
      <c r="BK78" s="58" t="s">
        <v>54</v>
      </c>
      <c r="BL78" s="59" t="e">
        <v>#N/A</v>
      </c>
    </row>
    <row r="79" spans="1:64" x14ac:dyDescent="0.35">
      <c r="A79" s="19">
        <v>75</v>
      </c>
      <c r="B79" s="13" t="s">
        <v>250</v>
      </c>
      <c r="C79" s="20" t="s">
        <v>251</v>
      </c>
      <c r="D79" s="76" t="s">
        <v>54</v>
      </c>
      <c r="E79" s="13" t="s">
        <v>252</v>
      </c>
      <c r="F79" s="13" t="s">
        <v>44</v>
      </c>
      <c r="G79" s="13" t="s">
        <v>61</v>
      </c>
      <c r="H79" s="65">
        <v>45173</v>
      </c>
      <c r="I79" s="21">
        <f t="shared" ca="1" si="65"/>
        <v>45974</v>
      </c>
      <c r="J79" s="13" t="str">
        <f t="shared" ca="1" si="44"/>
        <v xml:space="preserve">2 Tahun 2 Bulan 9 Hari </v>
      </c>
      <c r="K79" s="13">
        <f t="shared" ca="1" si="66"/>
        <v>1153440</v>
      </c>
      <c r="L79" s="13">
        <v>313</v>
      </c>
      <c r="M79" s="13">
        <v>6</v>
      </c>
      <c r="N79" s="13">
        <v>2164</v>
      </c>
      <c r="O79" s="22">
        <f t="shared" si="45"/>
        <v>360.66666666666669</v>
      </c>
      <c r="P79" s="13">
        <v>485</v>
      </c>
      <c r="Q79" s="23">
        <f t="shared" si="46"/>
        <v>1</v>
      </c>
      <c r="R79" s="24">
        <f t="shared" si="47"/>
        <v>5</v>
      </c>
      <c r="S79" s="25">
        <f t="shared" si="67"/>
        <v>1.344731977818854</v>
      </c>
      <c r="T79" s="25">
        <f t="shared" si="48"/>
        <v>0.26894639556377081</v>
      </c>
      <c r="U79" s="26">
        <v>3.8072089947089952E-2</v>
      </c>
      <c r="V79" s="26">
        <v>2460.57884227978</v>
      </c>
      <c r="W79" s="26">
        <v>0</v>
      </c>
      <c r="X79" s="27">
        <f t="shared" ref="X79:X122" si="69">IF(U79=TIME(0,0,0), 0, IF(U79&lt;=TIME(1,30,0), 1, 0))</f>
        <v>1</v>
      </c>
      <c r="Y79" s="27">
        <f t="shared" si="49"/>
        <v>0</v>
      </c>
      <c r="Z79" s="27">
        <f t="shared" si="34"/>
        <v>0</v>
      </c>
      <c r="AA79" s="23">
        <f t="shared" si="50"/>
        <v>0.4</v>
      </c>
      <c r="AB79" s="24">
        <f t="shared" si="51"/>
        <v>1</v>
      </c>
      <c r="AC79" s="28">
        <f t="shared" si="52"/>
        <v>0.33333333333333331</v>
      </c>
      <c r="AD79" s="29">
        <f t="shared" si="53"/>
        <v>8.3333333333333329E-2</v>
      </c>
      <c r="AE79" s="30">
        <v>3.6147550366300366E-2</v>
      </c>
      <c r="AF79" s="23">
        <f t="shared" si="54"/>
        <v>1.25</v>
      </c>
      <c r="AG79" s="24">
        <f t="shared" si="55"/>
        <v>5</v>
      </c>
      <c r="AH79" s="28">
        <f t="shared" si="56"/>
        <v>1</v>
      </c>
      <c r="AI79" s="29">
        <f t="shared" si="57"/>
        <v>0.25</v>
      </c>
      <c r="AJ79" s="31">
        <v>1</v>
      </c>
      <c r="AK79" s="31">
        <v>1</v>
      </c>
      <c r="AL79" s="31">
        <v>0</v>
      </c>
      <c r="AM79" s="31">
        <v>0</v>
      </c>
      <c r="AN79" s="31">
        <v>0</v>
      </c>
      <c r="AO79" s="31">
        <v>1</v>
      </c>
      <c r="AP79" s="31">
        <v>0</v>
      </c>
      <c r="AQ79" s="31">
        <v>0</v>
      </c>
      <c r="AR79" s="23">
        <f t="shared" si="58"/>
        <v>0.6</v>
      </c>
      <c r="AS79" s="24">
        <f t="shared" si="59"/>
        <v>3</v>
      </c>
      <c r="AT79" s="28">
        <f t="shared" si="60"/>
        <v>0.375</v>
      </c>
      <c r="AU79" s="28">
        <f t="shared" si="61"/>
        <v>5.6249999999999994E-2</v>
      </c>
      <c r="AV79" s="32">
        <v>80</v>
      </c>
      <c r="AW79" s="32">
        <v>70</v>
      </c>
      <c r="AX79" s="32">
        <v>80</v>
      </c>
      <c r="AY79" s="32">
        <v>80</v>
      </c>
      <c r="AZ79" s="32">
        <v>80</v>
      </c>
      <c r="BA79" s="32">
        <v>100</v>
      </c>
      <c r="BB79" s="23">
        <f t="shared" ca="1" si="62"/>
        <v>0.8</v>
      </c>
      <c r="BC79" s="33">
        <f t="shared" si="68"/>
        <v>81.666666666666671</v>
      </c>
      <c r="BD79" s="28">
        <f t="shared" si="63"/>
        <v>0.93877551020408168</v>
      </c>
      <c r="BE79" s="28">
        <f t="shared" si="64"/>
        <v>0.18775510204081636</v>
      </c>
      <c r="BF79" s="34">
        <f ca="1">Q79+AA79+AF79+AR79+BB79</f>
        <v>4.05</v>
      </c>
      <c r="BG79" s="34">
        <f>AVERAGE(AV79:AZ79)</f>
        <v>78</v>
      </c>
      <c r="BH79" s="35">
        <f>T79+AD79+AI79+AU79+BE79</f>
        <v>0.84628483093792051</v>
      </c>
      <c r="BI79" s="36" t="str">
        <f ca="1">IF(K79&lt;365,"New CE",(IF(BH79&gt;=100%,"Promote",IF(BH79&gt;=90%,"Sangat Baik",IF(BH79&gt;=80%,"Baik",IF(BH79&gt;=70%,"Lebih Dari Cukup",IF(BH79&gt;=60%,"Cukup","Kurang")))))))</f>
        <v>Baik</v>
      </c>
      <c r="BJ79" s="36" t="s">
        <v>860</v>
      </c>
      <c r="BK79" s="58" t="s">
        <v>54</v>
      </c>
      <c r="BL79" s="59" t="e">
        <v>#N/A</v>
      </c>
    </row>
    <row r="80" spans="1:64" x14ac:dyDescent="0.35">
      <c r="A80" s="19">
        <v>76</v>
      </c>
      <c r="B80" s="13" t="s">
        <v>253</v>
      </c>
      <c r="C80" s="20" t="s">
        <v>254</v>
      </c>
      <c r="D80" s="76" t="s">
        <v>42</v>
      </c>
      <c r="E80" s="13" t="s">
        <v>43</v>
      </c>
      <c r="F80" s="13" t="s">
        <v>44</v>
      </c>
      <c r="G80" s="13" t="s">
        <v>45</v>
      </c>
      <c r="H80" s="65">
        <v>42982</v>
      </c>
      <c r="I80" s="21">
        <f t="shared" ca="1" si="65"/>
        <v>45974</v>
      </c>
      <c r="J80" s="13" t="str">
        <f t="shared" ca="1" si="44"/>
        <v xml:space="preserve">8 Tahun 2 Bulan 9 Hari </v>
      </c>
      <c r="K80" s="13">
        <f t="shared" ca="1" si="66"/>
        <v>4308480</v>
      </c>
      <c r="L80" s="13">
        <v>1384</v>
      </c>
      <c r="M80" s="13">
        <v>22</v>
      </c>
      <c r="N80" s="13">
        <v>6775</v>
      </c>
      <c r="O80" s="22">
        <f t="shared" si="45"/>
        <v>307.95454545454544</v>
      </c>
      <c r="P80" s="13">
        <v>413</v>
      </c>
      <c r="Q80" s="23">
        <f t="shared" si="46"/>
        <v>1</v>
      </c>
      <c r="R80" s="24">
        <f t="shared" si="47"/>
        <v>5</v>
      </c>
      <c r="S80" s="25">
        <f t="shared" si="67"/>
        <v>1.3411070110701109</v>
      </c>
      <c r="T80" s="25">
        <f t="shared" si="48"/>
        <v>0.26822140221402219</v>
      </c>
      <c r="U80" s="26">
        <v>1699.2339730168592</v>
      </c>
      <c r="V80" s="26">
        <v>3.2777777777777781E-2</v>
      </c>
      <c r="W80" s="26">
        <v>0</v>
      </c>
      <c r="X80" s="27">
        <f t="shared" si="69"/>
        <v>0</v>
      </c>
      <c r="Y80" s="27">
        <f t="shared" si="49"/>
        <v>1</v>
      </c>
      <c r="Z80" s="27">
        <f t="shared" si="34"/>
        <v>0</v>
      </c>
      <c r="AA80" s="23">
        <f t="shared" si="50"/>
        <v>0.4</v>
      </c>
      <c r="AB80" s="24">
        <f t="shared" si="51"/>
        <v>1</v>
      </c>
      <c r="AC80" s="28">
        <f t="shared" si="52"/>
        <v>0.33333333333333331</v>
      </c>
      <c r="AD80" s="29">
        <f t="shared" si="53"/>
        <v>8.3333333333333329E-2</v>
      </c>
      <c r="AE80" s="30">
        <v>3.1687329121316533E-2</v>
      </c>
      <c r="AF80" s="23">
        <f t="shared" si="54"/>
        <v>1.25</v>
      </c>
      <c r="AG80" s="24">
        <f t="shared" si="55"/>
        <v>5</v>
      </c>
      <c r="AH80" s="28">
        <f t="shared" si="56"/>
        <v>1</v>
      </c>
      <c r="AI80" s="29">
        <f t="shared" si="57"/>
        <v>0.25</v>
      </c>
      <c r="AJ80" s="31">
        <v>1</v>
      </c>
      <c r="AK80" s="31">
        <v>1</v>
      </c>
      <c r="AL80" s="31">
        <v>1</v>
      </c>
      <c r="AM80" s="31">
        <v>0</v>
      </c>
      <c r="AN80" s="31">
        <v>0</v>
      </c>
      <c r="AO80" s="31">
        <v>0</v>
      </c>
      <c r="AP80" s="31">
        <v>0</v>
      </c>
      <c r="AQ80" s="31">
        <v>0</v>
      </c>
      <c r="AR80" s="23">
        <f t="shared" si="58"/>
        <v>0.6</v>
      </c>
      <c r="AS80" s="24">
        <f t="shared" si="59"/>
        <v>3</v>
      </c>
      <c r="AT80" s="28">
        <f t="shared" si="60"/>
        <v>0.375</v>
      </c>
      <c r="AU80" s="28">
        <f t="shared" si="61"/>
        <v>5.6249999999999994E-2</v>
      </c>
      <c r="AV80" s="32">
        <v>75</v>
      </c>
      <c r="AW80" s="32">
        <v>65</v>
      </c>
      <c r="AX80" s="32">
        <v>75</v>
      </c>
      <c r="AY80" s="32">
        <v>75</v>
      </c>
      <c r="AZ80" s="32">
        <v>80</v>
      </c>
      <c r="BA80" s="32">
        <v>100</v>
      </c>
      <c r="BB80" s="23">
        <f t="shared" ca="1" si="62"/>
        <v>0.8</v>
      </c>
      <c r="BC80" s="33">
        <f t="shared" si="68"/>
        <v>78.333333333333329</v>
      </c>
      <c r="BD80" s="28">
        <f t="shared" si="63"/>
        <v>0.93617021276595747</v>
      </c>
      <c r="BE80" s="28">
        <f t="shared" si="64"/>
        <v>0.18723404255319151</v>
      </c>
      <c r="BF80" s="34">
        <f ca="1">Q80+AA80+AF80+AR80+BB80</f>
        <v>4.05</v>
      </c>
      <c r="BG80" s="34">
        <f>AVERAGE(AV80:AZ80)</f>
        <v>74</v>
      </c>
      <c r="BH80" s="35">
        <f>T80+AD80+AI80+AU80+BE80</f>
        <v>0.84503877810054706</v>
      </c>
      <c r="BI80" s="36" t="str">
        <f ca="1">IF(K80&lt;365,"New CE",(IF(BH80&gt;=100%,"Promote",IF(BH80&gt;=90%,"Sangat Baik",IF(BH80&gt;=80%,"Baik",IF(BH80&gt;=70%,"Lebih Dari Cukup",IF(BH80&gt;=60%,"Cukup","Kurang")))))))</f>
        <v>Baik</v>
      </c>
      <c r="BJ80" s="36" t="s">
        <v>860</v>
      </c>
      <c r="BK80" s="58" t="s">
        <v>42</v>
      </c>
      <c r="BL80" s="59" t="e">
        <v>#N/A</v>
      </c>
    </row>
    <row r="81" spans="1:64" x14ac:dyDescent="0.35">
      <c r="A81" s="19">
        <v>77</v>
      </c>
      <c r="B81" s="13" t="s">
        <v>255</v>
      </c>
      <c r="C81" s="20" t="s">
        <v>256</v>
      </c>
      <c r="D81" s="76" t="s">
        <v>54</v>
      </c>
      <c r="E81" s="13" t="s">
        <v>257</v>
      </c>
      <c r="F81" s="13" t="s">
        <v>44</v>
      </c>
      <c r="G81" s="13" t="s">
        <v>61</v>
      </c>
      <c r="H81" s="65">
        <v>44966</v>
      </c>
      <c r="I81" s="21">
        <f t="shared" ca="1" si="65"/>
        <v>45974</v>
      </c>
      <c r="J81" s="13" t="str">
        <f t="shared" ca="1" si="44"/>
        <v xml:space="preserve">2 Tahun 9 Bulan 4 Hari </v>
      </c>
      <c r="K81" s="13">
        <f t="shared" ca="1" si="66"/>
        <v>1451520</v>
      </c>
      <c r="L81" s="13">
        <v>507</v>
      </c>
      <c r="M81" s="13">
        <v>10</v>
      </c>
      <c r="N81" s="13">
        <v>3304</v>
      </c>
      <c r="O81" s="22">
        <f t="shared" si="45"/>
        <v>330.4</v>
      </c>
      <c r="P81" s="13">
        <v>304</v>
      </c>
      <c r="Q81" s="23">
        <f t="shared" si="46"/>
        <v>0.8</v>
      </c>
      <c r="R81" s="24">
        <f t="shared" si="47"/>
        <v>4</v>
      </c>
      <c r="S81" s="25">
        <f t="shared" si="67"/>
        <v>0.92009685230024219</v>
      </c>
      <c r="T81" s="25">
        <f t="shared" si="48"/>
        <v>0.18401937046004846</v>
      </c>
      <c r="U81" s="26">
        <v>4.4444444444444446E-2</v>
      </c>
      <c r="V81" s="26">
        <v>7.8101851851851853E-2</v>
      </c>
      <c r="W81" s="26">
        <v>0</v>
      </c>
      <c r="X81" s="27">
        <f t="shared" si="69"/>
        <v>1</v>
      </c>
      <c r="Y81" s="27">
        <f t="shared" si="49"/>
        <v>1</v>
      </c>
      <c r="Z81" s="27">
        <f t="shared" si="34"/>
        <v>0</v>
      </c>
      <c r="AA81" s="23">
        <f t="shared" si="50"/>
        <v>0.8</v>
      </c>
      <c r="AB81" s="24">
        <f t="shared" si="51"/>
        <v>2</v>
      </c>
      <c r="AC81" s="28">
        <f t="shared" si="52"/>
        <v>0.66666666666666663</v>
      </c>
      <c r="AD81" s="29">
        <f t="shared" si="53"/>
        <v>0.16666666666666666</v>
      </c>
      <c r="AE81" s="30">
        <v>3.1329966329966333E-2</v>
      </c>
      <c r="AF81" s="23">
        <f t="shared" si="54"/>
        <v>1.25</v>
      </c>
      <c r="AG81" s="24">
        <f t="shared" si="55"/>
        <v>5</v>
      </c>
      <c r="AH81" s="28">
        <f t="shared" si="56"/>
        <v>1</v>
      </c>
      <c r="AI81" s="29">
        <f t="shared" si="57"/>
        <v>0.25</v>
      </c>
      <c r="AJ81" s="31">
        <v>1</v>
      </c>
      <c r="AK81" s="31">
        <v>1</v>
      </c>
      <c r="AL81" s="31">
        <v>1</v>
      </c>
      <c r="AM81" s="31">
        <v>0</v>
      </c>
      <c r="AN81" s="31">
        <v>0</v>
      </c>
      <c r="AO81" s="31">
        <v>0</v>
      </c>
      <c r="AP81" s="31">
        <v>0</v>
      </c>
      <c r="AQ81" s="31">
        <v>0</v>
      </c>
      <c r="AR81" s="23">
        <f t="shared" si="58"/>
        <v>0.6</v>
      </c>
      <c r="AS81" s="24">
        <f t="shared" si="59"/>
        <v>3</v>
      </c>
      <c r="AT81" s="28">
        <f t="shared" si="60"/>
        <v>0.375</v>
      </c>
      <c r="AU81" s="28">
        <f t="shared" si="61"/>
        <v>5.6249999999999994E-2</v>
      </c>
      <c r="AV81" s="32">
        <v>75</v>
      </c>
      <c r="AW81" s="32">
        <v>75</v>
      </c>
      <c r="AX81" s="32">
        <v>90</v>
      </c>
      <c r="AY81" s="32">
        <v>85</v>
      </c>
      <c r="AZ81" s="32">
        <v>90</v>
      </c>
      <c r="BA81" s="32">
        <v>100</v>
      </c>
      <c r="BB81" s="23">
        <f t="shared" ca="1" si="62"/>
        <v>0.8</v>
      </c>
      <c r="BC81" s="33">
        <f t="shared" si="68"/>
        <v>85.833333333333329</v>
      </c>
      <c r="BD81" s="28">
        <f t="shared" si="63"/>
        <v>0.94174757281553401</v>
      </c>
      <c r="BE81" s="28">
        <f t="shared" si="64"/>
        <v>0.18834951456310681</v>
      </c>
      <c r="BF81" s="34">
        <f ca="1">Q81+AA81+AF81+AR81+BB81</f>
        <v>4.25</v>
      </c>
      <c r="BG81" s="34">
        <f>AVERAGE(AV81:AZ81)</f>
        <v>83</v>
      </c>
      <c r="BH81" s="35">
        <f>T81+AD81+AI81+AU81+BE81</f>
        <v>0.84528555168982189</v>
      </c>
      <c r="BI81" s="36" t="str">
        <f ca="1">IF(K81&lt;365,"New CE",(IF(BH81&gt;=100%,"Promote",IF(BH81&gt;=90%,"Sangat Baik",IF(BH81&gt;=80%,"Baik",IF(BH81&gt;=70%,"Lebih Dari Cukup",IF(BH81&gt;=60%,"Cukup","Kurang")))))))</f>
        <v>Baik</v>
      </c>
      <c r="BJ81" s="36" t="s">
        <v>855</v>
      </c>
      <c r="BK81" s="58" t="s">
        <v>48</v>
      </c>
      <c r="BL81" s="59" t="e">
        <v>#N/A</v>
      </c>
    </row>
    <row r="82" spans="1:64" x14ac:dyDescent="0.35">
      <c r="A82" s="19">
        <v>78</v>
      </c>
      <c r="B82" s="13" t="s">
        <v>258</v>
      </c>
      <c r="C82" s="20" t="s">
        <v>259</v>
      </c>
      <c r="D82" s="76" t="s">
        <v>54</v>
      </c>
      <c r="E82" s="13" t="s">
        <v>182</v>
      </c>
      <c r="F82" s="13" t="s">
        <v>74</v>
      </c>
      <c r="G82" s="13" t="s">
        <v>75</v>
      </c>
      <c r="H82" s="65">
        <v>45231</v>
      </c>
      <c r="I82" s="21">
        <f t="shared" ca="1" si="65"/>
        <v>45974</v>
      </c>
      <c r="J82" s="13" t="str">
        <f t="shared" ca="1" si="44"/>
        <v xml:space="preserve">2 Tahun 0 Bulan 12 Hari </v>
      </c>
      <c r="K82" s="13">
        <f t="shared" ca="1" si="66"/>
        <v>1069920</v>
      </c>
      <c r="L82" s="13">
        <v>612</v>
      </c>
      <c r="M82" s="13">
        <v>11</v>
      </c>
      <c r="N82" s="13">
        <v>5254</v>
      </c>
      <c r="O82" s="22">
        <f t="shared" si="45"/>
        <v>477.63636363636363</v>
      </c>
      <c r="P82" s="13">
        <v>509</v>
      </c>
      <c r="Q82" s="23">
        <f t="shared" si="46"/>
        <v>1</v>
      </c>
      <c r="R82" s="24">
        <f t="shared" si="47"/>
        <v>5</v>
      </c>
      <c r="S82" s="25">
        <f t="shared" si="67"/>
        <v>1.0656642558051008</v>
      </c>
      <c r="T82" s="25">
        <f t="shared" si="48"/>
        <v>0.21313285116102018</v>
      </c>
      <c r="U82" s="26">
        <v>1031.0387866512347</v>
      </c>
      <c r="V82" s="26">
        <v>0.11388888888888889</v>
      </c>
      <c r="W82" s="26">
        <v>0.15405671296296297</v>
      </c>
      <c r="X82" s="27">
        <f t="shared" si="69"/>
        <v>0</v>
      </c>
      <c r="Y82" s="27">
        <f t="shared" si="49"/>
        <v>1</v>
      </c>
      <c r="Z82" s="27">
        <f t="shared" si="34"/>
        <v>1</v>
      </c>
      <c r="AA82" s="23">
        <f t="shared" si="50"/>
        <v>0.8</v>
      </c>
      <c r="AB82" s="24">
        <f t="shared" si="51"/>
        <v>2</v>
      </c>
      <c r="AC82" s="28">
        <f t="shared" si="52"/>
        <v>0.66666666666666663</v>
      </c>
      <c r="AD82" s="29">
        <f t="shared" si="53"/>
        <v>0.16666666666666666</v>
      </c>
      <c r="AE82" s="30">
        <v>4.6134259259259257E-2</v>
      </c>
      <c r="AF82" s="23">
        <f t="shared" si="54"/>
        <v>1</v>
      </c>
      <c r="AG82" s="24">
        <f t="shared" si="55"/>
        <v>4</v>
      </c>
      <c r="AH82" s="28">
        <f t="shared" si="56"/>
        <v>0.8</v>
      </c>
      <c r="AI82" s="29">
        <f t="shared" si="57"/>
        <v>0.2</v>
      </c>
      <c r="AJ82" s="31">
        <v>1</v>
      </c>
      <c r="AK82" s="31">
        <v>1</v>
      </c>
      <c r="AL82" s="31">
        <v>1</v>
      </c>
      <c r="AM82" s="31">
        <v>0</v>
      </c>
      <c r="AN82" s="31">
        <v>0</v>
      </c>
      <c r="AO82" s="31">
        <v>1</v>
      </c>
      <c r="AP82" s="31">
        <v>0</v>
      </c>
      <c r="AQ82" s="31">
        <v>0</v>
      </c>
      <c r="AR82" s="23">
        <f t="shared" si="58"/>
        <v>0.8</v>
      </c>
      <c r="AS82" s="24">
        <f t="shared" si="59"/>
        <v>4</v>
      </c>
      <c r="AT82" s="28">
        <f t="shared" si="60"/>
        <v>0.5</v>
      </c>
      <c r="AU82" s="28">
        <f t="shared" si="61"/>
        <v>7.4999999999999997E-2</v>
      </c>
      <c r="AV82" s="32">
        <v>75</v>
      </c>
      <c r="AW82" s="32">
        <v>75</v>
      </c>
      <c r="AX82" s="32">
        <v>85</v>
      </c>
      <c r="AY82" s="32">
        <v>90</v>
      </c>
      <c r="AZ82" s="32">
        <v>85</v>
      </c>
      <c r="BA82" s="32">
        <v>100</v>
      </c>
      <c r="BB82" s="23">
        <f t="shared" ca="1" si="62"/>
        <v>0.8</v>
      </c>
      <c r="BC82" s="33">
        <f t="shared" si="68"/>
        <v>85</v>
      </c>
      <c r="BD82" s="28">
        <f t="shared" si="63"/>
        <v>0.94117647058823528</v>
      </c>
      <c r="BE82" s="28">
        <f t="shared" si="64"/>
        <v>0.18823529411764706</v>
      </c>
      <c r="BF82" s="34">
        <f ca="1">Q82+AA82+AF82+AR82+BB82</f>
        <v>4.3999999999999995</v>
      </c>
      <c r="BG82" s="34">
        <f>AVERAGE(AV82:AZ82)</f>
        <v>82</v>
      </c>
      <c r="BH82" s="35">
        <f>T82+AD82+AI82+AU82+BE82</f>
        <v>0.84303481194533392</v>
      </c>
      <c r="BI82" s="36" t="str">
        <f ca="1">IF(K82&lt;365,"New CE",(IF(BH82&gt;=100%,"Promote",IF(BH82&gt;=90%,"Sangat Baik",IF(BH82&gt;=80%,"Baik",IF(BH82&gt;=70%,"Lebih Dari Cukup",IF(BH82&gt;=60%,"Cukup","Kurang")))))))</f>
        <v>Baik</v>
      </c>
      <c r="BJ82" s="36" t="s">
        <v>855</v>
      </c>
      <c r="BK82" s="58" t="s">
        <v>48</v>
      </c>
      <c r="BL82" s="59" t="str">
        <v>Achmad Gildas Thauty</v>
      </c>
    </row>
    <row r="83" spans="1:64" x14ac:dyDescent="0.35">
      <c r="A83" s="19">
        <v>79</v>
      </c>
      <c r="B83" s="39" t="s">
        <v>260</v>
      </c>
      <c r="C83" s="40" t="s">
        <v>261</v>
      </c>
      <c r="D83" s="77" t="s">
        <v>54</v>
      </c>
      <c r="E83" s="39" t="s">
        <v>43</v>
      </c>
      <c r="F83" s="39" t="s">
        <v>44</v>
      </c>
      <c r="G83" s="39" t="s">
        <v>45</v>
      </c>
      <c r="H83" s="66">
        <v>45173</v>
      </c>
      <c r="I83" s="21">
        <f t="shared" ca="1" si="65"/>
        <v>45974</v>
      </c>
      <c r="J83" s="39" t="str">
        <f t="shared" ca="1" si="44"/>
        <v xml:space="preserve">2 Tahun 2 Bulan 9 Hari </v>
      </c>
      <c r="K83" s="13">
        <f t="shared" ca="1" si="66"/>
        <v>1153440</v>
      </c>
      <c r="L83" s="39">
        <v>1384</v>
      </c>
      <c r="M83" s="39">
        <v>22</v>
      </c>
      <c r="N83" s="39">
        <v>6775</v>
      </c>
      <c r="O83" s="41">
        <f t="shared" si="45"/>
        <v>307.95454545454544</v>
      </c>
      <c r="P83" s="39">
        <v>279</v>
      </c>
      <c r="Q83" s="42">
        <f t="shared" si="46"/>
        <v>0.8</v>
      </c>
      <c r="R83" s="43">
        <f t="shared" si="47"/>
        <v>4</v>
      </c>
      <c r="S83" s="44">
        <f t="shared" si="67"/>
        <v>0.90597785977859779</v>
      </c>
      <c r="T83" s="44">
        <f t="shared" si="48"/>
        <v>0.18119557195571956</v>
      </c>
      <c r="U83" s="45">
        <v>0.14722222222222223</v>
      </c>
      <c r="V83" s="45">
        <v>2.4085648148148148E-2</v>
      </c>
      <c r="W83" s="45">
        <v>4.3576388888888894E-2</v>
      </c>
      <c r="X83" s="46">
        <f t="shared" si="69"/>
        <v>0</v>
      </c>
      <c r="Y83" s="46">
        <f t="shared" si="49"/>
        <v>1</v>
      </c>
      <c r="Z83" s="46">
        <f t="shared" si="34"/>
        <v>1</v>
      </c>
      <c r="AA83" s="42">
        <f t="shared" si="50"/>
        <v>0.8</v>
      </c>
      <c r="AB83" s="43">
        <f t="shared" si="51"/>
        <v>2</v>
      </c>
      <c r="AC83" s="47">
        <f t="shared" si="52"/>
        <v>0.66666666666666663</v>
      </c>
      <c r="AD83" s="48">
        <f t="shared" si="53"/>
        <v>0.16666666666666666</v>
      </c>
      <c r="AE83" s="49">
        <v>2.7231347934472933E-2</v>
      </c>
      <c r="AF83" s="42">
        <f t="shared" si="54"/>
        <v>1.25</v>
      </c>
      <c r="AG83" s="43">
        <f t="shared" si="55"/>
        <v>5</v>
      </c>
      <c r="AH83" s="47">
        <f t="shared" si="56"/>
        <v>1</v>
      </c>
      <c r="AI83" s="48">
        <f t="shared" si="57"/>
        <v>0.25</v>
      </c>
      <c r="AJ83" s="50">
        <v>1</v>
      </c>
      <c r="AK83" s="50">
        <v>1</v>
      </c>
      <c r="AL83" s="50">
        <v>1</v>
      </c>
      <c r="AM83" s="50">
        <v>0</v>
      </c>
      <c r="AN83" s="50">
        <v>0</v>
      </c>
      <c r="AO83" s="50">
        <v>0</v>
      </c>
      <c r="AP83" s="50">
        <v>0</v>
      </c>
      <c r="AQ83" s="50">
        <v>0</v>
      </c>
      <c r="AR83" s="42">
        <f t="shared" si="58"/>
        <v>0.6</v>
      </c>
      <c r="AS83" s="43">
        <f t="shared" si="59"/>
        <v>3</v>
      </c>
      <c r="AT83" s="47">
        <f t="shared" si="60"/>
        <v>0.375</v>
      </c>
      <c r="AU83" s="47">
        <f t="shared" si="61"/>
        <v>5.6249999999999994E-2</v>
      </c>
      <c r="AV83" s="51">
        <v>75</v>
      </c>
      <c r="AW83" s="51">
        <v>70</v>
      </c>
      <c r="AX83" s="51">
        <v>80</v>
      </c>
      <c r="AY83" s="51">
        <v>80</v>
      </c>
      <c r="AZ83" s="51">
        <v>80</v>
      </c>
      <c r="BA83" s="32">
        <v>100</v>
      </c>
      <c r="BB83" s="42">
        <f t="shared" ca="1" si="62"/>
        <v>0.8</v>
      </c>
      <c r="BC83" s="33">
        <f t="shared" si="68"/>
        <v>80.833333333333329</v>
      </c>
      <c r="BD83" s="47">
        <f t="shared" si="63"/>
        <v>0.93814432989690721</v>
      </c>
      <c r="BE83" s="47">
        <f t="shared" si="64"/>
        <v>0.18762886597938144</v>
      </c>
      <c r="BF83" s="52">
        <f ca="1">Q83+AA83+AF83+AR83+BB83</f>
        <v>4.25</v>
      </c>
      <c r="BG83" s="52">
        <f>AVERAGE(AV83:AZ83)</f>
        <v>77</v>
      </c>
      <c r="BH83" s="53">
        <f>T83+AD83+AI83+AU83+BE83</f>
        <v>0.84174110460176765</v>
      </c>
      <c r="BI83" s="36" t="str">
        <f ca="1">IF(K83&lt;365,"New CE",(IF(BH83&gt;=100%,"Promote",IF(BH83&gt;=90%,"Sangat Baik",IF(BH83&gt;=80%,"Baik",IF(BH83&gt;=70%,"Lebih Dari Cukup",IF(BH83&gt;=60%,"Cukup","Kurang")))))))</f>
        <v>Baik</v>
      </c>
      <c r="BJ83" s="36" t="s">
        <v>860</v>
      </c>
      <c r="BK83" s="58" t="s">
        <v>54</v>
      </c>
      <c r="BL83" s="59" t="e">
        <v>#N/A</v>
      </c>
    </row>
    <row r="84" spans="1:64" x14ac:dyDescent="0.35">
      <c r="A84" s="19">
        <v>80</v>
      </c>
      <c r="B84" s="13" t="s">
        <v>262</v>
      </c>
      <c r="C84" s="20" t="s">
        <v>263</v>
      </c>
      <c r="D84" s="76" t="s">
        <v>48</v>
      </c>
      <c r="E84" s="13" t="s">
        <v>64</v>
      </c>
      <c r="F84" s="13" t="s">
        <v>44</v>
      </c>
      <c r="G84" s="13" t="s">
        <v>55</v>
      </c>
      <c r="H84" s="65">
        <v>43627</v>
      </c>
      <c r="I84" s="21">
        <f t="shared" ca="1" si="65"/>
        <v>45974</v>
      </c>
      <c r="J84" s="13" t="str">
        <f t="shared" ca="1" si="44"/>
        <v xml:space="preserve">6 Tahun 5 Bulan 2 Hari </v>
      </c>
      <c r="K84" s="13">
        <f t="shared" ca="1" si="66"/>
        <v>3379680</v>
      </c>
      <c r="L84" s="13">
        <v>872</v>
      </c>
      <c r="M84" s="13">
        <v>15</v>
      </c>
      <c r="N84" s="13">
        <v>5975</v>
      </c>
      <c r="O84" s="22">
        <f t="shared" si="45"/>
        <v>398.33333333333331</v>
      </c>
      <c r="P84" s="13">
        <v>449</v>
      </c>
      <c r="Q84" s="23">
        <f t="shared" si="46"/>
        <v>1</v>
      </c>
      <c r="R84" s="24">
        <f t="shared" si="47"/>
        <v>5</v>
      </c>
      <c r="S84" s="25">
        <f t="shared" si="67"/>
        <v>1.1271966527196653</v>
      </c>
      <c r="T84" s="25">
        <f t="shared" si="48"/>
        <v>0.22543933054393306</v>
      </c>
      <c r="U84" s="26">
        <v>16001.824021257175</v>
      </c>
      <c r="V84" s="26">
        <v>2.8055555555555556E-2</v>
      </c>
      <c r="W84" s="26">
        <v>0</v>
      </c>
      <c r="X84" s="27">
        <f t="shared" si="69"/>
        <v>0</v>
      </c>
      <c r="Y84" s="27">
        <f t="shared" si="49"/>
        <v>1</v>
      </c>
      <c r="Z84" s="27">
        <f t="shared" si="34"/>
        <v>0</v>
      </c>
      <c r="AA84" s="23">
        <f t="shared" si="50"/>
        <v>0.4</v>
      </c>
      <c r="AB84" s="24">
        <f t="shared" si="51"/>
        <v>1</v>
      </c>
      <c r="AC84" s="28">
        <f t="shared" si="52"/>
        <v>0.33333333333333331</v>
      </c>
      <c r="AD84" s="29">
        <f t="shared" si="53"/>
        <v>8.3333333333333329E-2</v>
      </c>
      <c r="AE84" s="30">
        <v>3.6280601150392819E-2</v>
      </c>
      <c r="AF84" s="23">
        <f t="shared" si="54"/>
        <v>1.25</v>
      </c>
      <c r="AG84" s="24">
        <f t="shared" si="55"/>
        <v>5</v>
      </c>
      <c r="AH84" s="28">
        <f t="shared" si="56"/>
        <v>1</v>
      </c>
      <c r="AI84" s="29">
        <f t="shared" si="57"/>
        <v>0.25</v>
      </c>
      <c r="AJ84" s="31">
        <v>1</v>
      </c>
      <c r="AK84" s="31">
        <v>1</v>
      </c>
      <c r="AL84" s="31">
        <v>1</v>
      </c>
      <c r="AM84" s="31">
        <v>0</v>
      </c>
      <c r="AN84" s="31">
        <v>1</v>
      </c>
      <c r="AO84" s="31">
        <v>1</v>
      </c>
      <c r="AP84" s="31">
        <v>0</v>
      </c>
      <c r="AQ84" s="31">
        <v>0</v>
      </c>
      <c r="AR84" s="23">
        <f t="shared" si="58"/>
        <v>1</v>
      </c>
      <c r="AS84" s="24">
        <f t="shared" si="59"/>
        <v>5</v>
      </c>
      <c r="AT84" s="28">
        <f t="shared" si="60"/>
        <v>0.625</v>
      </c>
      <c r="AU84" s="28">
        <f t="shared" si="61"/>
        <v>9.375E-2</v>
      </c>
      <c r="AV84" s="32">
        <v>80</v>
      </c>
      <c r="AW84" s="32">
        <v>80</v>
      </c>
      <c r="AX84" s="32">
        <v>85</v>
      </c>
      <c r="AY84" s="32">
        <v>85</v>
      </c>
      <c r="AZ84" s="32">
        <v>80</v>
      </c>
      <c r="BA84" s="32">
        <v>100</v>
      </c>
      <c r="BB84" s="23">
        <f t="shared" ca="1" si="62"/>
        <v>0.8</v>
      </c>
      <c r="BC84" s="33">
        <f t="shared" si="68"/>
        <v>85</v>
      </c>
      <c r="BD84" s="28">
        <f t="shared" si="63"/>
        <v>0.94117647058823528</v>
      </c>
      <c r="BE84" s="28">
        <f t="shared" si="64"/>
        <v>0.18823529411764706</v>
      </c>
      <c r="BF84" s="34">
        <f ca="1">Q84+AA84+AF84+AR84+BB84</f>
        <v>4.45</v>
      </c>
      <c r="BG84" s="34">
        <f>AVERAGE(AV84:AZ84)</f>
        <v>82</v>
      </c>
      <c r="BH84" s="35">
        <f>T84+AD84+AI84+AU84+BE84</f>
        <v>0.84075795799491337</v>
      </c>
      <c r="BI84" s="36" t="str">
        <f ca="1">IF(K84&lt;365,"New CE",(IF(BH84&gt;=100%,"Promote",IF(BH84&gt;=90%,"Sangat Baik",IF(BH84&gt;=80%,"Baik",IF(BH84&gt;=70%,"Lebih Dari Cukup",IF(BH84&gt;=60%,"Cukup","Kurang")))))))</f>
        <v>Baik</v>
      </c>
      <c r="BJ84" s="36" t="s">
        <v>860</v>
      </c>
      <c r="BK84" s="58" t="s">
        <v>48</v>
      </c>
      <c r="BL84" s="59" t="e">
        <v>#N/A</v>
      </c>
    </row>
    <row r="85" spans="1:64" x14ac:dyDescent="0.35">
      <c r="A85" s="19">
        <v>81</v>
      </c>
      <c r="B85" s="13" t="s">
        <v>264</v>
      </c>
      <c r="C85" s="20" t="s">
        <v>265</v>
      </c>
      <c r="D85" s="76" t="s">
        <v>48</v>
      </c>
      <c r="E85" s="13" t="s">
        <v>43</v>
      </c>
      <c r="F85" s="13" t="s">
        <v>44</v>
      </c>
      <c r="G85" s="13" t="s">
        <v>45</v>
      </c>
      <c r="H85" s="65">
        <v>43472</v>
      </c>
      <c r="I85" s="21">
        <f t="shared" ca="1" si="65"/>
        <v>45974</v>
      </c>
      <c r="J85" s="13" t="str">
        <f t="shared" ca="1" si="44"/>
        <v xml:space="preserve">6 Tahun 10 Bulan 6 Hari </v>
      </c>
      <c r="K85" s="13">
        <f t="shared" ca="1" si="66"/>
        <v>3602880</v>
      </c>
      <c r="L85" s="13">
        <v>1384</v>
      </c>
      <c r="M85" s="13">
        <v>22</v>
      </c>
      <c r="N85" s="13">
        <v>6775</v>
      </c>
      <c r="O85" s="22">
        <f t="shared" si="45"/>
        <v>307.95454545454544</v>
      </c>
      <c r="P85" s="13">
        <v>453</v>
      </c>
      <c r="Q85" s="23">
        <f t="shared" si="46"/>
        <v>1</v>
      </c>
      <c r="R85" s="24">
        <f t="shared" si="47"/>
        <v>5</v>
      </c>
      <c r="S85" s="25">
        <f t="shared" si="67"/>
        <v>1.4709963099630996</v>
      </c>
      <c r="T85" s="25">
        <f t="shared" si="48"/>
        <v>0.29419926199261992</v>
      </c>
      <c r="U85" s="26">
        <v>3028.8772658950629</v>
      </c>
      <c r="V85" s="26">
        <v>7.6909722222222227E-2</v>
      </c>
      <c r="W85" s="26">
        <v>0</v>
      </c>
      <c r="X85" s="27">
        <f t="shared" si="69"/>
        <v>0</v>
      </c>
      <c r="Y85" s="27">
        <f t="shared" si="49"/>
        <v>1</v>
      </c>
      <c r="Z85" s="27">
        <f t="shared" si="34"/>
        <v>0</v>
      </c>
      <c r="AA85" s="23">
        <f t="shared" si="50"/>
        <v>0.4</v>
      </c>
      <c r="AB85" s="24">
        <f t="shared" si="51"/>
        <v>1</v>
      </c>
      <c r="AC85" s="28">
        <f t="shared" si="52"/>
        <v>0.33333333333333331</v>
      </c>
      <c r="AD85" s="29">
        <f t="shared" si="53"/>
        <v>8.3333333333333329E-2</v>
      </c>
      <c r="AE85" s="30">
        <v>6.5985276545353216E-2</v>
      </c>
      <c r="AF85" s="23">
        <f t="shared" si="54"/>
        <v>1</v>
      </c>
      <c r="AG85" s="24">
        <f t="shared" si="55"/>
        <v>4</v>
      </c>
      <c r="AH85" s="28">
        <f t="shared" si="56"/>
        <v>0.8</v>
      </c>
      <c r="AI85" s="29">
        <f t="shared" si="57"/>
        <v>0.2</v>
      </c>
      <c r="AJ85" s="31">
        <v>1</v>
      </c>
      <c r="AK85" s="31">
        <v>1</v>
      </c>
      <c r="AL85" s="31">
        <v>1</v>
      </c>
      <c r="AM85" s="31">
        <v>1</v>
      </c>
      <c r="AN85" s="31">
        <v>0</v>
      </c>
      <c r="AO85" s="31">
        <v>0</v>
      </c>
      <c r="AP85" s="31">
        <v>0</v>
      </c>
      <c r="AQ85" s="31">
        <v>0</v>
      </c>
      <c r="AR85" s="23">
        <f t="shared" si="58"/>
        <v>0.8</v>
      </c>
      <c r="AS85" s="24">
        <f t="shared" si="59"/>
        <v>4</v>
      </c>
      <c r="AT85" s="28">
        <f t="shared" si="60"/>
        <v>0.5</v>
      </c>
      <c r="AU85" s="28">
        <f t="shared" si="61"/>
        <v>7.4999999999999997E-2</v>
      </c>
      <c r="AV85" s="32">
        <v>75</v>
      </c>
      <c r="AW85" s="32">
        <v>70</v>
      </c>
      <c r="AX85" s="32">
        <v>80</v>
      </c>
      <c r="AY85" s="32">
        <v>80</v>
      </c>
      <c r="AZ85" s="32">
        <v>80</v>
      </c>
      <c r="BA85" s="32">
        <v>100</v>
      </c>
      <c r="BB85" s="23">
        <f t="shared" ca="1" si="62"/>
        <v>0.8</v>
      </c>
      <c r="BC85" s="33">
        <f t="shared" si="68"/>
        <v>80.833333333333329</v>
      </c>
      <c r="BD85" s="28">
        <f t="shared" si="63"/>
        <v>0.93814432989690721</v>
      </c>
      <c r="BE85" s="28">
        <f t="shared" si="64"/>
        <v>0.18762886597938144</v>
      </c>
      <c r="BF85" s="34">
        <f ca="1">Q85+AA85+AF85+AR85+BB85</f>
        <v>4</v>
      </c>
      <c r="BG85" s="34">
        <f>AVERAGE(AV85:AZ85)</f>
        <v>77</v>
      </c>
      <c r="BH85" s="35">
        <f>T85+AD85+AI85+AU85+BE85</f>
        <v>0.84016146130533464</v>
      </c>
      <c r="BI85" s="36" t="str">
        <f ca="1">IF(K85&lt;365,"New CE",(IF(BH85&gt;=100%,"Promote",IF(BH85&gt;=90%,"Sangat Baik",IF(BH85&gt;=80%,"Baik",IF(BH85&gt;=70%,"Lebih Dari Cukup",IF(BH85&gt;=60%,"Cukup","Kurang")))))))</f>
        <v>Baik</v>
      </c>
      <c r="BJ85" s="36" t="s">
        <v>855</v>
      </c>
      <c r="BK85" s="58" t="s">
        <v>851</v>
      </c>
      <c r="BL85" s="59" t="e">
        <v>#N/A</v>
      </c>
    </row>
    <row r="86" spans="1:64" x14ac:dyDescent="0.35">
      <c r="A86" s="19">
        <v>82</v>
      </c>
      <c r="B86" s="13" t="s">
        <v>266</v>
      </c>
      <c r="C86" s="20" t="s">
        <v>267</v>
      </c>
      <c r="D86" s="76" t="s">
        <v>48</v>
      </c>
      <c r="E86" s="13" t="s">
        <v>268</v>
      </c>
      <c r="F86" s="13" t="s">
        <v>50</v>
      </c>
      <c r="G86" s="13" t="s">
        <v>55</v>
      </c>
      <c r="H86" s="65">
        <v>44882</v>
      </c>
      <c r="I86" s="21">
        <f t="shared" ca="1" si="65"/>
        <v>45974</v>
      </c>
      <c r="J86" s="13" t="str">
        <f t="shared" ca="1" si="44"/>
        <v xml:space="preserve">2 Tahun 11 Bulan 27 Hari </v>
      </c>
      <c r="K86" s="13">
        <f t="shared" ca="1" si="66"/>
        <v>1572480</v>
      </c>
      <c r="L86" s="13">
        <v>116</v>
      </c>
      <c r="M86" s="13">
        <v>3</v>
      </c>
      <c r="N86" s="13">
        <v>683</v>
      </c>
      <c r="O86" s="22">
        <f t="shared" si="45"/>
        <v>227.66666666666666</v>
      </c>
      <c r="P86" s="13">
        <v>260</v>
      </c>
      <c r="Q86" s="23">
        <f t="shared" si="46"/>
        <v>1</v>
      </c>
      <c r="R86" s="24">
        <f t="shared" si="47"/>
        <v>5</v>
      </c>
      <c r="S86" s="25">
        <f t="shared" si="67"/>
        <v>1.1420204978038069</v>
      </c>
      <c r="T86" s="25">
        <f t="shared" si="48"/>
        <v>0.22840409956076138</v>
      </c>
      <c r="U86" s="26">
        <v>5.5555555555555552E-2</v>
      </c>
      <c r="V86" s="26">
        <v>0</v>
      </c>
      <c r="W86" s="26">
        <v>19504.623738839287</v>
      </c>
      <c r="X86" s="27">
        <f t="shared" si="69"/>
        <v>1</v>
      </c>
      <c r="Y86" s="27">
        <f t="shared" si="49"/>
        <v>0</v>
      </c>
      <c r="Z86" s="27">
        <f t="shared" si="34"/>
        <v>1</v>
      </c>
      <c r="AA86" s="23">
        <f t="shared" si="50"/>
        <v>0.8</v>
      </c>
      <c r="AB86" s="24">
        <f t="shared" si="51"/>
        <v>2</v>
      </c>
      <c r="AC86" s="28">
        <f t="shared" si="52"/>
        <v>0.66666666666666663</v>
      </c>
      <c r="AD86" s="29">
        <f t="shared" si="53"/>
        <v>0.16666666666666666</v>
      </c>
      <c r="AE86" s="30">
        <v>7.4780092592592592E-2</v>
      </c>
      <c r="AF86" s="23">
        <f t="shared" si="54"/>
        <v>1</v>
      </c>
      <c r="AG86" s="24">
        <f t="shared" si="55"/>
        <v>4</v>
      </c>
      <c r="AH86" s="28">
        <f t="shared" si="56"/>
        <v>0.8</v>
      </c>
      <c r="AI86" s="29">
        <f t="shared" si="57"/>
        <v>0.2</v>
      </c>
      <c r="AJ86" s="31">
        <v>1</v>
      </c>
      <c r="AK86" s="31">
        <v>1</v>
      </c>
      <c r="AL86" s="31">
        <v>1</v>
      </c>
      <c r="AM86" s="31">
        <v>0</v>
      </c>
      <c r="AN86" s="31">
        <v>0</v>
      </c>
      <c r="AO86" s="31">
        <v>0</v>
      </c>
      <c r="AP86" s="31">
        <v>0</v>
      </c>
      <c r="AQ86" s="31">
        <v>0</v>
      </c>
      <c r="AR86" s="23">
        <f t="shared" si="58"/>
        <v>0.6</v>
      </c>
      <c r="AS86" s="24">
        <f t="shared" si="59"/>
        <v>3</v>
      </c>
      <c r="AT86" s="28">
        <f t="shared" si="60"/>
        <v>0.375</v>
      </c>
      <c r="AU86" s="28">
        <f t="shared" si="61"/>
        <v>5.6249999999999994E-2</v>
      </c>
      <c r="AV86" s="32">
        <v>75</v>
      </c>
      <c r="AW86" s="32">
        <v>75</v>
      </c>
      <c r="AX86" s="32">
        <v>90</v>
      </c>
      <c r="AY86" s="32">
        <v>90</v>
      </c>
      <c r="AZ86" s="32">
        <v>80</v>
      </c>
      <c r="BA86" s="32">
        <v>100</v>
      </c>
      <c r="BB86" s="23">
        <f t="shared" ca="1" si="62"/>
        <v>0.8</v>
      </c>
      <c r="BC86" s="33">
        <f t="shared" si="68"/>
        <v>85</v>
      </c>
      <c r="BD86" s="28">
        <f t="shared" si="63"/>
        <v>0.94117647058823528</v>
      </c>
      <c r="BE86" s="28">
        <f t="shared" si="64"/>
        <v>0.18823529411764706</v>
      </c>
      <c r="BF86" s="34">
        <f ca="1">Q86+AA86+AF86+AR86+BB86</f>
        <v>4.2</v>
      </c>
      <c r="BG86" s="34">
        <f>AVERAGE(AV86:AZ86)</f>
        <v>82</v>
      </c>
      <c r="BH86" s="35">
        <f>T86+AD86+AI86+AU86+BE86</f>
        <v>0.83955606034507513</v>
      </c>
      <c r="BI86" s="36" t="str">
        <f ca="1">IF(K86&lt;365,"New CE",(IF(BH86&gt;=100%,"Promote",IF(BH86&gt;=90%,"Sangat Baik",IF(BH86&gt;=80%,"Baik",IF(BH86&gt;=70%,"Lebih Dari Cukup",IF(BH86&gt;=60%,"Cukup","Kurang")))))))</f>
        <v>Baik</v>
      </c>
      <c r="BJ86" s="36" t="s">
        <v>855</v>
      </c>
      <c r="BK86" s="58" t="s">
        <v>851</v>
      </c>
      <c r="BL86" s="59" t="e">
        <v>#N/A</v>
      </c>
    </row>
    <row r="87" spans="1:64" x14ac:dyDescent="0.35">
      <c r="A87" s="19">
        <v>83</v>
      </c>
      <c r="B87" s="13" t="s">
        <v>269</v>
      </c>
      <c r="C87" s="20" t="s">
        <v>270</v>
      </c>
      <c r="D87" s="76" t="s">
        <v>48</v>
      </c>
      <c r="E87" s="13" t="s">
        <v>117</v>
      </c>
      <c r="F87" s="13" t="s">
        <v>74</v>
      </c>
      <c r="G87" s="13" t="s">
        <v>61</v>
      </c>
      <c r="H87" s="65">
        <v>44291</v>
      </c>
      <c r="I87" s="21">
        <f t="shared" ca="1" si="65"/>
        <v>45974</v>
      </c>
      <c r="J87" s="13" t="str">
        <f t="shared" ca="1" si="44"/>
        <v xml:space="preserve">4 Tahun 7 Bulan 8 Hari </v>
      </c>
      <c r="K87" s="13">
        <f t="shared" ca="1" si="66"/>
        <v>2423520</v>
      </c>
      <c r="L87" s="13">
        <v>401</v>
      </c>
      <c r="M87" s="13">
        <v>7</v>
      </c>
      <c r="N87" s="13">
        <v>2754</v>
      </c>
      <c r="O87" s="22">
        <f t="shared" si="45"/>
        <v>393.42857142857144</v>
      </c>
      <c r="P87" s="13">
        <v>573</v>
      </c>
      <c r="Q87" s="23">
        <f t="shared" si="46"/>
        <v>1</v>
      </c>
      <c r="R87" s="24">
        <f t="shared" si="47"/>
        <v>5</v>
      </c>
      <c r="S87" s="25">
        <f t="shared" si="67"/>
        <v>1.4564270152505445</v>
      </c>
      <c r="T87" s="25">
        <f t="shared" si="48"/>
        <v>0.29128540305010892</v>
      </c>
      <c r="U87" s="26">
        <v>4206.6371739969136</v>
      </c>
      <c r="V87" s="26">
        <v>3504.6224777421658</v>
      </c>
      <c r="W87" s="26">
        <v>5359.0287819989098</v>
      </c>
      <c r="X87" s="27">
        <f t="shared" si="69"/>
        <v>0</v>
      </c>
      <c r="Y87" s="27">
        <f t="shared" si="49"/>
        <v>0</v>
      </c>
      <c r="Z87" s="27">
        <f t="shared" si="34"/>
        <v>1</v>
      </c>
      <c r="AA87" s="23">
        <f t="shared" si="50"/>
        <v>0.4</v>
      </c>
      <c r="AB87" s="24">
        <f t="shared" si="51"/>
        <v>1</v>
      </c>
      <c r="AC87" s="28">
        <f t="shared" si="52"/>
        <v>0.33333333333333331</v>
      </c>
      <c r="AD87" s="29">
        <f t="shared" si="53"/>
        <v>8.3333333333333329E-2</v>
      </c>
      <c r="AE87" s="30">
        <v>4.1992080332647452E-2</v>
      </c>
      <c r="AF87" s="23">
        <f t="shared" si="54"/>
        <v>1</v>
      </c>
      <c r="AG87" s="24">
        <f t="shared" si="55"/>
        <v>4</v>
      </c>
      <c r="AH87" s="28">
        <f t="shared" si="56"/>
        <v>0.8</v>
      </c>
      <c r="AI87" s="29">
        <f t="shared" si="57"/>
        <v>0.2</v>
      </c>
      <c r="AJ87" s="31">
        <v>1</v>
      </c>
      <c r="AK87" s="31">
        <v>1</v>
      </c>
      <c r="AL87" s="31">
        <v>1</v>
      </c>
      <c r="AM87" s="31">
        <v>0</v>
      </c>
      <c r="AN87" s="31">
        <v>1</v>
      </c>
      <c r="AO87" s="31">
        <v>0</v>
      </c>
      <c r="AP87" s="31">
        <v>0</v>
      </c>
      <c r="AQ87" s="31">
        <v>0</v>
      </c>
      <c r="AR87" s="23">
        <f t="shared" si="58"/>
        <v>0.8</v>
      </c>
      <c r="AS87" s="24">
        <f t="shared" si="59"/>
        <v>4</v>
      </c>
      <c r="AT87" s="28">
        <f t="shared" si="60"/>
        <v>0.5</v>
      </c>
      <c r="AU87" s="28">
        <f t="shared" si="61"/>
        <v>7.4999999999999997E-2</v>
      </c>
      <c r="AV87" s="32">
        <v>80</v>
      </c>
      <c r="AW87" s="32">
        <v>75</v>
      </c>
      <c r="AX87" s="32">
        <v>85</v>
      </c>
      <c r="AY87" s="32">
        <v>85</v>
      </c>
      <c r="AZ87" s="32">
        <v>80</v>
      </c>
      <c r="BA87" s="32">
        <v>100</v>
      </c>
      <c r="BB87" s="23">
        <f t="shared" ca="1" si="62"/>
        <v>0.8</v>
      </c>
      <c r="BC87" s="33">
        <f t="shared" si="68"/>
        <v>84.166666666666671</v>
      </c>
      <c r="BD87" s="28">
        <f t="shared" si="63"/>
        <v>0.94059405940594054</v>
      </c>
      <c r="BE87" s="28">
        <f t="shared" si="64"/>
        <v>0.18811881188118812</v>
      </c>
      <c r="BF87" s="34">
        <f ca="1">Q87+AA87+AF87+AR87+BB87</f>
        <v>4</v>
      </c>
      <c r="BG87" s="34">
        <f>AVERAGE(AV87:AZ87)</f>
        <v>81</v>
      </c>
      <c r="BH87" s="35">
        <f>T87+AD87+AI87+AU87+BE87</f>
        <v>0.83773754826463032</v>
      </c>
      <c r="BI87" s="36" t="str">
        <f ca="1">IF(K87&lt;365,"New CE",(IF(BH87&gt;=100%,"Promote",IF(BH87&gt;=90%,"Sangat Baik",IF(BH87&gt;=80%,"Baik",IF(BH87&gt;=70%,"Lebih Dari Cukup",IF(BH87&gt;=60%,"Cukup","Kurang")))))))</f>
        <v>Baik</v>
      </c>
      <c r="BJ87" s="36" t="s">
        <v>860</v>
      </c>
      <c r="BK87" s="58" t="s">
        <v>48</v>
      </c>
      <c r="BL87" s="59" t="str">
        <v>Reski Afdhila</v>
      </c>
    </row>
    <row r="88" spans="1:64" x14ac:dyDescent="0.35">
      <c r="A88" s="19">
        <v>84</v>
      </c>
      <c r="B88" s="13" t="s">
        <v>271</v>
      </c>
      <c r="C88" s="20" t="s">
        <v>272</v>
      </c>
      <c r="D88" s="76" t="s">
        <v>48</v>
      </c>
      <c r="E88" s="13" t="s">
        <v>174</v>
      </c>
      <c r="F88" s="13" t="s">
        <v>50</v>
      </c>
      <c r="G88" s="13" t="s">
        <v>55</v>
      </c>
      <c r="H88" s="65">
        <v>44795</v>
      </c>
      <c r="I88" s="21">
        <f t="shared" ca="1" si="65"/>
        <v>45974</v>
      </c>
      <c r="J88" s="13" t="str">
        <f t="shared" ca="1" si="44"/>
        <v xml:space="preserve">3 Tahun 2 Bulan 22 Hari </v>
      </c>
      <c r="K88" s="13">
        <f t="shared" ca="1" si="66"/>
        <v>1697760</v>
      </c>
      <c r="L88" s="13">
        <v>218</v>
      </c>
      <c r="M88" s="13">
        <v>4</v>
      </c>
      <c r="N88" s="13">
        <v>1692</v>
      </c>
      <c r="O88" s="22">
        <f t="shared" si="45"/>
        <v>423</v>
      </c>
      <c r="P88" s="13">
        <v>478</v>
      </c>
      <c r="Q88" s="23">
        <f t="shared" si="46"/>
        <v>1</v>
      </c>
      <c r="R88" s="24">
        <f t="shared" si="47"/>
        <v>5</v>
      </c>
      <c r="S88" s="25">
        <f t="shared" si="67"/>
        <v>1.1300236406619386</v>
      </c>
      <c r="T88" s="25">
        <f t="shared" si="48"/>
        <v>0.22600472813238773</v>
      </c>
      <c r="U88" s="26">
        <v>8220.4910580300111</v>
      </c>
      <c r="V88" s="26">
        <v>0.11608796296296296</v>
      </c>
      <c r="W88" s="26">
        <v>0.21690972222222221</v>
      </c>
      <c r="X88" s="27">
        <f t="shared" si="69"/>
        <v>0</v>
      </c>
      <c r="Y88" s="27">
        <f t="shared" si="49"/>
        <v>1</v>
      </c>
      <c r="Z88" s="27">
        <f t="shared" si="34"/>
        <v>1</v>
      </c>
      <c r="AA88" s="23">
        <f t="shared" si="50"/>
        <v>0.8</v>
      </c>
      <c r="AB88" s="24">
        <f t="shared" si="51"/>
        <v>2</v>
      </c>
      <c r="AC88" s="28">
        <f t="shared" si="52"/>
        <v>0.66666666666666663</v>
      </c>
      <c r="AD88" s="29">
        <f t="shared" si="53"/>
        <v>0.16666666666666666</v>
      </c>
      <c r="AE88" s="30">
        <v>4.8278604239943096E-2</v>
      </c>
      <c r="AF88" s="23">
        <f t="shared" si="54"/>
        <v>1</v>
      </c>
      <c r="AG88" s="24">
        <f t="shared" si="55"/>
        <v>4</v>
      </c>
      <c r="AH88" s="28">
        <f t="shared" si="56"/>
        <v>0.8</v>
      </c>
      <c r="AI88" s="29">
        <f t="shared" si="57"/>
        <v>0.2</v>
      </c>
      <c r="AJ88" s="31">
        <v>1</v>
      </c>
      <c r="AK88" s="31">
        <v>1</v>
      </c>
      <c r="AL88" s="31">
        <v>1</v>
      </c>
      <c r="AM88" s="31">
        <v>0</v>
      </c>
      <c r="AN88" s="31">
        <v>0</v>
      </c>
      <c r="AO88" s="31">
        <v>0</v>
      </c>
      <c r="AP88" s="31">
        <v>0</v>
      </c>
      <c r="AQ88" s="31">
        <v>0</v>
      </c>
      <c r="AR88" s="23">
        <f t="shared" si="58"/>
        <v>0.6</v>
      </c>
      <c r="AS88" s="24">
        <f t="shared" si="59"/>
        <v>3</v>
      </c>
      <c r="AT88" s="28">
        <f t="shared" si="60"/>
        <v>0.375</v>
      </c>
      <c r="AU88" s="28">
        <f t="shared" si="61"/>
        <v>5.6249999999999994E-2</v>
      </c>
      <c r="AV88" s="32">
        <v>80</v>
      </c>
      <c r="AW88" s="32">
        <v>85</v>
      </c>
      <c r="AX88" s="32">
        <v>90</v>
      </c>
      <c r="AY88" s="32">
        <v>90</v>
      </c>
      <c r="AZ88" s="32">
        <v>85</v>
      </c>
      <c r="BA88" s="32">
        <v>100</v>
      </c>
      <c r="BB88" s="23">
        <f t="shared" ca="1" si="62"/>
        <v>0.8</v>
      </c>
      <c r="BC88" s="33">
        <f t="shared" si="68"/>
        <v>88.333333333333329</v>
      </c>
      <c r="BD88" s="28">
        <f t="shared" si="63"/>
        <v>0.94339622641509435</v>
      </c>
      <c r="BE88" s="28">
        <f t="shared" si="64"/>
        <v>0.18867924528301888</v>
      </c>
      <c r="BF88" s="34">
        <f ca="1">Q88+AA88+AF88+AR88+BB88</f>
        <v>4.2</v>
      </c>
      <c r="BG88" s="34">
        <f>AVERAGE(AV88:AZ88)</f>
        <v>86</v>
      </c>
      <c r="BH88" s="35">
        <f>T88+AD88+AI88+AU88+BE88</f>
        <v>0.83760064008207324</v>
      </c>
      <c r="BI88" s="36" t="str">
        <f ca="1">IF(K88&lt;365,"New CE",(IF(BH88&gt;=100%,"Promote",IF(BH88&gt;=90%,"Sangat Baik",IF(BH88&gt;=80%,"Baik",IF(BH88&gt;=70%,"Lebih Dari Cukup",IF(BH88&gt;=60%,"Cukup","Kurang")))))))</f>
        <v>Baik</v>
      </c>
      <c r="BJ88" s="36" t="s">
        <v>860</v>
      </c>
      <c r="BK88" s="58" t="s">
        <v>48</v>
      </c>
      <c r="BL88" s="59" t="e">
        <v>#N/A</v>
      </c>
    </row>
    <row r="89" spans="1:64" x14ac:dyDescent="0.35">
      <c r="A89" s="19">
        <v>85</v>
      </c>
      <c r="B89" s="13" t="s">
        <v>273</v>
      </c>
      <c r="C89" s="20" t="s">
        <v>274</v>
      </c>
      <c r="D89" s="76" t="s">
        <v>54</v>
      </c>
      <c r="E89" s="13" t="s">
        <v>64</v>
      </c>
      <c r="F89" s="13" t="s">
        <v>44</v>
      </c>
      <c r="G89" s="13" t="s">
        <v>61</v>
      </c>
      <c r="H89" s="65">
        <v>44502</v>
      </c>
      <c r="I89" s="21">
        <f t="shared" ca="1" si="65"/>
        <v>45974</v>
      </c>
      <c r="J89" s="13" t="str">
        <f t="shared" ca="1" si="44"/>
        <v xml:space="preserve">4 Tahun 0 Bulan 11 Hari </v>
      </c>
      <c r="K89" s="13">
        <f t="shared" ca="1" si="66"/>
        <v>2119680</v>
      </c>
      <c r="L89" s="13">
        <v>872</v>
      </c>
      <c r="M89" s="13">
        <v>15</v>
      </c>
      <c r="N89" s="13">
        <v>5975</v>
      </c>
      <c r="O89" s="22">
        <f t="shared" si="45"/>
        <v>398.33333333333331</v>
      </c>
      <c r="P89" s="13">
        <v>449</v>
      </c>
      <c r="Q89" s="23">
        <f t="shared" si="46"/>
        <v>1</v>
      </c>
      <c r="R89" s="24">
        <f t="shared" si="47"/>
        <v>5</v>
      </c>
      <c r="S89" s="25">
        <f t="shared" si="67"/>
        <v>1.1271966527196653</v>
      </c>
      <c r="T89" s="25">
        <f t="shared" si="48"/>
        <v>0.22543933054393306</v>
      </c>
      <c r="U89" s="26">
        <v>5.9722222222222225E-2</v>
      </c>
      <c r="V89" s="26">
        <v>45444.846956018519</v>
      </c>
      <c r="W89" s="26">
        <v>45410.590520833335</v>
      </c>
      <c r="X89" s="27">
        <f t="shared" si="69"/>
        <v>1</v>
      </c>
      <c r="Y89" s="27">
        <f t="shared" si="49"/>
        <v>0</v>
      </c>
      <c r="Z89" s="27">
        <f t="shared" si="34"/>
        <v>1</v>
      </c>
      <c r="AA89" s="23">
        <f t="shared" si="50"/>
        <v>0.8</v>
      </c>
      <c r="AB89" s="24">
        <f t="shared" si="51"/>
        <v>2</v>
      </c>
      <c r="AC89" s="28">
        <f t="shared" si="52"/>
        <v>0.66666666666666663</v>
      </c>
      <c r="AD89" s="29">
        <f t="shared" si="53"/>
        <v>0.16666666666666666</v>
      </c>
      <c r="AE89" s="30">
        <v>6.2104487628384684E-2</v>
      </c>
      <c r="AF89" s="23">
        <f t="shared" si="54"/>
        <v>1</v>
      </c>
      <c r="AG89" s="24">
        <f t="shared" si="55"/>
        <v>4</v>
      </c>
      <c r="AH89" s="28">
        <f t="shared" si="56"/>
        <v>0.8</v>
      </c>
      <c r="AI89" s="29">
        <f t="shared" si="57"/>
        <v>0.2</v>
      </c>
      <c r="AJ89" s="31">
        <v>1</v>
      </c>
      <c r="AK89" s="31">
        <v>1</v>
      </c>
      <c r="AL89" s="31">
        <v>1</v>
      </c>
      <c r="AM89" s="31">
        <v>0</v>
      </c>
      <c r="AN89" s="31">
        <v>0</v>
      </c>
      <c r="AO89" s="31">
        <v>0</v>
      </c>
      <c r="AP89" s="31">
        <v>0</v>
      </c>
      <c r="AQ89" s="31">
        <v>0</v>
      </c>
      <c r="AR89" s="23">
        <f t="shared" si="58"/>
        <v>0.6</v>
      </c>
      <c r="AS89" s="24">
        <f t="shared" si="59"/>
        <v>3</v>
      </c>
      <c r="AT89" s="28">
        <f t="shared" si="60"/>
        <v>0.375</v>
      </c>
      <c r="AU89" s="28">
        <f t="shared" si="61"/>
        <v>5.6249999999999994E-2</v>
      </c>
      <c r="AV89" s="32">
        <v>75</v>
      </c>
      <c r="AW89" s="32">
        <v>75</v>
      </c>
      <c r="AX89" s="32">
        <v>90</v>
      </c>
      <c r="AY89" s="32">
        <v>90</v>
      </c>
      <c r="AZ89" s="32">
        <v>90</v>
      </c>
      <c r="BA89" s="32">
        <v>100</v>
      </c>
      <c r="BB89" s="23">
        <f t="shared" ca="1" si="62"/>
        <v>0.8</v>
      </c>
      <c r="BC89" s="33">
        <f t="shared" si="68"/>
        <v>86.666666666666671</v>
      </c>
      <c r="BD89" s="28">
        <f t="shared" si="63"/>
        <v>0.94230769230769229</v>
      </c>
      <c r="BE89" s="28">
        <f t="shared" si="64"/>
        <v>0.18846153846153846</v>
      </c>
      <c r="BF89" s="34">
        <f ca="1">Q89+AA89+AF89+AR89+BB89</f>
        <v>4.2</v>
      </c>
      <c r="BG89" s="34">
        <f>AVERAGE(AV89:AZ89)</f>
        <v>84</v>
      </c>
      <c r="BH89" s="35">
        <f>T89+AD89+AI89+AU89+BE89</f>
        <v>0.83681753567213824</v>
      </c>
      <c r="BI89" s="36" t="str">
        <f ca="1">IF(K89&lt;365,"New CE",(IF(BH89&gt;=100%,"Promote",IF(BH89&gt;=90%,"Sangat Baik",IF(BH89&gt;=80%,"Baik",IF(BH89&gt;=70%,"Lebih Dari Cukup",IF(BH89&gt;=60%,"Cukup","Kurang")))))))</f>
        <v>Baik</v>
      </c>
      <c r="BJ89" s="36" t="s">
        <v>855</v>
      </c>
      <c r="BK89" s="58" t="s">
        <v>48</v>
      </c>
      <c r="BL89" s="59" t="e">
        <v>#N/A</v>
      </c>
    </row>
    <row r="90" spans="1:64" x14ac:dyDescent="0.35">
      <c r="A90" s="19">
        <v>86</v>
      </c>
      <c r="B90" s="13" t="s">
        <v>275</v>
      </c>
      <c r="C90" s="20" t="s">
        <v>276</v>
      </c>
      <c r="D90" s="76" t="s">
        <v>54</v>
      </c>
      <c r="E90" s="13" t="s">
        <v>277</v>
      </c>
      <c r="F90" s="13" t="s">
        <v>74</v>
      </c>
      <c r="G90" s="13" t="s">
        <v>55</v>
      </c>
      <c r="H90" s="65">
        <v>44851</v>
      </c>
      <c r="I90" s="21">
        <f t="shared" ca="1" si="65"/>
        <v>45974</v>
      </c>
      <c r="J90" s="13" t="str">
        <f t="shared" ca="1" si="44"/>
        <v xml:space="preserve">3 Tahun 0 Bulan 27 Hari </v>
      </c>
      <c r="K90" s="13">
        <f t="shared" ca="1" si="66"/>
        <v>1617120</v>
      </c>
      <c r="L90" s="13">
        <v>153</v>
      </c>
      <c r="M90" s="13">
        <v>3</v>
      </c>
      <c r="N90" s="13">
        <v>1244</v>
      </c>
      <c r="O90" s="22">
        <f t="shared" si="45"/>
        <v>414.66666666666669</v>
      </c>
      <c r="P90" s="13">
        <v>427</v>
      </c>
      <c r="Q90" s="23">
        <f t="shared" si="46"/>
        <v>1</v>
      </c>
      <c r="R90" s="24">
        <f t="shared" si="47"/>
        <v>5</v>
      </c>
      <c r="S90" s="25">
        <f t="shared" si="67"/>
        <v>1.0297427652733118</v>
      </c>
      <c r="T90" s="25">
        <f t="shared" si="48"/>
        <v>0.20594855305466236</v>
      </c>
      <c r="U90" s="26">
        <v>2901.6346895931829</v>
      </c>
      <c r="V90" s="26">
        <v>1.1265432098765432E-2</v>
      </c>
      <c r="W90" s="26">
        <v>11338.107355324075</v>
      </c>
      <c r="X90" s="27">
        <f t="shared" si="69"/>
        <v>0</v>
      </c>
      <c r="Y90" s="27">
        <f t="shared" si="49"/>
        <v>1</v>
      </c>
      <c r="Z90" s="27">
        <f t="shared" si="34"/>
        <v>1</v>
      </c>
      <c r="AA90" s="23">
        <f t="shared" si="50"/>
        <v>0.8</v>
      </c>
      <c r="AB90" s="24">
        <f t="shared" si="51"/>
        <v>2</v>
      </c>
      <c r="AC90" s="28">
        <f t="shared" si="52"/>
        <v>0.66666666666666663</v>
      </c>
      <c r="AD90" s="29">
        <f t="shared" si="53"/>
        <v>0.16666666666666666</v>
      </c>
      <c r="AE90" s="30">
        <v>7.5977983424272477E-2</v>
      </c>
      <c r="AF90" s="23">
        <f t="shared" si="54"/>
        <v>1</v>
      </c>
      <c r="AG90" s="24">
        <f t="shared" si="55"/>
        <v>4</v>
      </c>
      <c r="AH90" s="28">
        <f t="shared" si="56"/>
        <v>0.8</v>
      </c>
      <c r="AI90" s="29">
        <f t="shared" si="57"/>
        <v>0.2</v>
      </c>
      <c r="AJ90" s="31">
        <v>1</v>
      </c>
      <c r="AK90" s="31">
        <v>1</v>
      </c>
      <c r="AL90" s="31">
        <v>1</v>
      </c>
      <c r="AM90" s="31">
        <v>0</v>
      </c>
      <c r="AN90" s="31">
        <v>0</v>
      </c>
      <c r="AO90" s="31">
        <v>1</v>
      </c>
      <c r="AP90" s="31">
        <v>0</v>
      </c>
      <c r="AQ90" s="31">
        <v>0</v>
      </c>
      <c r="AR90" s="23">
        <f t="shared" si="58"/>
        <v>0.8</v>
      </c>
      <c r="AS90" s="24">
        <f t="shared" si="59"/>
        <v>4</v>
      </c>
      <c r="AT90" s="28">
        <f t="shared" si="60"/>
        <v>0.5</v>
      </c>
      <c r="AU90" s="28">
        <f t="shared" si="61"/>
        <v>7.4999999999999997E-2</v>
      </c>
      <c r="AV90" s="32">
        <v>70</v>
      </c>
      <c r="AW90" s="32">
        <v>75</v>
      </c>
      <c r="AX90" s="32">
        <v>75</v>
      </c>
      <c r="AY90" s="32">
        <v>90</v>
      </c>
      <c r="AZ90" s="32">
        <v>90</v>
      </c>
      <c r="BA90" s="32">
        <v>100</v>
      </c>
      <c r="BB90" s="23">
        <f t="shared" ca="1" si="62"/>
        <v>0.8</v>
      </c>
      <c r="BC90" s="33">
        <f t="shared" si="68"/>
        <v>83.333333333333329</v>
      </c>
      <c r="BD90" s="28">
        <f t="shared" si="63"/>
        <v>0.94</v>
      </c>
      <c r="BE90" s="28">
        <f t="shared" si="64"/>
        <v>0.188</v>
      </c>
      <c r="BF90" s="34">
        <f ca="1">Q90+AA90+AF90+AR90+BB90</f>
        <v>4.3999999999999995</v>
      </c>
      <c r="BG90" s="34">
        <f>AVERAGE(AV90:AZ90)</f>
        <v>80</v>
      </c>
      <c r="BH90" s="35">
        <f>T90+AD90+AI90+AU90+BE90</f>
        <v>0.83561521972132891</v>
      </c>
      <c r="BI90" s="36" t="str">
        <f ca="1">IF(K90&lt;365,"New CE",(IF(BH90&gt;=100%,"Promote",IF(BH90&gt;=90%,"Sangat Baik",IF(BH90&gt;=80%,"Baik",IF(BH90&gt;=70%,"Lebih Dari Cukup",IF(BH90&gt;=60%,"Cukup","Kurang")))))))</f>
        <v>Baik</v>
      </c>
      <c r="BJ90" s="36" t="s">
        <v>855</v>
      </c>
      <c r="BK90" s="58" t="s">
        <v>48</v>
      </c>
      <c r="BL90" s="59" t="str">
        <v>Mualim Rohman</v>
      </c>
    </row>
    <row r="91" spans="1:64" x14ac:dyDescent="0.35">
      <c r="A91" s="19">
        <v>87</v>
      </c>
      <c r="B91" s="13" t="s">
        <v>278</v>
      </c>
      <c r="C91" s="20" t="s">
        <v>279</v>
      </c>
      <c r="D91" s="76" t="s">
        <v>42</v>
      </c>
      <c r="E91" s="13" t="s">
        <v>81</v>
      </c>
      <c r="F91" s="13" t="s">
        <v>74</v>
      </c>
      <c r="G91" s="13" t="s">
        <v>61</v>
      </c>
      <c r="H91" s="65">
        <v>42751</v>
      </c>
      <c r="I91" s="21">
        <f t="shared" ca="1" si="65"/>
        <v>45974</v>
      </c>
      <c r="J91" s="13" t="str">
        <f t="shared" ca="1" si="44"/>
        <v xml:space="preserve">8 Tahun 9 Bulan 28 Hari </v>
      </c>
      <c r="K91" s="13">
        <f t="shared" ca="1" si="66"/>
        <v>4641120</v>
      </c>
      <c r="L91" s="13">
        <v>221</v>
      </c>
      <c r="M91" s="13">
        <v>4</v>
      </c>
      <c r="N91" s="13">
        <v>1669</v>
      </c>
      <c r="O91" s="22">
        <f t="shared" si="45"/>
        <v>417.25</v>
      </c>
      <c r="P91" s="13">
        <v>453</v>
      </c>
      <c r="Q91" s="23">
        <f t="shared" si="46"/>
        <v>1</v>
      </c>
      <c r="R91" s="24">
        <f t="shared" si="47"/>
        <v>5</v>
      </c>
      <c r="S91" s="25">
        <f t="shared" si="67"/>
        <v>1.0856800479328939</v>
      </c>
      <c r="T91" s="25">
        <f t="shared" si="48"/>
        <v>0.21713600958657878</v>
      </c>
      <c r="U91" s="26">
        <v>12557.888396128843</v>
      </c>
      <c r="V91" s="26">
        <v>45434.624761574072</v>
      </c>
      <c r="W91" s="26">
        <v>40620.915525097458</v>
      </c>
      <c r="X91" s="27">
        <f t="shared" si="69"/>
        <v>0</v>
      </c>
      <c r="Y91" s="27">
        <f t="shared" si="49"/>
        <v>0</v>
      </c>
      <c r="Z91" s="27">
        <f t="shared" si="34"/>
        <v>1</v>
      </c>
      <c r="AA91" s="23">
        <f>IF(AB91=3, 1.75, IF(AB91=2, 1, IF(AB91=1, 0.75, IF(AB91=0, 0, 0))))</f>
        <v>0.75</v>
      </c>
      <c r="AB91" s="24">
        <f t="shared" si="51"/>
        <v>1</v>
      </c>
      <c r="AC91" s="28">
        <f t="shared" si="52"/>
        <v>0.33333333333333331</v>
      </c>
      <c r="AD91" s="29">
        <f t="shared" si="53"/>
        <v>8.3333333333333329E-2</v>
      </c>
      <c r="AE91" s="30">
        <v>3.5067655723905716E-2</v>
      </c>
      <c r="AF91" s="23">
        <f t="shared" si="54"/>
        <v>1.25</v>
      </c>
      <c r="AG91" s="24">
        <f t="shared" si="55"/>
        <v>5</v>
      </c>
      <c r="AH91" s="28">
        <f t="shared" si="56"/>
        <v>1</v>
      </c>
      <c r="AI91" s="29">
        <f t="shared" si="57"/>
        <v>0.25</v>
      </c>
      <c r="AJ91" s="31">
        <v>1</v>
      </c>
      <c r="AK91" s="31">
        <v>1</v>
      </c>
      <c r="AL91" s="31">
        <v>1</v>
      </c>
      <c r="AM91" s="31">
        <v>0</v>
      </c>
      <c r="AN91" s="31">
        <v>0</v>
      </c>
      <c r="AO91" s="31">
        <v>1</v>
      </c>
      <c r="AP91" s="31">
        <v>0</v>
      </c>
      <c r="AQ91" s="31">
        <v>1</v>
      </c>
      <c r="AR91" s="23">
        <f t="shared" si="58"/>
        <v>1</v>
      </c>
      <c r="AS91" s="24">
        <f t="shared" si="59"/>
        <v>5</v>
      </c>
      <c r="AT91" s="28">
        <f t="shared" si="60"/>
        <v>0.625</v>
      </c>
      <c r="AU91" s="28">
        <f t="shared" si="61"/>
        <v>9.375E-2</v>
      </c>
      <c r="AV91" s="32">
        <v>65</v>
      </c>
      <c r="AW91" s="32">
        <v>65</v>
      </c>
      <c r="AX91" s="32">
        <v>85</v>
      </c>
      <c r="AY91" s="32">
        <v>80</v>
      </c>
      <c r="AZ91" s="32">
        <v>80</v>
      </c>
      <c r="BA91" s="32">
        <v>100</v>
      </c>
      <c r="BB91" s="23">
        <f t="shared" ca="1" si="62"/>
        <v>0.8</v>
      </c>
      <c r="BC91" s="33">
        <f t="shared" si="68"/>
        <v>79.166666666666671</v>
      </c>
      <c r="BD91" s="28">
        <f t="shared" si="63"/>
        <v>0.93684210526315792</v>
      </c>
      <c r="BE91" s="28">
        <f t="shared" si="64"/>
        <v>0.1873684210526316</v>
      </c>
      <c r="BF91" s="34">
        <f ca="1">Q91+AA91+AF91+AR91+BB91</f>
        <v>4.8</v>
      </c>
      <c r="BG91" s="34">
        <f>AVERAGE(AV91:AZ91)</f>
        <v>75</v>
      </c>
      <c r="BH91" s="35">
        <f>T91+AD91+AI91+AU91+BE91</f>
        <v>0.83158776397254375</v>
      </c>
      <c r="BI91" s="36" t="str">
        <f ca="1">IF(K91&lt;365,"New CE",(IF(BH91&gt;=100%,"Promote",IF(BH91&gt;=90%,"Sangat Baik",IF(BH91&gt;=80%,"Baik",IF(BH91&gt;=70%,"Lebih Dari Cukup",IF(BH91&gt;=60%,"Cukup","Kurang")))))))</f>
        <v>Baik</v>
      </c>
      <c r="BJ91" s="36" t="s">
        <v>860</v>
      </c>
      <c r="BK91" s="58" t="s">
        <v>42</v>
      </c>
      <c r="BL91" s="59" t="str">
        <v>Daniel George</v>
      </c>
    </row>
    <row r="92" spans="1:64" x14ac:dyDescent="0.35">
      <c r="A92" s="19">
        <v>88</v>
      </c>
      <c r="B92" s="13" t="s">
        <v>280</v>
      </c>
      <c r="C92" s="20" t="s">
        <v>281</v>
      </c>
      <c r="D92" s="76" t="s">
        <v>48</v>
      </c>
      <c r="E92" s="13" t="s">
        <v>98</v>
      </c>
      <c r="F92" s="13" t="s">
        <v>50</v>
      </c>
      <c r="G92" s="13" t="s">
        <v>55</v>
      </c>
      <c r="H92" s="65">
        <v>43627</v>
      </c>
      <c r="I92" s="21">
        <f t="shared" ca="1" si="65"/>
        <v>45974</v>
      </c>
      <c r="J92" s="13" t="str">
        <f t="shared" ca="1" si="44"/>
        <v xml:space="preserve">6 Tahun 5 Bulan 2 Hari </v>
      </c>
      <c r="K92" s="13">
        <f t="shared" ca="1" si="66"/>
        <v>3379680</v>
      </c>
      <c r="L92" s="13">
        <v>1040</v>
      </c>
      <c r="M92" s="13">
        <v>17</v>
      </c>
      <c r="N92" s="13">
        <v>7455</v>
      </c>
      <c r="O92" s="22">
        <f t="shared" si="45"/>
        <v>438.52941176470586</v>
      </c>
      <c r="P92" s="13">
        <v>434</v>
      </c>
      <c r="Q92" s="23">
        <f t="shared" si="46"/>
        <v>0.8</v>
      </c>
      <c r="R92" s="24">
        <f t="shared" si="47"/>
        <v>4</v>
      </c>
      <c r="S92" s="25">
        <f t="shared" si="67"/>
        <v>0.98967136150234747</v>
      </c>
      <c r="T92" s="25">
        <f t="shared" si="48"/>
        <v>0.1979342723004695</v>
      </c>
      <c r="U92" s="26">
        <v>5.9722222222222225E-2</v>
      </c>
      <c r="V92" s="26">
        <v>0</v>
      </c>
      <c r="W92" s="26">
        <v>0</v>
      </c>
      <c r="X92" s="27">
        <f t="shared" si="69"/>
        <v>1</v>
      </c>
      <c r="Y92" s="27">
        <f t="shared" si="49"/>
        <v>0</v>
      </c>
      <c r="Z92" s="27">
        <f t="shared" si="34"/>
        <v>0</v>
      </c>
      <c r="AA92" s="23">
        <f t="shared" ref="AA92:AA99" si="70">IF(AB92=3, 1.25, IF(AB92=2, 0.8, IF(AB92=1, 0.4, IF(AB92=0, 0, 0))))</f>
        <v>0.4</v>
      </c>
      <c r="AB92" s="24">
        <f t="shared" si="51"/>
        <v>1</v>
      </c>
      <c r="AC92" s="28">
        <f t="shared" si="52"/>
        <v>0.33333333333333331</v>
      </c>
      <c r="AD92" s="29">
        <f t="shared" si="53"/>
        <v>8.3333333333333329E-2</v>
      </c>
      <c r="AE92" s="30">
        <v>2.9724509803921571E-2</v>
      </c>
      <c r="AF92" s="23">
        <f t="shared" si="54"/>
        <v>1.25</v>
      </c>
      <c r="AG92" s="24">
        <f t="shared" si="55"/>
        <v>5</v>
      </c>
      <c r="AH92" s="28">
        <f t="shared" si="56"/>
        <v>1</v>
      </c>
      <c r="AI92" s="29">
        <f t="shared" si="57"/>
        <v>0.25</v>
      </c>
      <c r="AJ92" s="31">
        <v>1</v>
      </c>
      <c r="AK92" s="31">
        <v>1</v>
      </c>
      <c r="AL92" s="31">
        <v>1</v>
      </c>
      <c r="AM92" s="31">
        <v>1</v>
      </c>
      <c r="AN92" s="31">
        <v>0</v>
      </c>
      <c r="AO92" s="31">
        <v>1</v>
      </c>
      <c r="AP92" s="31">
        <v>0</v>
      </c>
      <c r="AQ92" s="31">
        <v>1</v>
      </c>
      <c r="AR92" s="23">
        <f t="shared" si="58"/>
        <v>1</v>
      </c>
      <c r="AS92" s="24">
        <f t="shared" si="59"/>
        <v>6</v>
      </c>
      <c r="AT92" s="28">
        <f t="shared" si="60"/>
        <v>0.75</v>
      </c>
      <c r="AU92" s="28">
        <f t="shared" si="61"/>
        <v>0.11249999999999999</v>
      </c>
      <c r="AV92" s="32">
        <v>75</v>
      </c>
      <c r="AW92" s="32">
        <v>75</v>
      </c>
      <c r="AX92" s="32">
        <v>90</v>
      </c>
      <c r="AY92" s="32">
        <v>90</v>
      </c>
      <c r="AZ92" s="32">
        <v>85</v>
      </c>
      <c r="BA92" s="32">
        <v>100</v>
      </c>
      <c r="BB92" s="23">
        <f t="shared" ca="1" si="62"/>
        <v>0.8</v>
      </c>
      <c r="BC92" s="33">
        <f t="shared" si="68"/>
        <v>85.833333333333329</v>
      </c>
      <c r="BD92" s="28">
        <f t="shared" si="63"/>
        <v>0.94174757281553401</v>
      </c>
      <c r="BE92" s="28">
        <f t="shared" si="64"/>
        <v>0.18834951456310681</v>
      </c>
      <c r="BF92" s="34">
        <f ca="1">Q92+AA92+AF92+AR92+BB92</f>
        <v>4.25</v>
      </c>
      <c r="BG92" s="34">
        <f>AVERAGE(AV92:AZ92)</f>
        <v>83</v>
      </c>
      <c r="BH92" s="35">
        <f>T92+AD92+AI92+AU92+BE92</f>
        <v>0.83211712019690964</v>
      </c>
      <c r="BI92" s="36" t="str">
        <f ca="1">IF(K92&lt;365,"New CE",(IF(BH92&gt;=100%,"Promote",IF(BH92&gt;=90%,"Sangat Baik",IF(BH92&gt;=80%,"Baik",IF(BH92&gt;=70%,"Lebih Dari Cukup",IF(BH92&gt;=60%,"Cukup","Kurang")))))))</f>
        <v>Baik</v>
      </c>
      <c r="BJ92" s="36" t="s">
        <v>855</v>
      </c>
      <c r="BK92" s="58" t="s">
        <v>851</v>
      </c>
      <c r="BL92" s="59" t="e">
        <v>#N/A</v>
      </c>
    </row>
    <row r="93" spans="1:64" x14ac:dyDescent="0.35">
      <c r="A93" s="19">
        <v>89</v>
      </c>
      <c r="B93" s="13" t="s">
        <v>282</v>
      </c>
      <c r="C93" s="20" t="s">
        <v>283</v>
      </c>
      <c r="D93" s="76" t="s">
        <v>54</v>
      </c>
      <c r="E93" s="13" t="s">
        <v>284</v>
      </c>
      <c r="F93" s="13" t="s">
        <v>44</v>
      </c>
      <c r="G93" s="13" t="s">
        <v>61</v>
      </c>
      <c r="H93" s="65">
        <v>45173</v>
      </c>
      <c r="I93" s="21">
        <f t="shared" ca="1" si="65"/>
        <v>45974</v>
      </c>
      <c r="J93" s="13" t="str">
        <f t="shared" ca="1" si="44"/>
        <v xml:space="preserve">2 Tahun 2 Bulan 9 Hari </v>
      </c>
      <c r="K93" s="13">
        <f t="shared" ca="1" si="66"/>
        <v>1153440</v>
      </c>
      <c r="L93" s="13">
        <v>98</v>
      </c>
      <c r="M93" s="13">
        <v>1</v>
      </c>
      <c r="N93" s="13">
        <v>454</v>
      </c>
      <c r="O93" s="22">
        <f t="shared" si="45"/>
        <v>454</v>
      </c>
      <c r="P93" s="13">
        <v>614</v>
      </c>
      <c r="Q93" s="23">
        <f t="shared" si="46"/>
        <v>1</v>
      </c>
      <c r="R93" s="24">
        <f t="shared" si="47"/>
        <v>5</v>
      </c>
      <c r="S93" s="25">
        <f t="shared" si="67"/>
        <v>1.3524229074889869</v>
      </c>
      <c r="T93" s="25">
        <f t="shared" si="48"/>
        <v>0.27048458149779736</v>
      </c>
      <c r="U93" s="26">
        <v>0.05</v>
      </c>
      <c r="V93" s="26">
        <v>12126.094061728396</v>
      </c>
      <c r="W93" s="26">
        <v>6.8865740740740745E-3</v>
      </c>
      <c r="X93" s="27">
        <f t="shared" si="69"/>
        <v>1</v>
      </c>
      <c r="Y93" s="27">
        <f t="shared" si="49"/>
        <v>0</v>
      </c>
      <c r="Z93" s="27">
        <f t="shared" si="34"/>
        <v>1</v>
      </c>
      <c r="AA93" s="23">
        <f t="shared" si="70"/>
        <v>0.8</v>
      </c>
      <c r="AB93" s="24">
        <f t="shared" si="51"/>
        <v>2</v>
      </c>
      <c r="AC93" s="28">
        <f t="shared" si="52"/>
        <v>0.66666666666666663</v>
      </c>
      <c r="AD93" s="29">
        <f t="shared" si="53"/>
        <v>0.16666666666666666</v>
      </c>
      <c r="AE93" s="30">
        <v>8.5371962972296878E-2</v>
      </c>
      <c r="AF93" s="23">
        <f t="shared" si="54"/>
        <v>0.75</v>
      </c>
      <c r="AG93" s="24">
        <f t="shared" si="55"/>
        <v>3</v>
      </c>
      <c r="AH93" s="28">
        <f t="shared" si="56"/>
        <v>0.6</v>
      </c>
      <c r="AI93" s="29">
        <f t="shared" si="57"/>
        <v>0.15</v>
      </c>
      <c r="AJ93" s="31">
        <v>1</v>
      </c>
      <c r="AK93" s="31">
        <v>1</v>
      </c>
      <c r="AL93" s="31">
        <v>1</v>
      </c>
      <c r="AM93" s="31">
        <v>0</v>
      </c>
      <c r="AN93" s="31">
        <v>0</v>
      </c>
      <c r="AO93" s="31">
        <v>0</v>
      </c>
      <c r="AP93" s="31">
        <v>0</v>
      </c>
      <c r="AQ93" s="31">
        <v>0</v>
      </c>
      <c r="AR93" s="23">
        <f t="shared" si="58"/>
        <v>0.6</v>
      </c>
      <c r="AS93" s="24">
        <f t="shared" si="59"/>
        <v>3</v>
      </c>
      <c r="AT93" s="28">
        <f t="shared" si="60"/>
        <v>0.375</v>
      </c>
      <c r="AU93" s="28">
        <f t="shared" si="61"/>
        <v>5.6249999999999994E-2</v>
      </c>
      <c r="AV93" s="32">
        <v>75</v>
      </c>
      <c r="AW93" s="32">
        <v>75</v>
      </c>
      <c r="AX93" s="32">
        <v>90</v>
      </c>
      <c r="AY93" s="32">
        <v>90</v>
      </c>
      <c r="AZ93" s="32">
        <v>90</v>
      </c>
      <c r="BA93" s="32">
        <v>100</v>
      </c>
      <c r="BB93" s="23">
        <f t="shared" ca="1" si="62"/>
        <v>0.8</v>
      </c>
      <c r="BC93" s="33">
        <f t="shared" si="68"/>
        <v>86.666666666666671</v>
      </c>
      <c r="BD93" s="28">
        <f t="shared" si="63"/>
        <v>0.94230769230769229</v>
      </c>
      <c r="BE93" s="28">
        <f t="shared" si="64"/>
        <v>0.18846153846153846</v>
      </c>
      <c r="BF93" s="34">
        <f ca="1">Q93+AA93+AF93+AR93+BB93</f>
        <v>3.95</v>
      </c>
      <c r="BG93" s="34">
        <f>AVERAGE(AV93:AZ93)</f>
        <v>84</v>
      </c>
      <c r="BH93" s="35">
        <f>T93+AD93+AI93+AU93+BE93</f>
        <v>0.83186278662600255</v>
      </c>
      <c r="BI93" s="36" t="str">
        <f ca="1">IF(K93&lt;365,"New CE",(IF(BH93&gt;=100%,"Promote",IF(BH93&gt;=90%,"Sangat Baik",IF(BH93&gt;=80%,"Baik",IF(BH93&gt;=70%,"Lebih Dari Cukup",IF(BH93&gt;=60%,"Cukup","Kurang")))))))</f>
        <v>Baik</v>
      </c>
      <c r="BJ93" s="36" t="s">
        <v>855</v>
      </c>
      <c r="BK93" s="58" t="s">
        <v>48</v>
      </c>
      <c r="BL93" s="59" t="e">
        <v>#N/A</v>
      </c>
    </row>
    <row r="94" spans="1:64" x14ac:dyDescent="0.35">
      <c r="A94" s="19">
        <v>90</v>
      </c>
      <c r="B94" s="13" t="s">
        <v>285</v>
      </c>
      <c r="C94" s="20" t="s">
        <v>286</v>
      </c>
      <c r="D94" s="76" t="s">
        <v>54</v>
      </c>
      <c r="E94" s="13" t="s">
        <v>287</v>
      </c>
      <c r="F94" s="13" t="s">
        <v>74</v>
      </c>
      <c r="G94" s="13" t="s">
        <v>61</v>
      </c>
      <c r="H94" s="65">
        <v>44966</v>
      </c>
      <c r="I94" s="21">
        <f t="shared" ca="1" si="65"/>
        <v>45974</v>
      </c>
      <c r="J94" s="13" t="str">
        <f t="shared" ca="1" si="44"/>
        <v xml:space="preserve">2 Tahun 9 Bulan 4 Hari </v>
      </c>
      <c r="K94" s="13">
        <f t="shared" ca="1" si="66"/>
        <v>1451520</v>
      </c>
      <c r="L94" s="13">
        <v>295</v>
      </c>
      <c r="M94" s="13">
        <v>5</v>
      </c>
      <c r="N94" s="13">
        <v>2105</v>
      </c>
      <c r="O94" s="22">
        <f t="shared" si="45"/>
        <v>421</v>
      </c>
      <c r="P94" s="13">
        <v>464</v>
      </c>
      <c r="Q94" s="23">
        <f t="shared" si="46"/>
        <v>1</v>
      </c>
      <c r="R94" s="24">
        <f t="shared" si="47"/>
        <v>5</v>
      </c>
      <c r="S94" s="25">
        <f t="shared" si="67"/>
        <v>1.1021377672209025</v>
      </c>
      <c r="T94" s="25">
        <f t="shared" si="48"/>
        <v>0.22042755344418052</v>
      </c>
      <c r="U94" s="26">
        <v>2931.6076215277781</v>
      </c>
      <c r="V94" s="26">
        <v>1.7528935185185186E-2</v>
      </c>
      <c r="W94" s="26">
        <v>3250.451865906085</v>
      </c>
      <c r="X94" s="27">
        <f t="shared" si="69"/>
        <v>0</v>
      </c>
      <c r="Y94" s="27">
        <f t="shared" si="49"/>
        <v>1</v>
      </c>
      <c r="Z94" s="27">
        <f t="shared" si="34"/>
        <v>1</v>
      </c>
      <c r="AA94" s="23">
        <f t="shared" si="70"/>
        <v>0.8</v>
      </c>
      <c r="AB94" s="24">
        <f t="shared" si="51"/>
        <v>2</v>
      </c>
      <c r="AC94" s="28">
        <f t="shared" si="52"/>
        <v>0.66666666666666663</v>
      </c>
      <c r="AD94" s="29">
        <f t="shared" si="53"/>
        <v>0.16666666666666666</v>
      </c>
      <c r="AE94" s="30">
        <v>7.6700396240626134E-2</v>
      </c>
      <c r="AF94" s="23">
        <f t="shared" si="54"/>
        <v>1</v>
      </c>
      <c r="AG94" s="24">
        <f t="shared" si="55"/>
        <v>4</v>
      </c>
      <c r="AH94" s="28">
        <f t="shared" si="56"/>
        <v>0.8</v>
      </c>
      <c r="AI94" s="29">
        <f t="shared" si="57"/>
        <v>0.2</v>
      </c>
      <c r="AJ94" s="31">
        <v>1</v>
      </c>
      <c r="AK94" s="31">
        <v>1</v>
      </c>
      <c r="AL94" s="31">
        <v>1</v>
      </c>
      <c r="AM94" s="31">
        <v>0</v>
      </c>
      <c r="AN94" s="31">
        <v>0</v>
      </c>
      <c r="AO94" s="31">
        <v>0</v>
      </c>
      <c r="AP94" s="31">
        <v>0</v>
      </c>
      <c r="AQ94" s="31">
        <v>0</v>
      </c>
      <c r="AR94" s="23">
        <f t="shared" si="58"/>
        <v>0.6</v>
      </c>
      <c r="AS94" s="24">
        <f t="shared" si="59"/>
        <v>3</v>
      </c>
      <c r="AT94" s="28">
        <f t="shared" si="60"/>
        <v>0.375</v>
      </c>
      <c r="AU94" s="28">
        <f t="shared" si="61"/>
        <v>5.6249999999999994E-2</v>
      </c>
      <c r="AV94" s="32">
        <v>75</v>
      </c>
      <c r="AW94" s="32">
        <v>80</v>
      </c>
      <c r="AX94" s="32">
        <v>80</v>
      </c>
      <c r="AY94" s="32">
        <v>80</v>
      </c>
      <c r="AZ94" s="32">
        <v>80</v>
      </c>
      <c r="BA94" s="32">
        <v>100</v>
      </c>
      <c r="BB94" s="23">
        <f t="shared" ca="1" si="62"/>
        <v>0.8</v>
      </c>
      <c r="BC94" s="33">
        <f t="shared" si="68"/>
        <v>82.5</v>
      </c>
      <c r="BD94" s="28">
        <f t="shared" si="63"/>
        <v>0.93939393939393945</v>
      </c>
      <c r="BE94" s="28">
        <f t="shared" si="64"/>
        <v>0.1878787878787879</v>
      </c>
      <c r="BF94" s="34">
        <f ca="1">Q94+AA94+AF94+AR94+BB94</f>
        <v>4.2</v>
      </c>
      <c r="BG94" s="34">
        <f>AVERAGE(AV94:AZ94)</f>
        <v>79</v>
      </c>
      <c r="BH94" s="35">
        <f>T94+AD94+AI94+AU94+BE94</f>
        <v>0.831223007989635</v>
      </c>
      <c r="BI94" s="36" t="str">
        <f ca="1">IF(K94&lt;365,"New CE",(IF(BH94&gt;=100%,"Promote",IF(BH94&gt;=90%,"Sangat Baik",IF(BH94&gt;=80%,"Baik",IF(BH94&gt;=70%,"Lebih Dari Cukup",IF(BH94&gt;=60%,"Cukup","Kurang")))))))</f>
        <v>Baik</v>
      </c>
      <c r="BJ94" s="36" t="s">
        <v>860</v>
      </c>
      <c r="BK94" s="58" t="s">
        <v>54</v>
      </c>
      <c r="BL94" s="59" t="str">
        <v>Muhammad Fikri Sudarso</v>
      </c>
    </row>
    <row r="95" spans="1:64" x14ac:dyDescent="0.35">
      <c r="A95" s="19">
        <v>91</v>
      </c>
      <c r="B95" s="13" t="s">
        <v>288</v>
      </c>
      <c r="C95" s="20" t="s">
        <v>289</v>
      </c>
      <c r="D95" s="76" t="s">
        <v>54</v>
      </c>
      <c r="E95" s="13" t="s">
        <v>141</v>
      </c>
      <c r="F95" s="13" t="s">
        <v>44</v>
      </c>
      <c r="G95" s="13" t="s">
        <v>61</v>
      </c>
      <c r="H95" s="65">
        <v>44966</v>
      </c>
      <c r="I95" s="21">
        <f t="shared" ca="1" si="65"/>
        <v>45974</v>
      </c>
      <c r="J95" s="13" t="str">
        <f t="shared" ca="1" si="44"/>
        <v xml:space="preserve">2 Tahun 9 Bulan 4 Hari </v>
      </c>
      <c r="K95" s="13">
        <f t="shared" ca="1" si="66"/>
        <v>1451520</v>
      </c>
      <c r="L95" s="13">
        <v>358</v>
      </c>
      <c r="M95" s="13">
        <v>7</v>
      </c>
      <c r="N95" s="13">
        <v>2648</v>
      </c>
      <c r="O95" s="22">
        <f t="shared" si="45"/>
        <v>378.28571428571428</v>
      </c>
      <c r="P95" s="13">
        <v>381</v>
      </c>
      <c r="Q95" s="23">
        <f t="shared" si="46"/>
        <v>1</v>
      </c>
      <c r="R95" s="24">
        <f t="shared" si="47"/>
        <v>5</v>
      </c>
      <c r="S95" s="25">
        <f t="shared" si="67"/>
        <v>1.0071752265861027</v>
      </c>
      <c r="T95" s="25">
        <f t="shared" si="48"/>
        <v>0.20143504531722056</v>
      </c>
      <c r="U95" s="26">
        <v>5346.9263693150879</v>
      </c>
      <c r="V95" s="26">
        <v>6.5810185185185194E-2</v>
      </c>
      <c r="W95" s="26">
        <v>7.3842592592592599E-2</v>
      </c>
      <c r="X95" s="27">
        <f t="shared" si="69"/>
        <v>0</v>
      </c>
      <c r="Y95" s="27">
        <f t="shared" si="49"/>
        <v>1</v>
      </c>
      <c r="Z95" s="27">
        <f t="shared" si="34"/>
        <v>1</v>
      </c>
      <c r="AA95" s="23">
        <f t="shared" si="70"/>
        <v>0.8</v>
      </c>
      <c r="AB95" s="24">
        <f t="shared" si="51"/>
        <v>2</v>
      </c>
      <c r="AC95" s="28">
        <f t="shared" si="52"/>
        <v>0.66666666666666663</v>
      </c>
      <c r="AD95" s="29">
        <f t="shared" si="53"/>
        <v>0.16666666666666666</v>
      </c>
      <c r="AE95" s="30">
        <v>5.9493256843800316E-2</v>
      </c>
      <c r="AF95" s="23">
        <f t="shared" si="54"/>
        <v>1</v>
      </c>
      <c r="AG95" s="24">
        <f t="shared" si="55"/>
        <v>4</v>
      </c>
      <c r="AH95" s="28">
        <f t="shared" si="56"/>
        <v>0.8</v>
      </c>
      <c r="AI95" s="29">
        <f t="shared" si="57"/>
        <v>0.2</v>
      </c>
      <c r="AJ95" s="31">
        <v>1</v>
      </c>
      <c r="AK95" s="31">
        <v>1</v>
      </c>
      <c r="AL95" s="31">
        <v>0</v>
      </c>
      <c r="AM95" s="31">
        <v>0</v>
      </c>
      <c r="AN95" s="31">
        <v>0</v>
      </c>
      <c r="AO95" s="31">
        <v>1</v>
      </c>
      <c r="AP95" s="31">
        <v>0</v>
      </c>
      <c r="AQ95" s="31">
        <v>1</v>
      </c>
      <c r="AR95" s="23">
        <f t="shared" si="58"/>
        <v>0.8</v>
      </c>
      <c r="AS95" s="24">
        <f t="shared" si="59"/>
        <v>4</v>
      </c>
      <c r="AT95" s="28">
        <f t="shared" si="60"/>
        <v>0.5</v>
      </c>
      <c r="AU95" s="28">
        <f t="shared" si="61"/>
        <v>7.4999999999999997E-2</v>
      </c>
      <c r="AV95" s="32">
        <v>75</v>
      </c>
      <c r="AW95" s="32">
        <v>70</v>
      </c>
      <c r="AX95" s="32">
        <v>80</v>
      </c>
      <c r="AY95" s="32">
        <v>80</v>
      </c>
      <c r="AZ95" s="32">
        <v>80</v>
      </c>
      <c r="BA95" s="32">
        <v>100</v>
      </c>
      <c r="BB95" s="23">
        <f t="shared" ca="1" si="62"/>
        <v>0.8</v>
      </c>
      <c r="BC95" s="33">
        <f t="shared" si="68"/>
        <v>80.833333333333329</v>
      </c>
      <c r="BD95" s="28">
        <f t="shared" si="63"/>
        <v>0.93814432989690721</v>
      </c>
      <c r="BE95" s="28">
        <f t="shared" si="64"/>
        <v>0.18762886597938144</v>
      </c>
      <c r="BF95" s="34">
        <f ca="1">Q95+AA95+AF95+AR95+BB95</f>
        <v>4.3999999999999995</v>
      </c>
      <c r="BG95" s="34">
        <f>AVERAGE(AV95:AZ95)</f>
        <v>77</v>
      </c>
      <c r="BH95" s="35">
        <f>T95+AD95+AI95+AU95+BE95</f>
        <v>0.83073057796326855</v>
      </c>
      <c r="BI95" s="36" t="str">
        <f ca="1">IF(K95&lt;365,"New CE",(IF(BH95&gt;=100%,"Promote",IF(BH95&gt;=90%,"Sangat Baik",IF(BH95&gt;=80%,"Baik",IF(BH95&gt;=70%,"Lebih Dari Cukup",IF(BH95&gt;=60%,"Cukup","Kurang")))))))</f>
        <v>Baik</v>
      </c>
      <c r="BJ95" s="36" t="s">
        <v>860</v>
      </c>
      <c r="BK95" s="58" t="s">
        <v>54</v>
      </c>
      <c r="BL95" s="59" t="e">
        <v>#N/A</v>
      </c>
    </row>
    <row r="96" spans="1:64" x14ac:dyDescent="0.35">
      <c r="A96" s="19">
        <v>92</v>
      </c>
      <c r="B96" s="13" t="s">
        <v>290</v>
      </c>
      <c r="C96" s="20" t="s">
        <v>291</v>
      </c>
      <c r="D96" s="76" t="s">
        <v>54</v>
      </c>
      <c r="E96" s="13" t="s">
        <v>187</v>
      </c>
      <c r="F96" s="13" t="s">
        <v>74</v>
      </c>
      <c r="G96" s="13" t="s">
        <v>61</v>
      </c>
      <c r="H96" s="65">
        <v>45075</v>
      </c>
      <c r="I96" s="21">
        <f t="shared" ca="1" si="65"/>
        <v>45974</v>
      </c>
      <c r="J96" s="13" t="str">
        <f t="shared" ca="1" si="44"/>
        <v xml:space="preserve">2 Tahun 5 Bulan 15 Hari </v>
      </c>
      <c r="K96" s="13">
        <f t="shared" ca="1" si="66"/>
        <v>1294560</v>
      </c>
      <c r="L96" s="13">
        <v>684</v>
      </c>
      <c r="M96" s="13">
        <v>10</v>
      </c>
      <c r="N96" s="13">
        <v>4972</v>
      </c>
      <c r="O96" s="22">
        <f t="shared" si="45"/>
        <v>497.2</v>
      </c>
      <c r="P96" s="13">
        <v>543</v>
      </c>
      <c r="Q96" s="23">
        <f t="shared" si="46"/>
        <v>1</v>
      </c>
      <c r="R96" s="24">
        <f t="shared" si="47"/>
        <v>5</v>
      </c>
      <c r="S96" s="25">
        <f t="shared" si="67"/>
        <v>1.0921158487530169</v>
      </c>
      <c r="T96" s="25">
        <f t="shared" si="48"/>
        <v>0.21842316975060339</v>
      </c>
      <c r="U96" s="26">
        <v>5.2083333333333336E-2</v>
      </c>
      <c r="V96" s="26">
        <v>6.458333333333334E-2</v>
      </c>
      <c r="W96" s="26">
        <v>0</v>
      </c>
      <c r="X96" s="27">
        <f t="shared" si="69"/>
        <v>1</v>
      </c>
      <c r="Y96" s="27">
        <f t="shared" si="49"/>
        <v>1</v>
      </c>
      <c r="Z96" s="27">
        <f t="shared" si="34"/>
        <v>0</v>
      </c>
      <c r="AA96" s="23">
        <f t="shared" si="70"/>
        <v>0.8</v>
      </c>
      <c r="AB96" s="24">
        <f t="shared" si="51"/>
        <v>2</v>
      </c>
      <c r="AC96" s="28">
        <f t="shared" si="52"/>
        <v>0.66666666666666663</v>
      </c>
      <c r="AD96" s="29">
        <f t="shared" si="53"/>
        <v>0.16666666666666666</v>
      </c>
      <c r="AE96" s="30">
        <v>4.7238392511830013E-2</v>
      </c>
      <c r="AF96" s="23">
        <f t="shared" si="54"/>
        <v>1</v>
      </c>
      <c r="AG96" s="24">
        <f t="shared" si="55"/>
        <v>4</v>
      </c>
      <c r="AH96" s="28">
        <f t="shared" si="56"/>
        <v>0.8</v>
      </c>
      <c r="AI96" s="29">
        <f t="shared" si="57"/>
        <v>0.2</v>
      </c>
      <c r="AJ96" s="31">
        <v>1</v>
      </c>
      <c r="AK96" s="31">
        <v>1</v>
      </c>
      <c r="AL96" s="31">
        <v>0</v>
      </c>
      <c r="AM96" s="31">
        <v>0</v>
      </c>
      <c r="AN96" s="31">
        <v>0</v>
      </c>
      <c r="AO96" s="31">
        <v>1</v>
      </c>
      <c r="AP96" s="31">
        <v>0</v>
      </c>
      <c r="AQ96" s="31">
        <v>0</v>
      </c>
      <c r="AR96" s="23">
        <f t="shared" si="58"/>
        <v>0.6</v>
      </c>
      <c r="AS96" s="24">
        <f t="shared" si="59"/>
        <v>3</v>
      </c>
      <c r="AT96" s="28">
        <f t="shared" si="60"/>
        <v>0.375</v>
      </c>
      <c r="AU96" s="28">
        <f t="shared" si="61"/>
        <v>5.6249999999999994E-2</v>
      </c>
      <c r="AV96" s="32">
        <v>75</v>
      </c>
      <c r="AW96" s="32">
        <v>75</v>
      </c>
      <c r="AX96" s="32">
        <v>80</v>
      </c>
      <c r="AY96" s="32">
        <v>80</v>
      </c>
      <c r="AZ96" s="32">
        <v>80</v>
      </c>
      <c r="BA96" s="32">
        <v>100</v>
      </c>
      <c r="BB96" s="23">
        <f t="shared" ca="1" si="62"/>
        <v>0.8</v>
      </c>
      <c r="BC96" s="33">
        <f t="shared" si="68"/>
        <v>81.666666666666671</v>
      </c>
      <c r="BD96" s="28">
        <f t="shared" si="63"/>
        <v>0.93877551020408168</v>
      </c>
      <c r="BE96" s="28">
        <f t="shared" si="64"/>
        <v>0.18775510204081636</v>
      </c>
      <c r="BF96" s="34">
        <f ca="1">Q96+AA96+AF96+AR96+BB96</f>
        <v>4.2</v>
      </c>
      <c r="BG96" s="34">
        <f>AVERAGE(AV96:AZ96)</f>
        <v>78</v>
      </c>
      <c r="BH96" s="35">
        <f>T96+AD96+AI96+AU96+BE96</f>
        <v>0.82909493845808646</v>
      </c>
      <c r="BI96" s="36" t="str">
        <f ca="1">IF(K96&lt;365,"New CE",(IF(BH96&gt;=100%,"Promote",IF(BH96&gt;=90%,"Sangat Baik",IF(BH96&gt;=80%,"Baik",IF(BH96&gt;=70%,"Lebih Dari Cukup",IF(BH96&gt;=60%,"Cukup","Kurang")))))))</f>
        <v>Baik</v>
      </c>
      <c r="BJ96" s="36" t="s">
        <v>855</v>
      </c>
      <c r="BK96" s="58" t="s">
        <v>48</v>
      </c>
      <c r="BL96" s="59" t="str">
        <v>Fernando Bastanta Ginting</v>
      </c>
    </row>
    <row r="97" spans="1:64" x14ac:dyDescent="0.35">
      <c r="A97" s="19">
        <v>93</v>
      </c>
      <c r="B97" s="13" t="s">
        <v>292</v>
      </c>
      <c r="C97" s="20" t="s">
        <v>293</v>
      </c>
      <c r="D97" s="76" t="s">
        <v>54</v>
      </c>
      <c r="E97" s="13" t="s">
        <v>182</v>
      </c>
      <c r="F97" s="13" t="s">
        <v>74</v>
      </c>
      <c r="G97" s="13" t="s">
        <v>61</v>
      </c>
      <c r="H97" s="65">
        <v>45173</v>
      </c>
      <c r="I97" s="21">
        <f t="shared" ca="1" si="65"/>
        <v>45974</v>
      </c>
      <c r="J97" s="13" t="str">
        <f t="shared" ca="1" si="44"/>
        <v xml:space="preserve">2 Tahun 2 Bulan 9 Hari </v>
      </c>
      <c r="K97" s="13">
        <f t="shared" ca="1" si="66"/>
        <v>1153440</v>
      </c>
      <c r="L97" s="13">
        <v>612</v>
      </c>
      <c r="M97" s="13">
        <v>11</v>
      </c>
      <c r="N97" s="13">
        <v>5254</v>
      </c>
      <c r="O97" s="22">
        <f t="shared" si="45"/>
        <v>477.63636363636363</v>
      </c>
      <c r="P97" s="13">
        <v>429</v>
      </c>
      <c r="Q97" s="23">
        <f t="shared" si="46"/>
        <v>0.8</v>
      </c>
      <c r="R97" s="24">
        <f t="shared" si="47"/>
        <v>4</v>
      </c>
      <c r="S97" s="25">
        <f t="shared" si="67"/>
        <v>0.89817282070803195</v>
      </c>
      <c r="T97" s="25">
        <f t="shared" si="48"/>
        <v>0.17963456414160639</v>
      </c>
      <c r="U97" s="26">
        <v>355.11856599030688</v>
      </c>
      <c r="V97" s="26">
        <v>4.5023148148148149E-3</v>
      </c>
      <c r="W97" s="26">
        <v>5.37037037037037E-3</v>
      </c>
      <c r="X97" s="27">
        <f t="shared" si="69"/>
        <v>0</v>
      </c>
      <c r="Y97" s="27">
        <f t="shared" si="49"/>
        <v>1</v>
      </c>
      <c r="Z97" s="27">
        <f t="shared" si="34"/>
        <v>1</v>
      </c>
      <c r="AA97" s="23">
        <f t="shared" si="70"/>
        <v>0.8</v>
      </c>
      <c r="AB97" s="24">
        <f t="shared" si="51"/>
        <v>2</v>
      </c>
      <c r="AC97" s="28">
        <f t="shared" si="52"/>
        <v>0.66666666666666663</v>
      </c>
      <c r="AD97" s="29">
        <f t="shared" si="53"/>
        <v>0.16666666666666666</v>
      </c>
      <c r="AE97" s="30">
        <v>5.0008944250592956E-2</v>
      </c>
      <c r="AF97" s="23">
        <f t="shared" si="54"/>
        <v>1</v>
      </c>
      <c r="AG97" s="24">
        <f t="shared" si="55"/>
        <v>4</v>
      </c>
      <c r="AH97" s="28">
        <f t="shared" si="56"/>
        <v>0.8</v>
      </c>
      <c r="AI97" s="29">
        <f t="shared" si="57"/>
        <v>0.2</v>
      </c>
      <c r="AJ97" s="31">
        <v>1</v>
      </c>
      <c r="AK97" s="31">
        <v>1</v>
      </c>
      <c r="AL97" s="31">
        <v>1</v>
      </c>
      <c r="AM97" s="31">
        <v>1</v>
      </c>
      <c r="AN97" s="31">
        <v>0</v>
      </c>
      <c r="AO97" s="31">
        <v>0</v>
      </c>
      <c r="AP97" s="31">
        <v>0</v>
      </c>
      <c r="AQ97" s="31">
        <v>1</v>
      </c>
      <c r="AR97" s="23">
        <f t="shared" si="58"/>
        <v>1</v>
      </c>
      <c r="AS97" s="24">
        <f t="shared" si="59"/>
        <v>5</v>
      </c>
      <c r="AT97" s="28">
        <f t="shared" si="60"/>
        <v>0.625</v>
      </c>
      <c r="AU97" s="28">
        <f t="shared" si="61"/>
        <v>9.375E-2</v>
      </c>
      <c r="AV97" s="32">
        <v>75</v>
      </c>
      <c r="AW97" s="32">
        <v>65</v>
      </c>
      <c r="AX97" s="32">
        <v>80</v>
      </c>
      <c r="AY97" s="32">
        <v>90</v>
      </c>
      <c r="AZ97" s="32">
        <v>80</v>
      </c>
      <c r="BA97" s="32">
        <v>100</v>
      </c>
      <c r="BB97" s="23">
        <f t="shared" ca="1" si="62"/>
        <v>0.8</v>
      </c>
      <c r="BC97" s="33">
        <f t="shared" si="68"/>
        <v>81.666666666666671</v>
      </c>
      <c r="BD97" s="28">
        <f t="shared" si="63"/>
        <v>0.93877551020408168</v>
      </c>
      <c r="BE97" s="28">
        <f t="shared" si="64"/>
        <v>0.18775510204081636</v>
      </c>
      <c r="BF97" s="34">
        <f ca="1">Q97+AA97+AF97+AR97+BB97</f>
        <v>4.4000000000000004</v>
      </c>
      <c r="BG97" s="34">
        <f>AVERAGE(AV97:AZ97)</f>
        <v>78</v>
      </c>
      <c r="BH97" s="35">
        <f>T97+AD97+AI97+AU97+BE97</f>
        <v>0.82780633284908944</v>
      </c>
      <c r="BI97" s="36" t="str">
        <f ca="1">IF(K97&lt;365,"New CE",(IF(BH97&gt;=100%,"Promote",IF(BH97&gt;=90%,"Sangat Baik",IF(BH97&gt;=80%,"Baik",IF(BH97&gt;=70%,"Lebih Dari Cukup",IF(BH97&gt;=60%,"Cukup","Kurang")))))))</f>
        <v>Baik</v>
      </c>
      <c r="BJ97" s="36" t="s">
        <v>855</v>
      </c>
      <c r="BK97" s="58" t="s">
        <v>48</v>
      </c>
      <c r="BL97" s="59" t="str">
        <v>Yudha Aryadi Zuhal</v>
      </c>
    </row>
    <row r="98" spans="1:64" x14ac:dyDescent="0.35">
      <c r="A98" s="19">
        <v>94</v>
      </c>
      <c r="B98" s="13" t="s">
        <v>294</v>
      </c>
      <c r="C98" s="20" t="s">
        <v>295</v>
      </c>
      <c r="D98" s="76" t="s">
        <v>42</v>
      </c>
      <c r="E98" s="13" t="s">
        <v>195</v>
      </c>
      <c r="F98" s="13" t="s">
        <v>74</v>
      </c>
      <c r="G98" s="13" t="s">
        <v>61</v>
      </c>
      <c r="H98" s="65">
        <v>43514</v>
      </c>
      <c r="I98" s="21">
        <f t="shared" ca="1" si="65"/>
        <v>45974</v>
      </c>
      <c r="J98" s="13" t="str">
        <f t="shared" ca="1" si="44"/>
        <v xml:space="preserve">6 Tahun 8 Bulan 26 Hari </v>
      </c>
      <c r="K98" s="13">
        <f t="shared" ca="1" si="66"/>
        <v>3542400</v>
      </c>
      <c r="L98" s="13">
        <v>159</v>
      </c>
      <c r="M98" s="13">
        <v>3</v>
      </c>
      <c r="N98" s="13">
        <v>1272</v>
      </c>
      <c r="O98" s="22">
        <f t="shared" si="45"/>
        <v>424</v>
      </c>
      <c r="P98" s="13">
        <v>378</v>
      </c>
      <c r="Q98" s="23">
        <f t="shared" si="46"/>
        <v>0.8</v>
      </c>
      <c r="R98" s="24">
        <f t="shared" si="47"/>
        <v>4</v>
      </c>
      <c r="S98" s="25">
        <f t="shared" si="67"/>
        <v>0.89150943396226412</v>
      </c>
      <c r="T98" s="25">
        <f t="shared" si="48"/>
        <v>0.17830188679245285</v>
      </c>
      <c r="U98" s="26">
        <v>3251.0356464947104</v>
      </c>
      <c r="V98" s="26">
        <v>7.6649305555555561E-2</v>
      </c>
      <c r="W98" s="26">
        <v>0.13992076210826213</v>
      </c>
      <c r="X98" s="27">
        <f t="shared" si="69"/>
        <v>0</v>
      </c>
      <c r="Y98" s="27">
        <f t="shared" si="49"/>
        <v>1</v>
      </c>
      <c r="Z98" s="27">
        <f t="shared" ref="Z98:Z161" si="71">IF(W98=TIME(0,0,0),0, IF(W98&gt;=TIME(24,0,0), 1, 0))</f>
        <v>1</v>
      </c>
      <c r="AA98" s="23">
        <f t="shared" si="70"/>
        <v>0.8</v>
      </c>
      <c r="AB98" s="24">
        <f t="shared" si="51"/>
        <v>2</v>
      </c>
      <c r="AC98" s="28">
        <f t="shared" si="52"/>
        <v>0.66666666666666663</v>
      </c>
      <c r="AD98" s="29">
        <f t="shared" si="53"/>
        <v>0.16666666666666666</v>
      </c>
      <c r="AE98" s="30">
        <v>5.3823828998560183E-2</v>
      </c>
      <c r="AF98" s="23">
        <f t="shared" si="54"/>
        <v>1</v>
      </c>
      <c r="AG98" s="24">
        <f t="shared" si="55"/>
        <v>4</v>
      </c>
      <c r="AH98" s="28">
        <f t="shared" si="56"/>
        <v>0.8</v>
      </c>
      <c r="AI98" s="29">
        <f t="shared" si="57"/>
        <v>0.2</v>
      </c>
      <c r="AJ98" s="31">
        <v>1</v>
      </c>
      <c r="AK98" s="31">
        <v>1</v>
      </c>
      <c r="AL98" s="31">
        <v>1</v>
      </c>
      <c r="AM98" s="31">
        <v>0</v>
      </c>
      <c r="AN98" s="31">
        <v>0</v>
      </c>
      <c r="AO98" s="31">
        <v>1</v>
      </c>
      <c r="AP98" s="31">
        <v>0</v>
      </c>
      <c r="AQ98" s="31">
        <v>1</v>
      </c>
      <c r="AR98" s="23">
        <f t="shared" si="58"/>
        <v>1</v>
      </c>
      <c r="AS98" s="24">
        <f t="shared" si="59"/>
        <v>5</v>
      </c>
      <c r="AT98" s="28">
        <f t="shared" si="60"/>
        <v>0.625</v>
      </c>
      <c r="AU98" s="28">
        <f t="shared" si="61"/>
        <v>9.375E-2</v>
      </c>
      <c r="AV98" s="32">
        <v>75</v>
      </c>
      <c r="AW98" s="32">
        <v>70</v>
      </c>
      <c r="AX98" s="32">
        <v>80</v>
      </c>
      <c r="AY98" s="32">
        <v>80</v>
      </c>
      <c r="AZ98" s="32">
        <v>80</v>
      </c>
      <c r="BA98" s="32">
        <v>100</v>
      </c>
      <c r="BB98" s="23">
        <f t="shared" ca="1" si="62"/>
        <v>0.8</v>
      </c>
      <c r="BC98" s="33">
        <f t="shared" si="68"/>
        <v>80.833333333333329</v>
      </c>
      <c r="BD98" s="28">
        <f t="shared" si="63"/>
        <v>0.93814432989690721</v>
      </c>
      <c r="BE98" s="28">
        <f t="shared" si="64"/>
        <v>0.18762886597938144</v>
      </c>
      <c r="BF98" s="34">
        <f ca="1">Q98+AA98+AF98+AR98+BB98</f>
        <v>4.4000000000000004</v>
      </c>
      <c r="BG98" s="34">
        <f>AVERAGE(AV98:AZ98)</f>
        <v>77</v>
      </c>
      <c r="BH98" s="35">
        <f>T98+AD98+AI98+AU98+BE98</f>
        <v>0.82634741943850099</v>
      </c>
      <c r="BI98" s="36" t="str">
        <f ca="1">IF(K98&lt;365,"New CE",(IF(BH98&gt;=100%,"Promote",IF(BH98&gt;=90%,"Sangat Baik",IF(BH98&gt;=80%,"Baik",IF(BH98&gt;=70%,"Lebih Dari Cukup",IF(BH98&gt;=60%,"Cukup","Kurang")))))))</f>
        <v>Baik</v>
      </c>
      <c r="BJ98" s="36" t="s">
        <v>860</v>
      </c>
      <c r="BK98" s="58" t="s">
        <v>42</v>
      </c>
      <c r="BL98" s="59" t="str">
        <v>Muhammad Afrizal</v>
      </c>
    </row>
    <row r="99" spans="1:64" x14ac:dyDescent="0.35">
      <c r="A99" s="19">
        <v>95</v>
      </c>
      <c r="B99" s="13" t="s">
        <v>296</v>
      </c>
      <c r="C99" s="20" t="s">
        <v>297</v>
      </c>
      <c r="D99" s="76" t="s">
        <v>42</v>
      </c>
      <c r="E99" s="13" t="s">
        <v>89</v>
      </c>
      <c r="F99" s="13" t="s">
        <v>74</v>
      </c>
      <c r="G99" s="13" t="s">
        <v>61</v>
      </c>
      <c r="H99" s="65">
        <v>42982</v>
      </c>
      <c r="I99" s="21">
        <f t="shared" ca="1" si="65"/>
        <v>45974</v>
      </c>
      <c r="J99" s="13" t="str">
        <f t="shared" ca="1" si="44"/>
        <v xml:space="preserve">8 Tahun 2 Bulan 9 Hari </v>
      </c>
      <c r="K99" s="13">
        <f t="shared" ca="1" si="66"/>
        <v>4308480</v>
      </c>
      <c r="L99" s="13">
        <v>448</v>
      </c>
      <c r="M99" s="13">
        <v>7</v>
      </c>
      <c r="N99" s="13">
        <v>2614</v>
      </c>
      <c r="O99" s="22">
        <f t="shared" si="45"/>
        <v>373.42857142857144</v>
      </c>
      <c r="P99" s="13">
        <v>391</v>
      </c>
      <c r="Q99" s="23">
        <f t="shared" si="46"/>
        <v>1</v>
      </c>
      <c r="R99" s="24">
        <f t="shared" si="47"/>
        <v>5</v>
      </c>
      <c r="S99" s="25">
        <f t="shared" si="67"/>
        <v>1.047054322876817</v>
      </c>
      <c r="T99" s="25">
        <f t="shared" si="48"/>
        <v>0.2094108645753634</v>
      </c>
      <c r="U99" s="26">
        <v>7788.2320234788349</v>
      </c>
      <c r="V99" s="26">
        <v>4.6793981481481478E-2</v>
      </c>
      <c r="W99" s="26">
        <v>0</v>
      </c>
      <c r="X99" s="27">
        <f t="shared" si="69"/>
        <v>0</v>
      </c>
      <c r="Y99" s="27">
        <f t="shared" si="49"/>
        <v>1</v>
      </c>
      <c r="Z99" s="27">
        <f t="shared" si="71"/>
        <v>0</v>
      </c>
      <c r="AA99" s="23">
        <f t="shared" si="70"/>
        <v>0.4</v>
      </c>
      <c r="AB99" s="24">
        <f t="shared" si="51"/>
        <v>1</v>
      </c>
      <c r="AC99" s="28">
        <f t="shared" si="52"/>
        <v>0.33333333333333331</v>
      </c>
      <c r="AD99" s="29">
        <f t="shared" si="53"/>
        <v>8.3333333333333329E-2</v>
      </c>
      <c r="AE99" s="30">
        <v>2.338538262527233E-2</v>
      </c>
      <c r="AF99" s="23">
        <f t="shared" si="54"/>
        <v>1.25</v>
      </c>
      <c r="AG99" s="24">
        <f t="shared" si="55"/>
        <v>5</v>
      </c>
      <c r="AH99" s="28">
        <f t="shared" si="56"/>
        <v>1</v>
      </c>
      <c r="AI99" s="29">
        <f t="shared" si="57"/>
        <v>0.25</v>
      </c>
      <c r="AJ99" s="31">
        <v>1</v>
      </c>
      <c r="AK99" s="31">
        <v>1</v>
      </c>
      <c r="AL99" s="31">
        <v>1</v>
      </c>
      <c r="AM99" s="31">
        <v>1</v>
      </c>
      <c r="AN99" s="31">
        <v>1</v>
      </c>
      <c r="AO99" s="31">
        <v>0</v>
      </c>
      <c r="AP99" s="31">
        <v>0</v>
      </c>
      <c r="AQ99" s="31">
        <v>0</v>
      </c>
      <c r="AR99" s="23">
        <f t="shared" si="58"/>
        <v>1</v>
      </c>
      <c r="AS99" s="24">
        <f t="shared" si="59"/>
        <v>5</v>
      </c>
      <c r="AT99" s="28">
        <f t="shared" si="60"/>
        <v>0.625</v>
      </c>
      <c r="AU99" s="28">
        <f t="shared" si="61"/>
        <v>9.375E-2</v>
      </c>
      <c r="AV99" s="32">
        <v>80</v>
      </c>
      <c r="AW99" s="32">
        <v>85</v>
      </c>
      <c r="AX99" s="32">
        <v>90</v>
      </c>
      <c r="AY99" s="32">
        <v>90</v>
      </c>
      <c r="AZ99" s="32">
        <v>90</v>
      </c>
      <c r="BA99" s="32">
        <v>100</v>
      </c>
      <c r="BB99" s="23">
        <f t="shared" ca="1" si="62"/>
        <v>0.8</v>
      </c>
      <c r="BC99" s="33">
        <f t="shared" si="68"/>
        <v>89.166666666666671</v>
      </c>
      <c r="BD99" s="28">
        <f t="shared" si="63"/>
        <v>0.94392523364485981</v>
      </c>
      <c r="BE99" s="28">
        <f t="shared" si="64"/>
        <v>0.18878504672897198</v>
      </c>
      <c r="BF99" s="34">
        <f ca="1">Q99+AA99+AF99+AR99+BB99</f>
        <v>4.45</v>
      </c>
      <c r="BG99" s="34">
        <f>AVERAGE(AV99:AZ99)</f>
        <v>87</v>
      </c>
      <c r="BH99" s="35">
        <f>T99+AD99+AI99+AU99+BE99</f>
        <v>0.82527924463766866</v>
      </c>
      <c r="BI99" s="36" t="str">
        <f ca="1">IF(K99&lt;365,"New CE",(IF(BH99&gt;=100%,"Promote",IF(BH99&gt;=90%,"Sangat Baik",IF(BH99&gt;=80%,"Baik",IF(BH99&gt;=70%,"Lebih Dari Cukup",IF(BH99&gt;=60%,"Cukup","Kurang")))))))</f>
        <v>Baik</v>
      </c>
      <c r="BJ99" s="36" t="s">
        <v>860</v>
      </c>
      <c r="BK99" s="58" t="s">
        <v>42</v>
      </c>
      <c r="BL99" s="59" t="str">
        <v>Muhammad Ganda Sriwitjayanto</v>
      </c>
    </row>
    <row r="100" spans="1:64" x14ac:dyDescent="0.35">
      <c r="A100" s="19">
        <v>96</v>
      </c>
      <c r="B100" s="13" t="s">
        <v>298</v>
      </c>
      <c r="C100" s="20" t="s">
        <v>299</v>
      </c>
      <c r="D100" s="76" t="s">
        <v>48</v>
      </c>
      <c r="E100" s="13" t="s">
        <v>300</v>
      </c>
      <c r="F100" s="13" t="s">
        <v>74</v>
      </c>
      <c r="G100" s="13" t="s">
        <v>51</v>
      </c>
      <c r="H100" s="65">
        <v>44502</v>
      </c>
      <c r="I100" s="21">
        <f t="shared" ca="1" si="65"/>
        <v>45974</v>
      </c>
      <c r="J100" s="13" t="str">
        <f t="shared" ca="1" si="44"/>
        <v xml:space="preserve">4 Tahun 0 Bulan 11 Hari </v>
      </c>
      <c r="K100" s="13">
        <f t="shared" ca="1" si="66"/>
        <v>2119680</v>
      </c>
      <c r="L100" s="13">
        <v>156</v>
      </c>
      <c r="M100" s="13">
        <v>4</v>
      </c>
      <c r="N100" s="13">
        <v>1290</v>
      </c>
      <c r="O100" s="22">
        <f t="shared" si="45"/>
        <v>322.5</v>
      </c>
      <c r="P100" s="13">
        <v>398</v>
      </c>
      <c r="Q100" s="23">
        <f t="shared" si="46"/>
        <v>1</v>
      </c>
      <c r="R100" s="24">
        <f t="shared" si="47"/>
        <v>5</v>
      </c>
      <c r="S100" s="25">
        <f t="shared" si="67"/>
        <v>1.2341085271317829</v>
      </c>
      <c r="T100" s="25">
        <f t="shared" si="48"/>
        <v>0.24682170542635659</v>
      </c>
      <c r="U100" s="26">
        <v>7686.1451780125208</v>
      </c>
      <c r="V100" s="26">
        <v>0</v>
      </c>
      <c r="W100" s="26">
        <v>8526.7592614293953</v>
      </c>
      <c r="X100" s="27">
        <f t="shared" si="69"/>
        <v>0</v>
      </c>
      <c r="Y100" s="27">
        <f t="shared" ref="Y100:Y131" si="72">IF(V100=TIME(0,0,0), 0, IF(V100&lt;=TIME(3,0,0), 1, 0))</f>
        <v>0</v>
      </c>
      <c r="Z100" s="27">
        <f t="shared" si="71"/>
        <v>1</v>
      </c>
      <c r="AA100" s="23">
        <f>IF(AB100=3, 1.75, IF(AB100=2, 1, IF(AB100=1, 0.75, IF(AB100=0, 0, 0))))</f>
        <v>0.75</v>
      </c>
      <c r="AB100" s="24">
        <f t="shared" ref="AB100:AB131" si="73">X100+Y100+Z100</f>
        <v>1</v>
      </c>
      <c r="AC100" s="28">
        <f t="shared" si="52"/>
        <v>0.33333333333333331</v>
      </c>
      <c r="AD100" s="29">
        <f t="shared" si="53"/>
        <v>8.3333333333333329E-2</v>
      </c>
      <c r="AE100" s="30">
        <v>3.9815999034749035E-2</v>
      </c>
      <c r="AF100" s="23">
        <f t="shared" si="54"/>
        <v>1.25</v>
      </c>
      <c r="AG100" s="24">
        <f t="shared" ref="AG100:AG131" si="74">IF(AE100="",0,IF(AE100&lt;=TIME(1,0,0),5,IF(AE100&lt;=TIME(2,0,0),4,IF(AE100&lt;=TIME(3,0,0),3,IF(AE100&lt;=TIME(4,0,0),2,IF(AE100&lt;TIME(8,0,0),1,0))))))</f>
        <v>5</v>
      </c>
      <c r="AH100" s="28">
        <f t="shared" si="56"/>
        <v>1</v>
      </c>
      <c r="AI100" s="29">
        <f t="shared" si="57"/>
        <v>0.25</v>
      </c>
      <c r="AJ100" s="31">
        <v>1</v>
      </c>
      <c r="AK100" s="31">
        <v>1</v>
      </c>
      <c r="AL100" s="31">
        <v>1</v>
      </c>
      <c r="AM100" s="31">
        <v>0</v>
      </c>
      <c r="AN100" s="31">
        <v>0</v>
      </c>
      <c r="AO100" s="31">
        <v>0</v>
      </c>
      <c r="AP100" s="31">
        <v>0</v>
      </c>
      <c r="AQ100" s="31">
        <v>0</v>
      </c>
      <c r="AR100" s="23">
        <f t="shared" si="58"/>
        <v>0.6</v>
      </c>
      <c r="AS100" s="24">
        <f t="shared" si="59"/>
        <v>3</v>
      </c>
      <c r="AT100" s="28">
        <f t="shared" si="60"/>
        <v>0.375</v>
      </c>
      <c r="AU100" s="28">
        <f t="shared" si="61"/>
        <v>5.6249999999999994E-2</v>
      </c>
      <c r="AV100" s="32">
        <v>80</v>
      </c>
      <c r="AW100" s="32">
        <v>75</v>
      </c>
      <c r="AX100" s="32">
        <v>85</v>
      </c>
      <c r="AY100" s="32">
        <v>90</v>
      </c>
      <c r="AZ100" s="32">
        <v>85</v>
      </c>
      <c r="BA100" s="32">
        <v>100</v>
      </c>
      <c r="BB100" s="23">
        <f t="shared" ca="1" si="62"/>
        <v>0.8</v>
      </c>
      <c r="BC100" s="33">
        <f t="shared" si="68"/>
        <v>85.833333333333329</v>
      </c>
      <c r="BD100" s="28">
        <f t="shared" si="63"/>
        <v>0.94174757281553401</v>
      </c>
      <c r="BE100" s="28">
        <f t="shared" si="64"/>
        <v>0.18834951456310681</v>
      </c>
      <c r="BF100" s="34">
        <f ca="1">Q100+AA100+AF100+AR100+BB100</f>
        <v>4.4000000000000004</v>
      </c>
      <c r="BG100" s="34">
        <f>AVERAGE(AV100:AZ100)</f>
        <v>83</v>
      </c>
      <c r="BH100" s="35">
        <f>T100+AD100+AI100+AU100+BE100</f>
        <v>0.82475455332279668</v>
      </c>
      <c r="BI100" s="36" t="str">
        <f ca="1">IF(K100&lt;365,"New CE",(IF(BH100&gt;=100%,"Promote",IF(BH100&gt;=90%,"Sangat Baik",IF(BH100&gt;=80%,"Baik",IF(BH100&gt;=70%,"Lebih Dari Cukup",IF(BH100&gt;=60%,"Cukup","Kurang")))))))</f>
        <v>Baik</v>
      </c>
      <c r="BJ100" s="36" t="s">
        <v>860</v>
      </c>
      <c r="BK100" s="58" t="s">
        <v>48</v>
      </c>
      <c r="BL100" s="59" t="str">
        <v>Deril Juliarto</v>
      </c>
    </row>
    <row r="101" spans="1:64" x14ac:dyDescent="0.35">
      <c r="A101" s="19">
        <v>97</v>
      </c>
      <c r="B101" s="13" t="s">
        <v>301</v>
      </c>
      <c r="C101" s="20" t="s">
        <v>302</v>
      </c>
      <c r="D101" s="76" t="s">
        <v>54</v>
      </c>
      <c r="E101" s="13" t="s">
        <v>117</v>
      </c>
      <c r="F101" s="13" t="s">
        <v>74</v>
      </c>
      <c r="G101" s="13" t="s">
        <v>55</v>
      </c>
      <c r="H101" s="65">
        <v>44291</v>
      </c>
      <c r="I101" s="21">
        <f t="shared" ca="1" si="65"/>
        <v>45974</v>
      </c>
      <c r="J101" s="13" t="str">
        <f t="shared" ca="1" si="44"/>
        <v xml:space="preserve">4 Tahun 7 Bulan 8 Hari </v>
      </c>
      <c r="K101" s="13">
        <f t="shared" ca="1" si="66"/>
        <v>2423520</v>
      </c>
      <c r="L101" s="13">
        <v>401</v>
      </c>
      <c r="M101" s="13">
        <v>7</v>
      </c>
      <c r="N101" s="13">
        <v>2754</v>
      </c>
      <c r="O101" s="22">
        <f t="shared" si="45"/>
        <v>393.42857142857144</v>
      </c>
      <c r="P101" s="13">
        <v>372</v>
      </c>
      <c r="Q101" s="23">
        <f t="shared" si="46"/>
        <v>0.8</v>
      </c>
      <c r="R101" s="24">
        <f t="shared" si="47"/>
        <v>4</v>
      </c>
      <c r="S101" s="25">
        <f t="shared" si="67"/>
        <v>0.94553376906318076</v>
      </c>
      <c r="T101" s="25">
        <f t="shared" si="48"/>
        <v>0.18910675381263617</v>
      </c>
      <c r="U101" s="26">
        <v>13987.222452813392</v>
      </c>
      <c r="V101" s="26">
        <v>17089.670792824076</v>
      </c>
      <c r="W101" s="26">
        <v>2.6087962962962962E-2</v>
      </c>
      <c r="X101" s="27">
        <f t="shared" si="69"/>
        <v>0</v>
      </c>
      <c r="Y101" s="27">
        <f t="shared" si="72"/>
        <v>0</v>
      </c>
      <c r="Z101" s="27">
        <f t="shared" si="71"/>
        <v>1</v>
      </c>
      <c r="AA101" s="23">
        <f>IF(AB101=3, 1.25, IF(AB101=2, 0.8, IF(AB101=1, 0.4, IF(AB101=0, 0, 0))))</f>
        <v>0.4</v>
      </c>
      <c r="AB101" s="24">
        <f t="shared" si="73"/>
        <v>1</v>
      </c>
      <c r="AC101" s="28">
        <f t="shared" si="52"/>
        <v>0.33333333333333331</v>
      </c>
      <c r="AD101" s="29">
        <f t="shared" si="53"/>
        <v>8.3333333333333329E-2</v>
      </c>
      <c r="AE101" s="30">
        <v>3.7709160052910057E-2</v>
      </c>
      <c r="AF101" s="23">
        <f t="shared" si="54"/>
        <v>1.25</v>
      </c>
      <c r="AG101" s="24">
        <f t="shared" si="74"/>
        <v>5</v>
      </c>
      <c r="AH101" s="28">
        <f t="shared" si="56"/>
        <v>1</v>
      </c>
      <c r="AI101" s="29">
        <f t="shared" si="57"/>
        <v>0.25</v>
      </c>
      <c r="AJ101" s="31">
        <v>1</v>
      </c>
      <c r="AK101" s="31">
        <v>1</v>
      </c>
      <c r="AL101" s="31">
        <v>1</v>
      </c>
      <c r="AM101" s="31">
        <v>0</v>
      </c>
      <c r="AN101" s="31">
        <v>1</v>
      </c>
      <c r="AO101" s="31">
        <v>1</v>
      </c>
      <c r="AP101" s="31">
        <v>0</v>
      </c>
      <c r="AQ101" s="31">
        <v>1</v>
      </c>
      <c r="AR101" s="23">
        <f t="shared" si="58"/>
        <v>1</v>
      </c>
      <c r="AS101" s="24">
        <f t="shared" si="59"/>
        <v>6</v>
      </c>
      <c r="AT101" s="28">
        <f t="shared" si="60"/>
        <v>0.75</v>
      </c>
      <c r="AU101" s="28">
        <f t="shared" si="61"/>
        <v>0.11249999999999999</v>
      </c>
      <c r="AV101" s="32">
        <v>80</v>
      </c>
      <c r="AW101" s="32">
        <v>75</v>
      </c>
      <c r="AX101" s="32">
        <v>80</v>
      </c>
      <c r="AY101" s="32">
        <v>75</v>
      </c>
      <c r="AZ101" s="32">
        <v>80</v>
      </c>
      <c r="BA101" s="32">
        <v>100</v>
      </c>
      <c r="BB101" s="23">
        <f t="shared" ca="1" si="62"/>
        <v>0.8</v>
      </c>
      <c r="BC101" s="33">
        <f t="shared" si="68"/>
        <v>81.666666666666671</v>
      </c>
      <c r="BD101" s="28">
        <f t="shared" si="63"/>
        <v>0.93877551020408168</v>
      </c>
      <c r="BE101" s="28">
        <f t="shared" si="64"/>
        <v>0.18775510204081636</v>
      </c>
      <c r="BF101" s="34">
        <f ca="1">Q101+AA101+AF101+AR101+BB101</f>
        <v>4.25</v>
      </c>
      <c r="BG101" s="34">
        <f>AVERAGE(AV101:AZ101)</f>
        <v>78</v>
      </c>
      <c r="BH101" s="35">
        <f>T101+AD101+AI101+AU101+BE101</f>
        <v>0.82269518918678597</v>
      </c>
      <c r="BI101" s="36" t="str">
        <f ca="1">IF(K101&lt;365,"New CE",(IF(BH101&gt;=100%,"Promote",IF(BH101&gt;=90%,"Sangat Baik",IF(BH101&gt;=80%,"Baik",IF(BH101&gt;=70%,"Lebih Dari Cukup",IF(BH101&gt;=60%,"Cukup","Kurang")))))))</f>
        <v>Baik</v>
      </c>
      <c r="BJ101" s="36" t="s">
        <v>860</v>
      </c>
      <c r="BK101" s="58" t="s">
        <v>54</v>
      </c>
      <c r="BL101" s="59" t="str">
        <v>Suhardi</v>
      </c>
    </row>
    <row r="102" spans="1:64" x14ac:dyDescent="0.35">
      <c r="A102" s="19">
        <v>98</v>
      </c>
      <c r="B102" s="13" t="s">
        <v>303</v>
      </c>
      <c r="C102" s="20" t="s">
        <v>304</v>
      </c>
      <c r="D102" s="76" t="s">
        <v>54</v>
      </c>
      <c r="E102" s="13" t="s">
        <v>120</v>
      </c>
      <c r="F102" s="13" t="s">
        <v>74</v>
      </c>
      <c r="G102" s="13" t="s">
        <v>61</v>
      </c>
      <c r="H102" s="65">
        <v>45323</v>
      </c>
      <c r="I102" s="21">
        <f t="shared" ca="1" si="65"/>
        <v>45974</v>
      </c>
      <c r="J102" s="13" t="str">
        <f t="shared" ca="1" si="44"/>
        <v xml:space="preserve">1 Tahun 9 Bulan 12 Hari </v>
      </c>
      <c r="K102" s="13">
        <f t="shared" ca="1" si="66"/>
        <v>937440</v>
      </c>
      <c r="L102" s="13">
        <v>64</v>
      </c>
      <c r="M102" s="13">
        <v>2</v>
      </c>
      <c r="N102" s="13">
        <v>500</v>
      </c>
      <c r="O102" s="22">
        <f t="shared" si="45"/>
        <v>250</v>
      </c>
      <c r="P102" s="13">
        <v>241</v>
      </c>
      <c r="Q102" s="23">
        <f t="shared" si="46"/>
        <v>0.8</v>
      </c>
      <c r="R102" s="24">
        <f t="shared" si="47"/>
        <v>4</v>
      </c>
      <c r="S102" s="25">
        <f t="shared" si="67"/>
        <v>0.96399999999999997</v>
      </c>
      <c r="T102" s="25">
        <f t="shared" si="48"/>
        <v>0.1928</v>
      </c>
      <c r="U102" s="26">
        <v>6496.5348015873014</v>
      </c>
      <c r="V102" s="26">
        <v>0.12382175925925927</v>
      </c>
      <c r="W102" s="26">
        <v>20662.705055765993</v>
      </c>
      <c r="X102" s="27">
        <f t="shared" si="69"/>
        <v>0</v>
      </c>
      <c r="Y102" s="27">
        <f t="shared" si="72"/>
        <v>1</v>
      </c>
      <c r="Z102" s="27">
        <f t="shared" si="71"/>
        <v>1</v>
      </c>
      <c r="AA102" s="23">
        <f>IF(AB102=3, 1.25, IF(AB102=2, 0.8, IF(AB102=1, 0.4, IF(AB102=0, 0, 0))))</f>
        <v>0.8</v>
      </c>
      <c r="AB102" s="24">
        <f t="shared" si="73"/>
        <v>2</v>
      </c>
      <c r="AC102" s="28">
        <f t="shared" si="52"/>
        <v>0.66666666666666663</v>
      </c>
      <c r="AD102" s="29">
        <f t="shared" si="53"/>
        <v>0.16666666666666666</v>
      </c>
      <c r="AE102" s="30">
        <v>5.4297811138344226E-2</v>
      </c>
      <c r="AF102" s="23">
        <f t="shared" si="54"/>
        <v>1</v>
      </c>
      <c r="AG102" s="24">
        <f t="shared" si="74"/>
        <v>4</v>
      </c>
      <c r="AH102" s="28">
        <f t="shared" si="56"/>
        <v>0.8</v>
      </c>
      <c r="AI102" s="29">
        <f t="shared" si="57"/>
        <v>0.2</v>
      </c>
      <c r="AJ102" s="31">
        <v>1</v>
      </c>
      <c r="AK102" s="31">
        <v>1</v>
      </c>
      <c r="AL102" s="31">
        <v>1</v>
      </c>
      <c r="AM102" s="31">
        <v>0</v>
      </c>
      <c r="AN102" s="31">
        <v>0</v>
      </c>
      <c r="AO102" s="31">
        <v>1</v>
      </c>
      <c r="AP102" s="31">
        <v>0</v>
      </c>
      <c r="AQ102" s="31">
        <v>0</v>
      </c>
      <c r="AR102" s="23">
        <f t="shared" si="58"/>
        <v>0.8</v>
      </c>
      <c r="AS102" s="24">
        <f t="shared" si="59"/>
        <v>4</v>
      </c>
      <c r="AT102" s="28">
        <f t="shared" si="60"/>
        <v>0.5</v>
      </c>
      <c r="AU102" s="28">
        <f t="shared" si="61"/>
        <v>7.4999999999999997E-2</v>
      </c>
      <c r="AV102" s="32">
        <v>75</v>
      </c>
      <c r="AW102" s="32">
        <v>70</v>
      </c>
      <c r="AX102" s="32">
        <v>85</v>
      </c>
      <c r="AY102" s="32">
        <v>85</v>
      </c>
      <c r="AZ102" s="32">
        <v>85</v>
      </c>
      <c r="BA102" s="32">
        <v>100</v>
      </c>
      <c r="BB102" s="23">
        <f t="shared" ca="1" si="62"/>
        <v>0.8</v>
      </c>
      <c r="BC102" s="33">
        <f t="shared" si="68"/>
        <v>83.333333333333329</v>
      </c>
      <c r="BD102" s="28">
        <f t="shared" si="63"/>
        <v>0.94</v>
      </c>
      <c r="BE102" s="28">
        <f t="shared" si="64"/>
        <v>0.188</v>
      </c>
      <c r="BF102" s="34">
        <f ca="1">Q102+AA102+AF102+AR102+BB102</f>
        <v>4.2</v>
      </c>
      <c r="BG102" s="34">
        <f>AVERAGE(AV102:AZ102)</f>
        <v>80</v>
      </c>
      <c r="BH102" s="35">
        <f>T102+AD102+AI102+AU102+BE102</f>
        <v>0.82246666666666668</v>
      </c>
      <c r="BI102" s="36" t="str">
        <f ca="1">IF(K102&lt;365,"New CE",(IF(BH102&gt;=100%,"Promote",IF(BH102&gt;=90%,"Sangat Baik",IF(BH102&gt;=80%,"Baik",IF(BH102&gt;=70%,"Lebih Dari Cukup",IF(BH102&gt;=60%,"Cukup","Kurang")))))))</f>
        <v>Baik</v>
      </c>
      <c r="BJ102" s="36" t="s">
        <v>860</v>
      </c>
      <c r="BK102" s="58" t="s">
        <v>54</v>
      </c>
      <c r="BL102" s="59" t="str">
        <v>Muhammad Farhan Maskur</v>
      </c>
    </row>
    <row r="103" spans="1:64" x14ac:dyDescent="0.35">
      <c r="A103" s="19">
        <v>99</v>
      </c>
      <c r="B103" s="13" t="s">
        <v>305</v>
      </c>
      <c r="C103" s="20" t="s">
        <v>306</v>
      </c>
      <c r="D103" s="76" t="s">
        <v>54</v>
      </c>
      <c r="E103" s="13" t="s">
        <v>106</v>
      </c>
      <c r="F103" s="13" t="s">
        <v>74</v>
      </c>
      <c r="G103" s="13" t="s">
        <v>75</v>
      </c>
      <c r="H103" s="65">
        <v>45306</v>
      </c>
      <c r="I103" s="21">
        <f t="shared" ca="1" si="65"/>
        <v>45974</v>
      </c>
      <c r="J103" s="13" t="str">
        <f t="shared" ca="1" si="44"/>
        <v xml:space="preserve">1 Tahun 9 Bulan 29 Hari </v>
      </c>
      <c r="K103" s="13">
        <f t="shared" ca="1" si="66"/>
        <v>961920</v>
      </c>
      <c r="L103" s="13">
        <v>59</v>
      </c>
      <c r="M103" s="13">
        <v>2</v>
      </c>
      <c r="N103" s="13">
        <v>448</v>
      </c>
      <c r="O103" s="22">
        <f t="shared" si="45"/>
        <v>224</v>
      </c>
      <c r="P103" s="13">
        <v>170</v>
      </c>
      <c r="Q103" s="23">
        <f t="shared" si="46"/>
        <v>0.6</v>
      </c>
      <c r="R103" s="24">
        <f t="shared" si="47"/>
        <v>3</v>
      </c>
      <c r="S103" s="25">
        <f t="shared" si="67"/>
        <v>0.7589285714285714</v>
      </c>
      <c r="T103" s="25">
        <f t="shared" si="48"/>
        <v>0.1517857142857143</v>
      </c>
      <c r="U103" s="26">
        <v>3.4148148148148145E-3</v>
      </c>
      <c r="V103" s="26">
        <v>0</v>
      </c>
      <c r="W103" s="26">
        <v>8.1944444444444452E-3</v>
      </c>
      <c r="X103" s="27">
        <f t="shared" si="69"/>
        <v>1</v>
      </c>
      <c r="Y103" s="27">
        <f t="shared" si="72"/>
        <v>0</v>
      </c>
      <c r="Z103" s="27">
        <f t="shared" si="71"/>
        <v>1</v>
      </c>
      <c r="AA103" s="23">
        <f>IF(AB103=3, 1.25, IF(AB103=2, 0.8, IF(AB103=1, 0.4, IF(AB103=0, 0, 0))))</f>
        <v>0.8</v>
      </c>
      <c r="AB103" s="24">
        <f t="shared" si="73"/>
        <v>2</v>
      </c>
      <c r="AC103" s="28">
        <f t="shared" si="52"/>
        <v>0.66666666666666663</v>
      </c>
      <c r="AD103" s="29">
        <f t="shared" si="53"/>
        <v>0.16666666666666666</v>
      </c>
      <c r="AE103" s="30">
        <v>5.8895399305555554E-2</v>
      </c>
      <c r="AF103" s="23">
        <f t="shared" si="54"/>
        <v>1</v>
      </c>
      <c r="AG103" s="24">
        <f t="shared" si="74"/>
        <v>4</v>
      </c>
      <c r="AH103" s="28">
        <f t="shared" si="56"/>
        <v>0.8</v>
      </c>
      <c r="AI103" s="29">
        <f t="shared" si="57"/>
        <v>0.2</v>
      </c>
      <c r="AJ103" s="31">
        <v>1</v>
      </c>
      <c r="AK103" s="31">
        <v>1</v>
      </c>
      <c r="AL103" s="31">
        <v>0</v>
      </c>
      <c r="AM103" s="31">
        <v>1</v>
      </c>
      <c r="AN103" s="31">
        <v>1</v>
      </c>
      <c r="AO103" s="31">
        <v>1</v>
      </c>
      <c r="AP103" s="31">
        <v>0</v>
      </c>
      <c r="AQ103" s="31">
        <v>1</v>
      </c>
      <c r="AR103" s="23">
        <f t="shared" si="58"/>
        <v>1</v>
      </c>
      <c r="AS103" s="24">
        <f t="shared" si="59"/>
        <v>6</v>
      </c>
      <c r="AT103" s="28">
        <f t="shared" si="60"/>
        <v>0.75</v>
      </c>
      <c r="AU103" s="28">
        <f t="shared" si="61"/>
        <v>0.11249999999999999</v>
      </c>
      <c r="AV103" s="32">
        <v>75</v>
      </c>
      <c r="AW103" s="32">
        <v>75</v>
      </c>
      <c r="AX103" s="32">
        <v>80</v>
      </c>
      <c r="AY103" s="32">
        <v>85</v>
      </c>
      <c r="AZ103" s="32">
        <v>80</v>
      </c>
      <c r="BA103" s="32">
        <v>100</v>
      </c>
      <c r="BB103" s="23">
        <f t="shared" ca="1" si="62"/>
        <v>0.8</v>
      </c>
      <c r="BC103" s="33">
        <f t="shared" si="68"/>
        <v>82.5</v>
      </c>
      <c r="BD103" s="28">
        <f t="shared" si="63"/>
        <v>0.93939393939393945</v>
      </c>
      <c r="BE103" s="28">
        <f t="shared" si="64"/>
        <v>0.1878787878787879</v>
      </c>
      <c r="BF103" s="34">
        <f ca="1">Q103+AA103+AF103+AR103+BB103</f>
        <v>4.2</v>
      </c>
      <c r="BG103" s="34">
        <f>AVERAGE(AV103:AZ103)</f>
        <v>79</v>
      </c>
      <c r="BH103" s="35">
        <f>T103+AD103+AI103+AU103+BE103</f>
        <v>0.8188311688311688</v>
      </c>
      <c r="BI103" s="36" t="str">
        <f ca="1">IF(K103&lt;365,"New CE",(IF(BH103&gt;=100%,"Promote",IF(BH103&gt;=90%,"Sangat Baik",IF(BH103&gt;=80%,"Baik",IF(BH103&gt;=70%,"Lebih Dari Cukup",IF(BH103&gt;=60%,"Cukup","Kurang")))))))</f>
        <v>Baik</v>
      </c>
      <c r="BJ103" s="36" t="s">
        <v>860</v>
      </c>
      <c r="BK103" s="58" t="s">
        <v>54</v>
      </c>
      <c r="BL103" s="59" t="str">
        <v>Abdul Arif Manoppo</v>
      </c>
    </row>
    <row r="104" spans="1:64" x14ac:dyDescent="0.35">
      <c r="A104" s="19">
        <v>100</v>
      </c>
      <c r="B104" s="13" t="s">
        <v>307</v>
      </c>
      <c r="C104" s="20" t="s">
        <v>308</v>
      </c>
      <c r="D104" s="76" t="s">
        <v>54</v>
      </c>
      <c r="E104" s="13" t="s">
        <v>95</v>
      </c>
      <c r="F104" s="13" t="s">
        <v>50</v>
      </c>
      <c r="G104" s="13" t="s">
        <v>61</v>
      </c>
      <c r="H104" s="65">
        <v>45131</v>
      </c>
      <c r="I104" s="21">
        <f t="shared" ca="1" si="65"/>
        <v>45974</v>
      </c>
      <c r="J104" s="13" t="str">
        <f t="shared" ca="1" si="44"/>
        <v xml:space="preserve">2 Tahun 3 Bulan 20 Hari </v>
      </c>
      <c r="K104" s="13">
        <f t="shared" ca="1" si="66"/>
        <v>1213920</v>
      </c>
      <c r="L104" s="13">
        <v>897</v>
      </c>
      <c r="M104" s="13">
        <v>13</v>
      </c>
      <c r="N104" s="13">
        <v>6212</v>
      </c>
      <c r="O104" s="22">
        <f t="shared" si="45"/>
        <v>477.84615384615387</v>
      </c>
      <c r="P104" s="13">
        <v>531</v>
      </c>
      <c r="Q104" s="23">
        <f t="shared" si="46"/>
        <v>1</v>
      </c>
      <c r="R104" s="24">
        <f t="shared" si="47"/>
        <v>5</v>
      </c>
      <c r="S104" s="25">
        <f t="shared" si="67"/>
        <v>1.1112363168061816</v>
      </c>
      <c r="T104" s="25">
        <f t="shared" si="48"/>
        <v>0.22224726336123635</v>
      </c>
      <c r="U104" s="26">
        <v>6.25E-2</v>
      </c>
      <c r="V104" s="26">
        <v>0.14583333333333334</v>
      </c>
      <c r="W104" s="26">
        <v>0</v>
      </c>
      <c r="X104" s="27">
        <f t="shared" si="69"/>
        <v>1</v>
      </c>
      <c r="Y104" s="27">
        <f t="shared" si="72"/>
        <v>0</v>
      </c>
      <c r="Z104" s="27">
        <f t="shared" si="71"/>
        <v>0</v>
      </c>
      <c r="AA104" s="23">
        <f>IF(AB104=3, 1.75, IF(AB104=2, 1, IF(AB104=1, 0.75, IF(AB104=0, 0, 0))))</f>
        <v>0.75</v>
      </c>
      <c r="AB104" s="24">
        <f t="shared" si="73"/>
        <v>1</v>
      </c>
      <c r="AC104" s="28">
        <f t="shared" si="52"/>
        <v>0.33333333333333331</v>
      </c>
      <c r="AD104" s="29">
        <f t="shared" si="53"/>
        <v>8.3333333333333329E-2</v>
      </c>
      <c r="AE104" s="30">
        <v>3.7890218529541442E-2</v>
      </c>
      <c r="AF104" s="23">
        <f t="shared" si="54"/>
        <v>1.25</v>
      </c>
      <c r="AG104" s="24">
        <f t="shared" si="74"/>
        <v>5</v>
      </c>
      <c r="AH104" s="28">
        <f t="shared" si="56"/>
        <v>1</v>
      </c>
      <c r="AI104" s="29">
        <f t="shared" si="57"/>
        <v>0.25</v>
      </c>
      <c r="AJ104" s="31">
        <v>1</v>
      </c>
      <c r="AK104" s="31">
        <v>1</v>
      </c>
      <c r="AL104" s="31">
        <v>1</v>
      </c>
      <c r="AM104" s="31">
        <v>0</v>
      </c>
      <c r="AN104" s="31">
        <v>0</v>
      </c>
      <c r="AO104" s="31">
        <v>1</v>
      </c>
      <c r="AP104" s="31">
        <v>0</v>
      </c>
      <c r="AQ104" s="31">
        <v>0</v>
      </c>
      <c r="AR104" s="23">
        <f t="shared" si="58"/>
        <v>0.8</v>
      </c>
      <c r="AS104" s="24">
        <f t="shared" si="59"/>
        <v>4</v>
      </c>
      <c r="AT104" s="28">
        <f t="shared" si="60"/>
        <v>0.5</v>
      </c>
      <c r="AU104" s="28">
        <f t="shared" si="61"/>
        <v>7.4999999999999997E-2</v>
      </c>
      <c r="AV104" s="32">
        <v>75</v>
      </c>
      <c r="AW104" s="32">
        <v>75</v>
      </c>
      <c r="AX104" s="32">
        <v>90</v>
      </c>
      <c r="AY104" s="32">
        <v>85</v>
      </c>
      <c r="AZ104" s="32">
        <v>80</v>
      </c>
      <c r="BA104" s="32">
        <v>100</v>
      </c>
      <c r="BB104" s="23">
        <f t="shared" ca="1" si="62"/>
        <v>0.8</v>
      </c>
      <c r="BC104" s="33">
        <f t="shared" si="68"/>
        <v>84.166666666666671</v>
      </c>
      <c r="BD104" s="28">
        <f t="shared" si="63"/>
        <v>0.94059405940594054</v>
      </c>
      <c r="BE104" s="28">
        <f t="shared" si="64"/>
        <v>0.18811881188118812</v>
      </c>
      <c r="BF104" s="34">
        <f ca="1">Q104+AA104+AF104+AR104+BB104</f>
        <v>4.5999999999999996</v>
      </c>
      <c r="BG104" s="34">
        <f>AVERAGE(AV104:AZ104)</f>
        <v>81</v>
      </c>
      <c r="BH104" s="35">
        <f>T104+AD104+AI104+AU104+BE104</f>
        <v>0.81869940857575774</v>
      </c>
      <c r="BI104" s="36" t="str">
        <f ca="1">IF(K104&lt;365,"New CE",(IF(BH104&gt;=100%,"Promote",IF(BH104&gt;=90%,"Sangat Baik",IF(BH104&gt;=80%,"Baik",IF(BH104&gt;=70%,"Lebih Dari Cukup",IF(BH104&gt;=60%,"Cukup","Kurang")))))))</f>
        <v>Baik</v>
      </c>
      <c r="BJ104" s="36" t="s">
        <v>855</v>
      </c>
      <c r="BK104" s="58" t="s">
        <v>48</v>
      </c>
      <c r="BL104" s="59" t="e">
        <v>#N/A</v>
      </c>
    </row>
    <row r="105" spans="1:64" x14ac:dyDescent="0.35">
      <c r="A105" s="19">
        <v>101</v>
      </c>
      <c r="B105" s="13" t="s">
        <v>309</v>
      </c>
      <c r="C105" s="20" t="s">
        <v>310</v>
      </c>
      <c r="D105" s="76" t="s">
        <v>48</v>
      </c>
      <c r="E105" s="13" t="s">
        <v>187</v>
      </c>
      <c r="F105" s="13" t="s">
        <v>74</v>
      </c>
      <c r="G105" s="13" t="s">
        <v>51</v>
      </c>
      <c r="H105" s="65">
        <v>44627</v>
      </c>
      <c r="I105" s="21">
        <f t="shared" ca="1" si="65"/>
        <v>45974</v>
      </c>
      <c r="J105" s="13" t="str">
        <f t="shared" ca="1" si="44"/>
        <v xml:space="preserve">3 Tahun 8 Bulan 6 Hari </v>
      </c>
      <c r="K105" s="13">
        <f t="shared" ca="1" si="66"/>
        <v>1939680</v>
      </c>
      <c r="L105" s="13">
        <v>684</v>
      </c>
      <c r="M105" s="13">
        <v>10</v>
      </c>
      <c r="N105" s="13">
        <v>4972</v>
      </c>
      <c r="O105" s="22">
        <f t="shared" si="45"/>
        <v>497.2</v>
      </c>
      <c r="P105" s="13">
        <v>391</v>
      </c>
      <c r="Q105" s="23">
        <f t="shared" si="46"/>
        <v>0.6</v>
      </c>
      <c r="R105" s="24">
        <f t="shared" si="47"/>
        <v>3</v>
      </c>
      <c r="S105" s="25">
        <f t="shared" si="67"/>
        <v>0.78640386162510056</v>
      </c>
      <c r="T105" s="25">
        <f t="shared" si="48"/>
        <v>0.15728077232502014</v>
      </c>
      <c r="U105" s="26">
        <v>13401.336393192065</v>
      </c>
      <c r="V105" s="26">
        <v>3.4722222222222222E-5</v>
      </c>
      <c r="W105" s="26">
        <v>5048.1002623456789</v>
      </c>
      <c r="X105" s="27">
        <f t="shared" si="69"/>
        <v>0</v>
      </c>
      <c r="Y105" s="27">
        <f t="shared" si="72"/>
        <v>1</v>
      </c>
      <c r="Z105" s="27">
        <f t="shared" si="71"/>
        <v>1</v>
      </c>
      <c r="AA105" s="23">
        <f t="shared" ref="AA105:AA142" si="75">IF(AB105=3, 1.25, IF(AB105=2, 0.8, IF(AB105=1, 0.4, IF(AB105=0, 0, 0))))</f>
        <v>0.8</v>
      </c>
      <c r="AB105" s="24">
        <f t="shared" si="73"/>
        <v>2</v>
      </c>
      <c r="AC105" s="28">
        <f t="shared" si="52"/>
        <v>0.66666666666666663</v>
      </c>
      <c r="AD105" s="29">
        <f t="shared" si="53"/>
        <v>0.16666666666666666</v>
      </c>
      <c r="AE105" s="30">
        <v>4.0741819328288867E-2</v>
      </c>
      <c r="AF105" s="23">
        <f t="shared" si="54"/>
        <v>1.25</v>
      </c>
      <c r="AG105" s="24">
        <f t="shared" si="74"/>
        <v>5</v>
      </c>
      <c r="AH105" s="28">
        <f t="shared" si="56"/>
        <v>1</v>
      </c>
      <c r="AI105" s="29">
        <f t="shared" si="57"/>
        <v>0.25</v>
      </c>
      <c r="AJ105" s="31">
        <v>1</v>
      </c>
      <c r="AK105" s="31">
        <v>1</v>
      </c>
      <c r="AL105" s="31">
        <v>0</v>
      </c>
      <c r="AM105" s="31">
        <v>0</v>
      </c>
      <c r="AN105" s="31">
        <v>0</v>
      </c>
      <c r="AO105" s="31">
        <v>1</v>
      </c>
      <c r="AP105" s="31">
        <v>0</v>
      </c>
      <c r="AQ105" s="31">
        <v>0</v>
      </c>
      <c r="AR105" s="23">
        <f t="shared" si="58"/>
        <v>0.6</v>
      </c>
      <c r="AS105" s="24">
        <f t="shared" si="59"/>
        <v>3</v>
      </c>
      <c r="AT105" s="28">
        <f t="shared" si="60"/>
        <v>0.375</v>
      </c>
      <c r="AU105" s="28">
        <f t="shared" si="61"/>
        <v>5.6249999999999994E-2</v>
      </c>
      <c r="AV105" s="32">
        <v>75</v>
      </c>
      <c r="AW105" s="32">
        <v>75</v>
      </c>
      <c r="AX105" s="32">
        <v>80</v>
      </c>
      <c r="AY105" s="32">
        <v>80</v>
      </c>
      <c r="AZ105" s="32">
        <v>80</v>
      </c>
      <c r="BA105" s="32">
        <v>100</v>
      </c>
      <c r="BB105" s="23">
        <f t="shared" ca="1" si="62"/>
        <v>0.8</v>
      </c>
      <c r="BC105" s="33">
        <f t="shared" si="68"/>
        <v>81.666666666666671</v>
      </c>
      <c r="BD105" s="28">
        <f t="shared" si="63"/>
        <v>0.93877551020408168</v>
      </c>
      <c r="BE105" s="28">
        <f t="shared" si="64"/>
        <v>0.18775510204081636</v>
      </c>
      <c r="BF105" s="34">
        <f ca="1">Q105+AA105+AF105+AR105+BB105</f>
        <v>4.05</v>
      </c>
      <c r="BG105" s="34">
        <f>AVERAGE(AV105:AZ105)</f>
        <v>78</v>
      </c>
      <c r="BH105" s="35">
        <f>T105+AD105+AI105+AU105+BE105</f>
        <v>0.81795254103250314</v>
      </c>
      <c r="BI105" s="36" t="str">
        <f ca="1">IF(K105&lt;365,"New CE",(IF(BH105&gt;=100%,"Promote",IF(BH105&gt;=90%,"Sangat Baik",IF(BH105&gt;=80%,"Baik",IF(BH105&gt;=70%,"Lebih Dari Cukup",IF(BH105&gt;=60%,"Cukup","Kurang")))))))</f>
        <v>Baik</v>
      </c>
      <c r="BJ105" s="36" t="s">
        <v>860</v>
      </c>
      <c r="BK105" s="58" t="s">
        <v>48</v>
      </c>
      <c r="BL105" s="59" t="str">
        <v>Fribet Dominggo Siadari</v>
      </c>
    </row>
    <row r="106" spans="1:64" x14ac:dyDescent="0.35">
      <c r="A106" s="19">
        <v>102</v>
      </c>
      <c r="B106" s="13" t="s">
        <v>311</v>
      </c>
      <c r="C106" s="20" t="s">
        <v>312</v>
      </c>
      <c r="D106" s="76" t="s">
        <v>48</v>
      </c>
      <c r="E106" s="13" t="s">
        <v>230</v>
      </c>
      <c r="F106" s="13" t="s">
        <v>44</v>
      </c>
      <c r="G106" s="13" t="s">
        <v>45</v>
      </c>
      <c r="H106" s="65">
        <v>43836</v>
      </c>
      <c r="I106" s="21">
        <f t="shared" ca="1" si="65"/>
        <v>45974</v>
      </c>
      <c r="J106" s="13" t="str">
        <f t="shared" ca="1" si="44"/>
        <v xml:space="preserve">5 Tahun 10 Bulan 7 Hari </v>
      </c>
      <c r="K106" s="13">
        <f t="shared" ca="1" si="66"/>
        <v>3078720</v>
      </c>
      <c r="L106" s="13">
        <v>332</v>
      </c>
      <c r="M106" s="13">
        <v>6</v>
      </c>
      <c r="N106" s="13">
        <v>2281</v>
      </c>
      <c r="O106" s="22">
        <f t="shared" si="45"/>
        <v>380.16666666666669</v>
      </c>
      <c r="P106" s="13">
        <v>358</v>
      </c>
      <c r="Q106" s="23">
        <f t="shared" si="46"/>
        <v>0.8</v>
      </c>
      <c r="R106" s="24">
        <f t="shared" si="47"/>
        <v>4</v>
      </c>
      <c r="S106" s="25">
        <f t="shared" si="67"/>
        <v>0.94169224024550635</v>
      </c>
      <c r="T106" s="25">
        <f t="shared" si="48"/>
        <v>0.18833844804910127</v>
      </c>
      <c r="U106" s="26">
        <v>6.0416666666666667E-2</v>
      </c>
      <c r="V106" s="26">
        <v>1.8518518518518518E-4</v>
      </c>
      <c r="W106" s="26">
        <v>0</v>
      </c>
      <c r="X106" s="27">
        <f t="shared" si="69"/>
        <v>1</v>
      </c>
      <c r="Y106" s="27">
        <f t="shared" si="72"/>
        <v>1</v>
      </c>
      <c r="Z106" s="27">
        <f t="shared" si="71"/>
        <v>0</v>
      </c>
      <c r="AA106" s="23">
        <f t="shared" si="75"/>
        <v>0.8</v>
      </c>
      <c r="AB106" s="24">
        <f t="shared" si="73"/>
        <v>2</v>
      </c>
      <c r="AC106" s="28">
        <f t="shared" si="52"/>
        <v>0.66666666666666663</v>
      </c>
      <c r="AD106" s="29">
        <f t="shared" si="53"/>
        <v>0.16666666666666666</v>
      </c>
      <c r="AE106" s="30">
        <v>4.6643518518518522E-2</v>
      </c>
      <c r="AF106" s="23">
        <f t="shared" si="54"/>
        <v>1</v>
      </c>
      <c r="AG106" s="24">
        <f t="shared" si="74"/>
        <v>4</v>
      </c>
      <c r="AH106" s="28">
        <f t="shared" si="56"/>
        <v>0.8</v>
      </c>
      <c r="AI106" s="29">
        <f t="shared" si="57"/>
        <v>0.2</v>
      </c>
      <c r="AJ106" s="31">
        <v>1</v>
      </c>
      <c r="AK106" s="31">
        <v>1</v>
      </c>
      <c r="AL106" s="31">
        <v>1</v>
      </c>
      <c r="AM106" s="31">
        <v>0</v>
      </c>
      <c r="AN106" s="31">
        <v>0</v>
      </c>
      <c r="AO106" s="31">
        <v>0</v>
      </c>
      <c r="AP106" s="31">
        <v>0</v>
      </c>
      <c r="AQ106" s="31">
        <v>1</v>
      </c>
      <c r="AR106" s="23">
        <f t="shared" si="58"/>
        <v>0.8</v>
      </c>
      <c r="AS106" s="24">
        <f t="shared" si="59"/>
        <v>4</v>
      </c>
      <c r="AT106" s="28">
        <f t="shared" si="60"/>
        <v>0.5</v>
      </c>
      <c r="AU106" s="28">
        <f t="shared" si="61"/>
        <v>7.4999999999999997E-2</v>
      </c>
      <c r="AV106" s="32">
        <v>75</v>
      </c>
      <c r="AW106" s="32">
        <v>75</v>
      </c>
      <c r="AX106" s="32">
        <v>90</v>
      </c>
      <c r="AY106" s="32">
        <v>90</v>
      </c>
      <c r="AZ106" s="32">
        <v>90</v>
      </c>
      <c r="BA106" s="32">
        <v>100</v>
      </c>
      <c r="BB106" s="23">
        <f t="shared" ca="1" si="62"/>
        <v>0.8</v>
      </c>
      <c r="BC106" s="33">
        <f t="shared" si="68"/>
        <v>86.666666666666671</v>
      </c>
      <c r="BD106" s="28">
        <f t="shared" si="63"/>
        <v>0.94230769230769229</v>
      </c>
      <c r="BE106" s="28">
        <f t="shared" si="64"/>
        <v>0.18846153846153846</v>
      </c>
      <c r="BF106" s="34">
        <f ca="1">Q106+AA106+AF106+AR106+BB106</f>
        <v>4.2</v>
      </c>
      <c r="BG106" s="34">
        <f>AVERAGE(AV106:AZ106)</f>
        <v>84</v>
      </c>
      <c r="BH106" s="35">
        <f>T106+AD106+AI106+AU106+BE106</f>
        <v>0.81846665317730638</v>
      </c>
      <c r="BI106" s="36" t="str">
        <f ca="1">IF(K106&lt;365,"New CE",(IF(BH106&gt;=100%,"Promote",IF(BH106&gt;=90%,"Sangat Baik",IF(BH106&gt;=80%,"Baik",IF(BH106&gt;=70%,"Lebih Dari Cukup",IF(BH106&gt;=60%,"Cukup","Kurang")))))))</f>
        <v>Baik</v>
      </c>
      <c r="BJ106" s="36" t="s">
        <v>855</v>
      </c>
      <c r="BK106" s="58" t="s">
        <v>851</v>
      </c>
      <c r="BL106" s="59" t="e">
        <v>#N/A</v>
      </c>
    </row>
    <row r="107" spans="1:64" x14ac:dyDescent="0.35">
      <c r="A107" s="19">
        <v>103</v>
      </c>
      <c r="B107" s="13" t="s">
        <v>313</v>
      </c>
      <c r="C107" s="20" t="s">
        <v>314</v>
      </c>
      <c r="D107" s="76" t="s">
        <v>54</v>
      </c>
      <c r="E107" s="13" t="s">
        <v>315</v>
      </c>
      <c r="F107" s="13" t="s">
        <v>44</v>
      </c>
      <c r="G107" s="13" t="s">
        <v>61</v>
      </c>
      <c r="H107" s="65">
        <v>45173</v>
      </c>
      <c r="I107" s="21">
        <f t="shared" ca="1" si="65"/>
        <v>45974</v>
      </c>
      <c r="J107" s="13" t="str">
        <f t="shared" ca="1" si="44"/>
        <v xml:space="preserve">2 Tahun 2 Bulan 9 Hari </v>
      </c>
      <c r="K107" s="13">
        <f t="shared" ca="1" si="66"/>
        <v>1153440</v>
      </c>
      <c r="L107" s="13">
        <v>55</v>
      </c>
      <c r="M107" s="13">
        <v>1</v>
      </c>
      <c r="N107" s="13">
        <v>491</v>
      </c>
      <c r="O107" s="22">
        <f t="shared" si="45"/>
        <v>491</v>
      </c>
      <c r="P107" s="13">
        <v>496</v>
      </c>
      <c r="Q107" s="23">
        <f t="shared" si="46"/>
        <v>1</v>
      </c>
      <c r="R107" s="24">
        <f t="shared" si="47"/>
        <v>5</v>
      </c>
      <c r="S107" s="25">
        <f t="shared" si="67"/>
        <v>1.0101832993890021</v>
      </c>
      <c r="T107" s="25">
        <f t="shared" si="48"/>
        <v>0.20203665987780042</v>
      </c>
      <c r="U107" s="26">
        <v>4.9305555555555554E-2</v>
      </c>
      <c r="V107" s="26">
        <v>5051.3820014574749</v>
      </c>
      <c r="W107" s="26">
        <v>0</v>
      </c>
      <c r="X107" s="27">
        <f t="shared" si="69"/>
        <v>1</v>
      </c>
      <c r="Y107" s="27">
        <f t="shared" si="72"/>
        <v>0</v>
      </c>
      <c r="Z107" s="27">
        <f t="shared" si="71"/>
        <v>0</v>
      </c>
      <c r="AA107" s="23">
        <f t="shared" si="75"/>
        <v>0.4</v>
      </c>
      <c r="AB107" s="24">
        <f t="shared" si="73"/>
        <v>1</v>
      </c>
      <c r="AC107" s="28">
        <f t="shared" si="52"/>
        <v>0.33333333333333331</v>
      </c>
      <c r="AD107" s="29">
        <f t="shared" si="53"/>
        <v>8.3333333333333329E-2</v>
      </c>
      <c r="AE107" s="30">
        <v>3.9606948435504469E-2</v>
      </c>
      <c r="AF107" s="23">
        <f t="shared" si="54"/>
        <v>1.25</v>
      </c>
      <c r="AG107" s="24">
        <f t="shared" si="74"/>
        <v>5</v>
      </c>
      <c r="AH107" s="28">
        <f t="shared" si="56"/>
        <v>1</v>
      </c>
      <c r="AI107" s="29">
        <f t="shared" si="57"/>
        <v>0.25</v>
      </c>
      <c r="AJ107" s="31">
        <v>1</v>
      </c>
      <c r="AK107" s="31">
        <v>1</v>
      </c>
      <c r="AL107" s="31">
        <v>1</v>
      </c>
      <c r="AM107" s="31">
        <v>0</v>
      </c>
      <c r="AN107" s="31">
        <v>0</v>
      </c>
      <c r="AO107" s="31">
        <v>1</v>
      </c>
      <c r="AP107" s="31">
        <v>0</v>
      </c>
      <c r="AQ107" s="31">
        <v>1</v>
      </c>
      <c r="AR107" s="23">
        <f t="shared" si="58"/>
        <v>1</v>
      </c>
      <c r="AS107" s="24">
        <f t="shared" si="59"/>
        <v>5</v>
      </c>
      <c r="AT107" s="28">
        <f t="shared" si="60"/>
        <v>0.625</v>
      </c>
      <c r="AU107" s="28">
        <f t="shared" si="61"/>
        <v>9.375E-2</v>
      </c>
      <c r="AV107" s="32">
        <v>75</v>
      </c>
      <c r="AW107" s="32">
        <v>75</v>
      </c>
      <c r="AX107" s="32">
        <v>85</v>
      </c>
      <c r="AY107" s="32">
        <v>85</v>
      </c>
      <c r="AZ107" s="32">
        <v>80</v>
      </c>
      <c r="BA107" s="32">
        <v>100</v>
      </c>
      <c r="BB107" s="23">
        <f t="shared" ca="1" si="62"/>
        <v>0.8</v>
      </c>
      <c r="BC107" s="33">
        <f t="shared" si="68"/>
        <v>83.333333333333329</v>
      </c>
      <c r="BD107" s="28">
        <f t="shared" si="63"/>
        <v>0.94</v>
      </c>
      <c r="BE107" s="28">
        <f t="shared" si="64"/>
        <v>0.188</v>
      </c>
      <c r="BF107" s="34">
        <f ca="1">Q107+AA107+AF107+AR107+BB107</f>
        <v>4.45</v>
      </c>
      <c r="BG107" s="34">
        <f>AVERAGE(AV107:AZ107)</f>
        <v>80</v>
      </c>
      <c r="BH107" s="35">
        <f>T107+AD107+AI107+AU107+BE107</f>
        <v>0.81711999321113371</v>
      </c>
      <c r="BI107" s="36" t="str">
        <f ca="1">IF(K107&lt;365,"New CE",(IF(BH107&gt;=100%,"Promote",IF(BH107&gt;=90%,"Sangat Baik",IF(BH107&gt;=80%,"Baik",IF(BH107&gt;=70%,"Lebih Dari Cukup",IF(BH107&gt;=60%,"Cukup","Kurang")))))))</f>
        <v>Baik</v>
      </c>
      <c r="BJ107" s="36" t="s">
        <v>855</v>
      </c>
      <c r="BK107" s="58" t="s">
        <v>48</v>
      </c>
      <c r="BL107" s="59" t="e">
        <v>#N/A</v>
      </c>
    </row>
    <row r="108" spans="1:64" x14ac:dyDescent="0.35">
      <c r="A108" s="19">
        <v>104</v>
      </c>
      <c r="B108" s="13" t="s">
        <v>316</v>
      </c>
      <c r="C108" s="20" t="s">
        <v>317</v>
      </c>
      <c r="D108" s="76" t="s">
        <v>54</v>
      </c>
      <c r="E108" s="13" t="s">
        <v>67</v>
      </c>
      <c r="F108" s="13" t="s">
        <v>44</v>
      </c>
      <c r="G108" s="13" t="s">
        <v>61</v>
      </c>
      <c r="H108" s="65">
        <v>45075</v>
      </c>
      <c r="I108" s="21">
        <f t="shared" ca="1" si="65"/>
        <v>45974</v>
      </c>
      <c r="J108" s="13" t="str">
        <f t="shared" ca="1" si="44"/>
        <v xml:space="preserve">2 Tahun 5 Bulan 15 Hari </v>
      </c>
      <c r="K108" s="13">
        <f t="shared" ca="1" si="66"/>
        <v>1294560</v>
      </c>
      <c r="L108" s="13">
        <v>625</v>
      </c>
      <c r="M108" s="13">
        <v>10</v>
      </c>
      <c r="N108" s="13">
        <v>4149</v>
      </c>
      <c r="O108" s="22">
        <f t="shared" si="45"/>
        <v>414.9</v>
      </c>
      <c r="P108" s="13">
        <v>424</v>
      </c>
      <c r="Q108" s="23">
        <f t="shared" si="46"/>
        <v>1</v>
      </c>
      <c r="R108" s="24">
        <f t="shared" si="47"/>
        <v>5</v>
      </c>
      <c r="S108" s="25">
        <f t="shared" si="67"/>
        <v>1.0219329959026271</v>
      </c>
      <c r="T108" s="25">
        <f t="shared" si="48"/>
        <v>0.20438659918052543</v>
      </c>
      <c r="U108" s="26">
        <v>5.9871720679012335E-4</v>
      </c>
      <c r="V108" s="26">
        <v>1.273148148148148E-4</v>
      </c>
      <c r="W108" s="26">
        <v>0</v>
      </c>
      <c r="X108" s="27">
        <f t="shared" si="69"/>
        <v>1</v>
      </c>
      <c r="Y108" s="27">
        <f t="shared" si="72"/>
        <v>1</v>
      </c>
      <c r="Z108" s="27">
        <f t="shared" si="71"/>
        <v>0</v>
      </c>
      <c r="AA108" s="23">
        <f t="shared" si="75"/>
        <v>0.8</v>
      </c>
      <c r="AB108" s="24">
        <f t="shared" si="73"/>
        <v>2</v>
      </c>
      <c r="AC108" s="28">
        <f t="shared" si="52"/>
        <v>0.66666666666666663</v>
      </c>
      <c r="AD108" s="29">
        <f t="shared" si="53"/>
        <v>0.16666666666666666</v>
      </c>
      <c r="AE108" s="30">
        <v>4.3295396090534975E-2</v>
      </c>
      <c r="AF108" s="23">
        <f t="shared" si="54"/>
        <v>1</v>
      </c>
      <c r="AG108" s="24">
        <f t="shared" si="74"/>
        <v>4</v>
      </c>
      <c r="AH108" s="28">
        <f t="shared" si="56"/>
        <v>0.8</v>
      </c>
      <c r="AI108" s="29">
        <f t="shared" si="57"/>
        <v>0.2</v>
      </c>
      <c r="AJ108" s="31">
        <v>1</v>
      </c>
      <c r="AK108" s="31">
        <v>1</v>
      </c>
      <c r="AL108" s="31">
        <v>1</v>
      </c>
      <c r="AM108" s="31">
        <v>0</v>
      </c>
      <c r="AN108" s="31">
        <v>0</v>
      </c>
      <c r="AO108" s="31">
        <v>0</v>
      </c>
      <c r="AP108" s="31">
        <v>0</v>
      </c>
      <c r="AQ108" s="31">
        <v>0</v>
      </c>
      <c r="AR108" s="23">
        <f t="shared" si="58"/>
        <v>0.6</v>
      </c>
      <c r="AS108" s="24">
        <f t="shared" si="59"/>
        <v>3</v>
      </c>
      <c r="AT108" s="28">
        <f t="shared" si="60"/>
        <v>0.375</v>
      </c>
      <c r="AU108" s="28">
        <f t="shared" si="61"/>
        <v>5.6249999999999994E-2</v>
      </c>
      <c r="AV108" s="32">
        <v>75</v>
      </c>
      <c r="AW108" s="32">
        <v>75</v>
      </c>
      <c r="AX108" s="32">
        <v>80</v>
      </c>
      <c r="AY108" s="32">
        <v>80</v>
      </c>
      <c r="AZ108" s="32">
        <v>80</v>
      </c>
      <c r="BA108" s="32">
        <v>100</v>
      </c>
      <c r="BB108" s="23">
        <f t="shared" ca="1" si="62"/>
        <v>0.8</v>
      </c>
      <c r="BC108" s="33">
        <f t="shared" si="68"/>
        <v>81.666666666666671</v>
      </c>
      <c r="BD108" s="28">
        <f t="shared" si="63"/>
        <v>0.93877551020408168</v>
      </c>
      <c r="BE108" s="28">
        <f t="shared" si="64"/>
        <v>0.18775510204081636</v>
      </c>
      <c r="BF108" s="34">
        <f ca="1">Q108+AA108+AF108+AR108+BB108</f>
        <v>4.2</v>
      </c>
      <c r="BG108" s="34">
        <f>AVERAGE(AV108:AZ108)</f>
        <v>78</v>
      </c>
      <c r="BH108" s="35">
        <f>T108+AD108+AI108+AU108+BE108</f>
        <v>0.81505836788800845</v>
      </c>
      <c r="BI108" s="36" t="str">
        <f ca="1">IF(K108&lt;365,"New CE",(IF(BH108&gt;=100%,"Promote",IF(BH108&gt;=90%,"Sangat Baik",IF(BH108&gt;=80%,"Baik",IF(BH108&gt;=70%,"Lebih Dari Cukup",IF(BH108&gt;=60%,"Cukup","Kurang")))))))</f>
        <v>Baik</v>
      </c>
      <c r="BJ108" s="36" t="s">
        <v>860</v>
      </c>
      <c r="BK108" s="58" t="s">
        <v>54</v>
      </c>
      <c r="BL108" s="59" t="e">
        <v>#N/A</v>
      </c>
    </row>
    <row r="109" spans="1:64" x14ac:dyDescent="0.35">
      <c r="A109" s="19">
        <v>105</v>
      </c>
      <c r="B109" s="13" t="s">
        <v>318</v>
      </c>
      <c r="C109" s="20" t="s">
        <v>319</v>
      </c>
      <c r="D109" s="76" t="s">
        <v>54</v>
      </c>
      <c r="E109" s="13" t="s">
        <v>70</v>
      </c>
      <c r="F109" s="13" t="s">
        <v>50</v>
      </c>
      <c r="G109" s="13" t="s">
        <v>55</v>
      </c>
      <c r="H109" s="65">
        <v>44882</v>
      </c>
      <c r="I109" s="21">
        <f t="shared" ca="1" si="65"/>
        <v>45974</v>
      </c>
      <c r="J109" s="13" t="str">
        <f t="shared" ca="1" si="44"/>
        <v xml:space="preserve">2 Tahun 11 Bulan 27 Hari </v>
      </c>
      <c r="K109" s="13">
        <f t="shared" ca="1" si="66"/>
        <v>1572480</v>
      </c>
      <c r="L109" s="13">
        <v>329</v>
      </c>
      <c r="M109" s="13">
        <v>6</v>
      </c>
      <c r="N109" s="13">
        <v>1945</v>
      </c>
      <c r="O109" s="22">
        <f t="shared" si="45"/>
        <v>324.16666666666669</v>
      </c>
      <c r="P109" s="13">
        <v>435</v>
      </c>
      <c r="Q109" s="23">
        <f t="shared" si="46"/>
        <v>1</v>
      </c>
      <c r="R109" s="24">
        <f t="shared" si="47"/>
        <v>5</v>
      </c>
      <c r="S109" s="25">
        <f t="shared" si="67"/>
        <v>1.3419023136246786</v>
      </c>
      <c r="T109" s="25">
        <f t="shared" si="48"/>
        <v>0.26838046272493571</v>
      </c>
      <c r="U109" s="26">
        <v>2065.6859701178455</v>
      </c>
      <c r="V109" s="26">
        <v>7174.57824744152</v>
      </c>
      <c r="W109" s="26">
        <v>0.25195138888888885</v>
      </c>
      <c r="X109" s="27">
        <f t="shared" si="69"/>
        <v>0</v>
      </c>
      <c r="Y109" s="27">
        <f t="shared" si="72"/>
        <v>0</v>
      </c>
      <c r="Z109" s="27">
        <f t="shared" si="71"/>
        <v>1</v>
      </c>
      <c r="AA109" s="23">
        <f t="shared" si="75"/>
        <v>0.4</v>
      </c>
      <c r="AB109" s="24">
        <f t="shared" si="73"/>
        <v>1</v>
      </c>
      <c r="AC109" s="28">
        <f t="shared" si="52"/>
        <v>0.33333333333333331</v>
      </c>
      <c r="AD109" s="29">
        <f t="shared" si="53"/>
        <v>8.3333333333333329E-2</v>
      </c>
      <c r="AE109" s="30">
        <v>4.2504121863799274E-2</v>
      </c>
      <c r="AF109" s="23">
        <f t="shared" si="54"/>
        <v>1</v>
      </c>
      <c r="AG109" s="24">
        <f t="shared" si="74"/>
        <v>4</v>
      </c>
      <c r="AH109" s="28">
        <f t="shared" si="56"/>
        <v>0.8</v>
      </c>
      <c r="AI109" s="29">
        <f t="shared" si="57"/>
        <v>0.2</v>
      </c>
      <c r="AJ109" s="31">
        <v>1</v>
      </c>
      <c r="AK109" s="31">
        <v>1</v>
      </c>
      <c r="AL109" s="31">
        <v>1</v>
      </c>
      <c r="AM109" s="31">
        <v>0</v>
      </c>
      <c r="AN109" s="31">
        <v>1</v>
      </c>
      <c r="AO109" s="31">
        <v>0</v>
      </c>
      <c r="AP109" s="31">
        <v>0</v>
      </c>
      <c r="AQ109" s="31">
        <v>0</v>
      </c>
      <c r="AR109" s="23">
        <f t="shared" si="58"/>
        <v>0.8</v>
      </c>
      <c r="AS109" s="24">
        <f t="shared" si="59"/>
        <v>4</v>
      </c>
      <c r="AT109" s="28">
        <f t="shared" si="60"/>
        <v>0.5</v>
      </c>
      <c r="AU109" s="28">
        <f t="shared" si="61"/>
        <v>7.4999999999999997E-2</v>
      </c>
      <c r="AV109" s="32">
        <v>75</v>
      </c>
      <c r="AW109" s="32">
        <v>75</v>
      </c>
      <c r="AX109" s="32">
        <v>90</v>
      </c>
      <c r="AY109" s="32">
        <v>85</v>
      </c>
      <c r="AZ109" s="32">
        <v>80</v>
      </c>
      <c r="BA109" s="32">
        <v>100</v>
      </c>
      <c r="BB109" s="23">
        <f t="shared" ca="1" si="62"/>
        <v>0.8</v>
      </c>
      <c r="BC109" s="33">
        <f t="shared" si="68"/>
        <v>84.166666666666671</v>
      </c>
      <c r="BD109" s="28">
        <f t="shared" si="63"/>
        <v>0.94059405940594054</v>
      </c>
      <c r="BE109" s="28">
        <f t="shared" si="64"/>
        <v>0.18811881188118812</v>
      </c>
      <c r="BF109" s="34">
        <f ca="1">Q109+AA109+AF109+AR109+BB109</f>
        <v>4</v>
      </c>
      <c r="BG109" s="34">
        <f>AVERAGE(AV109:AZ109)</f>
        <v>81</v>
      </c>
      <c r="BH109" s="35">
        <f>T109+AD109+AI109+AU109+BE109</f>
        <v>0.814832607939457</v>
      </c>
      <c r="BI109" s="36" t="str">
        <f ca="1">IF(K109&lt;365,"New CE",(IF(BH109&gt;=100%,"Promote",IF(BH109&gt;=90%,"Sangat Baik",IF(BH109&gt;=80%,"Baik",IF(BH109&gt;=70%,"Lebih Dari Cukup",IF(BH109&gt;=60%,"Cukup","Kurang")))))))</f>
        <v>Baik</v>
      </c>
      <c r="BJ109" s="36" t="s">
        <v>860</v>
      </c>
      <c r="BK109" s="58" t="s">
        <v>54</v>
      </c>
      <c r="BL109" s="59" t="e">
        <v>#N/A</v>
      </c>
    </row>
    <row r="110" spans="1:64" x14ac:dyDescent="0.35">
      <c r="A110" s="19">
        <v>106</v>
      </c>
      <c r="B110" s="13" t="s">
        <v>320</v>
      </c>
      <c r="C110" s="20" t="s">
        <v>321</v>
      </c>
      <c r="D110" s="76" t="s">
        <v>48</v>
      </c>
      <c r="E110" s="13" t="s">
        <v>322</v>
      </c>
      <c r="F110" s="13" t="s">
        <v>74</v>
      </c>
      <c r="G110" s="13" t="s">
        <v>55</v>
      </c>
      <c r="H110" s="65">
        <v>44123</v>
      </c>
      <c r="I110" s="21">
        <f t="shared" ca="1" si="65"/>
        <v>45974</v>
      </c>
      <c r="J110" s="13" t="str">
        <f t="shared" ca="1" si="44"/>
        <v xml:space="preserve">5 Tahun 0 Bulan 25 Hari </v>
      </c>
      <c r="K110" s="13">
        <f t="shared" ca="1" si="66"/>
        <v>2665440</v>
      </c>
      <c r="L110" s="13">
        <v>109</v>
      </c>
      <c r="M110" s="13">
        <v>2</v>
      </c>
      <c r="N110" s="13">
        <v>853</v>
      </c>
      <c r="O110" s="22">
        <f t="shared" si="45"/>
        <v>426.5</v>
      </c>
      <c r="P110" s="13">
        <v>412</v>
      </c>
      <c r="Q110" s="23">
        <f t="shared" si="46"/>
        <v>0.8</v>
      </c>
      <c r="R110" s="24">
        <f t="shared" si="47"/>
        <v>4</v>
      </c>
      <c r="S110" s="25">
        <f t="shared" si="67"/>
        <v>0.96600234466588508</v>
      </c>
      <c r="T110" s="25">
        <f t="shared" si="48"/>
        <v>0.19320046893317702</v>
      </c>
      <c r="U110" s="26">
        <v>9569.2603350389836</v>
      </c>
      <c r="V110" s="26">
        <v>22758.054353780866</v>
      </c>
      <c r="W110" s="26">
        <v>15507.468554934507</v>
      </c>
      <c r="X110" s="27">
        <f t="shared" si="69"/>
        <v>0</v>
      </c>
      <c r="Y110" s="27">
        <f t="shared" si="72"/>
        <v>0</v>
      </c>
      <c r="Z110" s="27">
        <f t="shared" si="71"/>
        <v>1</v>
      </c>
      <c r="AA110" s="23">
        <f t="shared" si="75"/>
        <v>0.4</v>
      </c>
      <c r="AB110" s="24">
        <f t="shared" si="73"/>
        <v>1</v>
      </c>
      <c r="AC110" s="28">
        <f t="shared" si="52"/>
        <v>0.33333333333333331</v>
      </c>
      <c r="AD110" s="29">
        <f t="shared" si="53"/>
        <v>8.3333333333333329E-2</v>
      </c>
      <c r="AE110" s="30">
        <v>7.8385645736882725E-2</v>
      </c>
      <c r="AF110" s="23">
        <f t="shared" si="54"/>
        <v>1</v>
      </c>
      <c r="AG110" s="24">
        <f t="shared" si="74"/>
        <v>4</v>
      </c>
      <c r="AH110" s="28">
        <f t="shared" si="56"/>
        <v>0.8</v>
      </c>
      <c r="AI110" s="29">
        <f t="shared" si="57"/>
        <v>0.2</v>
      </c>
      <c r="AJ110" s="31">
        <v>1</v>
      </c>
      <c r="AK110" s="31">
        <v>1</v>
      </c>
      <c r="AL110" s="31">
        <v>1</v>
      </c>
      <c r="AM110" s="31">
        <v>1</v>
      </c>
      <c r="AN110" s="31">
        <v>1</v>
      </c>
      <c r="AO110" s="31">
        <v>1</v>
      </c>
      <c r="AP110" s="31">
        <v>1</v>
      </c>
      <c r="AQ110" s="31">
        <v>1</v>
      </c>
      <c r="AR110" s="23">
        <f t="shared" si="58"/>
        <v>1</v>
      </c>
      <c r="AS110" s="24">
        <f t="shared" si="59"/>
        <v>8</v>
      </c>
      <c r="AT110" s="28">
        <f t="shared" si="60"/>
        <v>1</v>
      </c>
      <c r="AU110" s="28">
        <f t="shared" si="61"/>
        <v>0.15</v>
      </c>
      <c r="AV110" s="32">
        <v>75</v>
      </c>
      <c r="AW110" s="32">
        <v>60</v>
      </c>
      <c r="AX110" s="32">
        <v>85</v>
      </c>
      <c r="AY110" s="32">
        <v>85</v>
      </c>
      <c r="AZ110" s="32">
        <v>85</v>
      </c>
      <c r="BA110" s="32">
        <v>100</v>
      </c>
      <c r="BB110" s="23">
        <f t="shared" ca="1" si="62"/>
        <v>0.8</v>
      </c>
      <c r="BC110" s="33">
        <f t="shared" si="68"/>
        <v>81.666666666666671</v>
      </c>
      <c r="BD110" s="28">
        <f t="shared" si="63"/>
        <v>0.93877551020408168</v>
      </c>
      <c r="BE110" s="28">
        <f t="shared" si="64"/>
        <v>0.18775510204081636</v>
      </c>
      <c r="BF110" s="34">
        <f ca="1">Q110+AA110+AF110+AR110+BB110</f>
        <v>4</v>
      </c>
      <c r="BG110" s="34">
        <f>AVERAGE(AV110:AZ110)</f>
        <v>78</v>
      </c>
      <c r="BH110" s="35">
        <f>T110+AD110+AI110+AU110+BE110</f>
        <v>0.8142889043073267</v>
      </c>
      <c r="BI110" s="36" t="str">
        <f ca="1">IF(K110&lt;365,"New CE",(IF(BH110&gt;=100%,"Promote",IF(BH110&gt;=90%,"Sangat Baik",IF(BH110&gt;=80%,"Baik",IF(BH110&gt;=70%,"Lebih Dari Cukup",IF(BH110&gt;=60%,"Cukup","Kurang")))))))</f>
        <v>Baik</v>
      </c>
      <c r="BJ110" s="36" t="s">
        <v>855</v>
      </c>
      <c r="BK110" s="58" t="s">
        <v>851</v>
      </c>
      <c r="BL110" s="59" t="str">
        <v>Raden Mas Alfian Apriansya Diponegoro</v>
      </c>
    </row>
    <row r="111" spans="1:64" x14ac:dyDescent="0.35">
      <c r="A111" s="19">
        <v>107</v>
      </c>
      <c r="B111" s="13" t="s">
        <v>323</v>
      </c>
      <c r="C111" s="20" t="s">
        <v>324</v>
      </c>
      <c r="D111" s="76" t="s">
        <v>48</v>
      </c>
      <c r="E111" s="13" t="s">
        <v>325</v>
      </c>
      <c r="F111" s="13" t="s">
        <v>44</v>
      </c>
      <c r="G111" s="13" t="s">
        <v>51</v>
      </c>
      <c r="H111" s="65">
        <v>44795</v>
      </c>
      <c r="I111" s="21">
        <f t="shared" ca="1" si="65"/>
        <v>45974</v>
      </c>
      <c r="J111" s="13" t="str">
        <f t="shared" ca="1" si="44"/>
        <v xml:space="preserve">3 Tahun 2 Bulan 22 Hari </v>
      </c>
      <c r="K111" s="13">
        <f t="shared" ca="1" si="66"/>
        <v>1697760</v>
      </c>
      <c r="L111" s="13">
        <v>241</v>
      </c>
      <c r="M111" s="13">
        <v>4</v>
      </c>
      <c r="N111" s="13">
        <v>1968</v>
      </c>
      <c r="O111" s="22">
        <f t="shared" si="45"/>
        <v>492</v>
      </c>
      <c r="P111" s="13">
        <v>500</v>
      </c>
      <c r="Q111" s="23">
        <f t="shared" si="46"/>
        <v>1</v>
      </c>
      <c r="R111" s="24">
        <f t="shared" si="47"/>
        <v>5</v>
      </c>
      <c r="S111" s="25">
        <f t="shared" si="67"/>
        <v>1.0162601626016261</v>
      </c>
      <c r="T111" s="25">
        <f t="shared" si="48"/>
        <v>0.20325203252032523</v>
      </c>
      <c r="U111" s="26">
        <v>6705.6566328931376</v>
      </c>
      <c r="V111" s="26">
        <v>9.405671296296296E-2</v>
      </c>
      <c r="W111" s="26">
        <v>0.14303472222222222</v>
      </c>
      <c r="X111" s="27">
        <f t="shared" si="69"/>
        <v>0</v>
      </c>
      <c r="Y111" s="27">
        <f t="shared" si="72"/>
        <v>1</v>
      </c>
      <c r="Z111" s="27">
        <f t="shared" si="71"/>
        <v>1</v>
      </c>
      <c r="AA111" s="23">
        <f t="shared" si="75"/>
        <v>0.8</v>
      </c>
      <c r="AB111" s="24">
        <f t="shared" si="73"/>
        <v>2</v>
      </c>
      <c r="AC111" s="28">
        <f t="shared" si="52"/>
        <v>0.66666666666666663</v>
      </c>
      <c r="AD111" s="29">
        <f t="shared" si="53"/>
        <v>0.16666666666666666</v>
      </c>
      <c r="AE111" s="30">
        <v>7.3995132953466283E-2</v>
      </c>
      <c r="AF111" s="23">
        <f t="shared" si="54"/>
        <v>1</v>
      </c>
      <c r="AG111" s="24">
        <f t="shared" si="74"/>
        <v>4</v>
      </c>
      <c r="AH111" s="28">
        <f t="shared" si="56"/>
        <v>0.8</v>
      </c>
      <c r="AI111" s="29">
        <f t="shared" si="57"/>
        <v>0.2</v>
      </c>
      <c r="AJ111" s="31">
        <v>1</v>
      </c>
      <c r="AK111" s="31">
        <v>1</v>
      </c>
      <c r="AL111" s="31">
        <v>1</v>
      </c>
      <c r="AM111" s="31">
        <v>0</v>
      </c>
      <c r="AN111" s="31">
        <v>0</v>
      </c>
      <c r="AO111" s="31">
        <v>0</v>
      </c>
      <c r="AP111" s="31">
        <v>0</v>
      </c>
      <c r="AQ111" s="31">
        <v>0</v>
      </c>
      <c r="AR111" s="23">
        <f t="shared" si="58"/>
        <v>0.6</v>
      </c>
      <c r="AS111" s="24">
        <f t="shared" si="59"/>
        <v>3</v>
      </c>
      <c r="AT111" s="28">
        <f t="shared" si="60"/>
        <v>0.375</v>
      </c>
      <c r="AU111" s="28">
        <f t="shared" si="61"/>
        <v>5.6249999999999994E-2</v>
      </c>
      <c r="AV111" s="32">
        <v>75</v>
      </c>
      <c r="AW111" s="32">
        <v>75</v>
      </c>
      <c r="AX111" s="32">
        <v>80</v>
      </c>
      <c r="AY111" s="32">
        <v>80</v>
      </c>
      <c r="AZ111" s="32">
        <v>80</v>
      </c>
      <c r="BA111" s="32">
        <v>100</v>
      </c>
      <c r="BB111" s="23">
        <f t="shared" ca="1" si="62"/>
        <v>0.8</v>
      </c>
      <c r="BC111" s="33">
        <f t="shared" si="68"/>
        <v>81.666666666666671</v>
      </c>
      <c r="BD111" s="28">
        <f t="shared" si="63"/>
        <v>0.93877551020408168</v>
      </c>
      <c r="BE111" s="28">
        <f t="shared" si="64"/>
        <v>0.18775510204081636</v>
      </c>
      <c r="BF111" s="34">
        <f ca="1">Q111+AA111+AF111+AR111+BB111</f>
        <v>4.2</v>
      </c>
      <c r="BG111" s="34">
        <f>AVERAGE(AV111:AZ111)</f>
        <v>78</v>
      </c>
      <c r="BH111" s="35">
        <f>T111+AD111+AI111+AU111+BE111</f>
        <v>0.81392380122780827</v>
      </c>
      <c r="BI111" s="36" t="str">
        <f ca="1">IF(K111&lt;365,"New CE",(IF(BH111&gt;=100%,"Promote",IF(BH111&gt;=90%,"Sangat Baik",IF(BH111&gt;=80%,"Baik",IF(BH111&gt;=70%,"Lebih Dari Cukup",IF(BH111&gt;=60%,"Cukup","Kurang")))))))</f>
        <v>Baik</v>
      </c>
      <c r="BJ111" s="36" t="s">
        <v>860</v>
      </c>
      <c r="BK111" s="58" t="s">
        <v>48</v>
      </c>
      <c r="BL111" s="59" t="e">
        <v>#N/A</v>
      </c>
    </row>
    <row r="112" spans="1:64" x14ac:dyDescent="0.35">
      <c r="A112" s="19">
        <v>108</v>
      </c>
      <c r="B112" s="13" t="s">
        <v>326</v>
      </c>
      <c r="C112" s="20" t="s">
        <v>327</v>
      </c>
      <c r="D112" s="76" t="s">
        <v>54</v>
      </c>
      <c r="E112" s="13" t="s">
        <v>328</v>
      </c>
      <c r="F112" s="13" t="s">
        <v>74</v>
      </c>
      <c r="G112" s="13" t="s">
        <v>61</v>
      </c>
      <c r="H112" s="65">
        <v>45131</v>
      </c>
      <c r="I112" s="21">
        <f t="shared" ca="1" si="65"/>
        <v>45974</v>
      </c>
      <c r="J112" s="13" t="str">
        <f t="shared" ca="1" si="44"/>
        <v xml:space="preserve">2 Tahun 3 Bulan 20 Hari </v>
      </c>
      <c r="K112" s="13">
        <f t="shared" ca="1" si="66"/>
        <v>1213920</v>
      </c>
      <c r="L112" s="13">
        <v>69</v>
      </c>
      <c r="M112" s="13">
        <v>2</v>
      </c>
      <c r="N112" s="13">
        <v>514</v>
      </c>
      <c r="O112" s="22">
        <f t="shared" si="45"/>
        <v>257</v>
      </c>
      <c r="P112" s="13">
        <v>316</v>
      </c>
      <c r="Q112" s="23">
        <f t="shared" si="46"/>
        <v>1</v>
      </c>
      <c r="R112" s="24">
        <f t="shared" si="47"/>
        <v>5</v>
      </c>
      <c r="S112" s="25">
        <f t="shared" si="67"/>
        <v>1.2295719844357977</v>
      </c>
      <c r="T112" s="25">
        <f t="shared" si="48"/>
        <v>0.24591439688715955</v>
      </c>
      <c r="U112" s="26">
        <v>1.505690586419753E-2</v>
      </c>
      <c r="V112" s="26">
        <v>5666.2043504050935</v>
      </c>
      <c r="W112" s="26">
        <v>5410.0016889880962</v>
      </c>
      <c r="X112" s="27">
        <f t="shared" si="69"/>
        <v>1</v>
      </c>
      <c r="Y112" s="27">
        <f t="shared" si="72"/>
        <v>0</v>
      </c>
      <c r="Z112" s="27">
        <f t="shared" si="71"/>
        <v>1</v>
      </c>
      <c r="AA112" s="23">
        <f t="shared" si="75"/>
        <v>0.8</v>
      </c>
      <c r="AB112" s="24">
        <f t="shared" si="73"/>
        <v>2</v>
      </c>
      <c r="AC112" s="28">
        <f t="shared" si="52"/>
        <v>0.66666666666666663</v>
      </c>
      <c r="AD112" s="29">
        <f t="shared" si="53"/>
        <v>0.16666666666666666</v>
      </c>
      <c r="AE112" s="30">
        <v>0.13569448178016727</v>
      </c>
      <c r="AF112" s="23">
        <f t="shared" si="54"/>
        <v>0.5</v>
      </c>
      <c r="AG112" s="24">
        <f t="shared" si="74"/>
        <v>2</v>
      </c>
      <c r="AH112" s="28">
        <f t="shared" si="56"/>
        <v>0.4</v>
      </c>
      <c r="AI112" s="29">
        <f t="shared" si="57"/>
        <v>0.1</v>
      </c>
      <c r="AJ112" s="31">
        <v>1</v>
      </c>
      <c r="AK112" s="31">
        <v>1</v>
      </c>
      <c r="AL112" s="31">
        <v>0</v>
      </c>
      <c r="AM112" s="31">
        <v>0</v>
      </c>
      <c r="AN112" s="31">
        <v>1</v>
      </c>
      <c r="AO112" s="31">
        <v>1</v>
      </c>
      <c r="AP112" s="31">
        <v>1</v>
      </c>
      <c r="AQ112" s="31">
        <v>1</v>
      </c>
      <c r="AR112" s="23">
        <f t="shared" si="58"/>
        <v>1</v>
      </c>
      <c r="AS112" s="24">
        <f t="shared" si="59"/>
        <v>6</v>
      </c>
      <c r="AT112" s="28">
        <f t="shared" si="60"/>
        <v>0.75</v>
      </c>
      <c r="AU112" s="28">
        <f t="shared" si="61"/>
        <v>0.11249999999999999</v>
      </c>
      <c r="AV112" s="32">
        <v>75</v>
      </c>
      <c r="AW112" s="32">
        <v>80</v>
      </c>
      <c r="AX112" s="32">
        <v>80</v>
      </c>
      <c r="AY112" s="32">
        <v>80</v>
      </c>
      <c r="AZ112" s="32">
        <v>80</v>
      </c>
      <c r="BA112" s="32">
        <v>100</v>
      </c>
      <c r="BB112" s="23">
        <f t="shared" ca="1" si="62"/>
        <v>0.8</v>
      </c>
      <c r="BC112" s="33">
        <f t="shared" si="68"/>
        <v>82.5</v>
      </c>
      <c r="BD112" s="28">
        <f t="shared" si="63"/>
        <v>0.93939393939393945</v>
      </c>
      <c r="BE112" s="28">
        <f t="shared" si="64"/>
        <v>0.1878787878787879</v>
      </c>
      <c r="BF112" s="34">
        <f ca="1">Q112+AA112+AF112+AR112+BB112</f>
        <v>4.0999999999999996</v>
      </c>
      <c r="BG112" s="34">
        <f>AVERAGE(AV112:AZ112)</f>
        <v>79</v>
      </c>
      <c r="BH112" s="35">
        <f>T112+AD112+AI112+AU112+BE112</f>
        <v>0.81295985143261407</v>
      </c>
      <c r="BI112" s="36" t="str">
        <f ca="1">IF(K112&lt;365,"New CE",(IF(BH112&gt;=100%,"Promote",IF(BH112&gt;=90%,"Sangat Baik",IF(BH112&gt;=80%,"Baik",IF(BH112&gt;=70%,"Lebih Dari Cukup",IF(BH112&gt;=60%,"Cukup","Kurang")))))))</f>
        <v>Baik</v>
      </c>
      <c r="BJ112" s="36" t="s">
        <v>860</v>
      </c>
      <c r="BK112" s="58" t="s">
        <v>54</v>
      </c>
      <c r="BL112" s="59" t="str">
        <v>Aryangga Madya Kurniawan</v>
      </c>
    </row>
    <row r="113" spans="1:64" x14ac:dyDescent="0.35">
      <c r="A113" s="19">
        <v>109</v>
      </c>
      <c r="B113" s="13" t="s">
        <v>329</v>
      </c>
      <c r="C113" s="20" t="s">
        <v>330</v>
      </c>
      <c r="D113" s="76" t="s">
        <v>42</v>
      </c>
      <c r="E113" s="13" t="s">
        <v>277</v>
      </c>
      <c r="F113" s="13" t="s">
        <v>74</v>
      </c>
      <c r="G113" s="13" t="s">
        <v>61</v>
      </c>
      <c r="H113" s="65">
        <v>43740</v>
      </c>
      <c r="I113" s="21">
        <f t="shared" ca="1" si="65"/>
        <v>45974</v>
      </c>
      <c r="J113" s="13" t="str">
        <f t="shared" ca="1" si="44"/>
        <v xml:space="preserve">6 Tahun 1 Bulan 11 Hari </v>
      </c>
      <c r="K113" s="13">
        <f t="shared" ca="1" si="66"/>
        <v>3216960</v>
      </c>
      <c r="L113" s="13">
        <v>153</v>
      </c>
      <c r="M113" s="13">
        <v>3</v>
      </c>
      <c r="N113" s="13">
        <v>1244</v>
      </c>
      <c r="O113" s="22">
        <f t="shared" si="45"/>
        <v>414.66666666666669</v>
      </c>
      <c r="P113" s="13">
        <v>354</v>
      </c>
      <c r="Q113" s="23">
        <f t="shared" si="46"/>
        <v>0.8</v>
      </c>
      <c r="R113" s="24">
        <f t="shared" si="47"/>
        <v>4</v>
      </c>
      <c r="S113" s="25">
        <f t="shared" si="67"/>
        <v>0.85369774919614139</v>
      </c>
      <c r="T113" s="25">
        <f t="shared" si="48"/>
        <v>0.17073954983922829</v>
      </c>
      <c r="U113" s="26">
        <v>10476.016476139599</v>
      </c>
      <c r="V113" s="26">
        <v>8.4876543209876556E-3</v>
      </c>
      <c r="W113" s="26">
        <v>0.14084297839506174</v>
      </c>
      <c r="X113" s="27">
        <f t="shared" si="69"/>
        <v>0</v>
      </c>
      <c r="Y113" s="27">
        <f t="shared" si="72"/>
        <v>1</v>
      </c>
      <c r="Z113" s="27">
        <f t="shared" si="71"/>
        <v>1</v>
      </c>
      <c r="AA113" s="23">
        <f t="shared" si="75"/>
        <v>0.8</v>
      </c>
      <c r="AB113" s="24">
        <f t="shared" si="73"/>
        <v>2</v>
      </c>
      <c r="AC113" s="28">
        <f t="shared" si="52"/>
        <v>0.66666666666666663</v>
      </c>
      <c r="AD113" s="29">
        <f t="shared" si="53"/>
        <v>0.16666666666666666</v>
      </c>
      <c r="AE113" s="30">
        <v>2.0124678497942389E-2</v>
      </c>
      <c r="AF113" s="23">
        <f t="shared" si="54"/>
        <v>1.25</v>
      </c>
      <c r="AG113" s="24">
        <f t="shared" si="74"/>
        <v>5</v>
      </c>
      <c r="AH113" s="28">
        <f t="shared" si="56"/>
        <v>1</v>
      </c>
      <c r="AI113" s="29">
        <f t="shared" si="57"/>
        <v>0.25</v>
      </c>
      <c r="AJ113" s="31">
        <v>1</v>
      </c>
      <c r="AK113" s="31">
        <v>1</v>
      </c>
      <c r="AL113" s="31">
        <v>0</v>
      </c>
      <c r="AM113" s="31">
        <v>0</v>
      </c>
      <c r="AN113" s="31">
        <v>0</v>
      </c>
      <c r="AO113" s="31">
        <v>0</v>
      </c>
      <c r="AP113" s="31">
        <v>0</v>
      </c>
      <c r="AQ113" s="31">
        <v>0</v>
      </c>
      <c r="AR113" s="23">
        <f t="shared" si="58"/>
        <v>0.4</v>
      </c>
      <c r="AS113" s="24">
        <f t="shared" si="59"/>
        <v>2</v>
      </c>
      <c r="AT113" s="28">
        <f t="shared" si="60"/>
        <v>0.25</v>
      </c>
      <c r="AU113" s="28">
        <f t="shared" si="61"/>
        <v>3.7499999999999999E-2</v>
      </c>
      <c r="AV113" s="32">
        <v>75</v>
      </c>
      <c r="AW113" s="32">
        <v>75</v>
      </c>
      <c r="AX113" s="32">
        <v>85</v>
      </c>
      <c r="AY113" s="32">
        <v>90</v>
      </c>
      <c r="AZ113" s="32">
        <v>90</v>
      </c>
      <c r="BA113" s="32">
        <v>100</v>
      </c>
      <c r="BB113" s="23">
        <f t="shared" ca="1" si="62"/>
        <v>0.8</v>
      </c>
      <c r="BC113" s="33">
        <f t="shared" si="68"/>
        <v>85.833333333333329</v>
      </c>
      <c r="BD113" s="28">
        <f t="shared" si="63"/>
        <v>0.94174757281553401</v>
      </c>
      <c r="BE113" s="28">
        <f t="shared" si="64"/>
        <v>0.18834951456310681</v>
      </c>
      <c r="BF113" s="34">
        <f ca="1">Q113+AA113+AF113+AR113+BB113</f>
        <v>4.05</v>
      </c>
      <c r="BG113" s="34">
        <f>AVERAGE(AV113:AZ113)</f>
        <v>83</v>
      </c>
      <c r="BH113" s="35">
        <f>T113+AD113+AI113+AU113+BE113</f>
        <v>0.81325573106900173</v>
      </c>
      <c r="BI113" s="36" t="str">
        <f ca="1">IF(K113&lt;365,"New CE",(IF(BH113&gt;=100%,"Promote",IF(BH113&gt;=90%,"Sangat Baik",IF(BH113&gt;=80%,"Baik",IF(BH113&gt;=70%,"Lebih Dari Cukup",IF(BH113&gt;=60%,"Cukup","Kurang")))))))</f>
        <v>Baik</v>
      </c>
      <c r="BJ113" s="36" t="s">
        <v>860</v>
      </c>
      <c r="BK113" s="58" t="s">
        <v>42</v>
      </c>
      <c r="BL113" s="59" t="str">
        <v>Bagas Widya Ananta</v>
      </c>
    </row>
    <row r="114" spans="1:64" x14ac:dyDescent="0.35">
      <c r="A114" s="19">
        <v>110</v>
      </c>
      <c r="B114" s="13" t="s">
        <v>331</v>
      </c>
      <c r="C114" s="20" t="s">
        <v>332</v>
      </c>
      <c r="D114" s="76" t="s">
        <v>48</v>
      </c>
      <c r="E114" s="13" t="s">
        <v>43</v>
      </c>
      <c r="F114" s="13" t="s">
        <v>44</v>
      </c>
      <c r="G114" s="13" t="s">
        <v>51</v>
      </c>
      <c r="H114" s="65">
        <v>44431</v>
      </c>
      <c r="I114" s="21">
        <f t="shared" ca="1" si="65"/>
        <v>45974</v>
      </c>
      <c r="J114" s="13" t="str">
        <f t="shared" ca="1" si="44"/>
        <v xml:space="preserve">4 Tahun 2 Bulan 21 Hari </v>
      </c>
      <c r="K114" s="13">
        <f t="shared" ca="1" si="66"/>
        <v>2221920</v>
      </c>
      <c r="L114" s="13">
        <v>1384</v>
      </c>
      <c r="M114" s="13">
        <v>22</v>
      </c>
      <c r="N114" s="13">
        <v>6775</v>
      </c>
      <c r="O114" s="22">
        <f t="shared" si="45"/>
        <v>307.95454545454544</v>
      </c>
      <c r="P114" s="13">
        <v>460</v>
      </c>
      <c r="Q114" s="23">
        <f t="shared" si="46"/>
        <v>1</v>
      </c>
      <c r="R114" s="24">
        <f t="shared" si="47"/>
        <v>5</v>
      </c>
      <c r="S114" s="25">
        <f t="shared" si="67"/>
        <v>1.4937269372693727</v>
      </c>
      <c r="T114" s="25">
        <f t="shared" si="48"/>
        <v>0.29874538745387452</v>
      </c>
      <c r="U114" s="26">
        <v>1073.504326607612</v>
      </c>
      <c r="V114" s="26">
        <v>0</v>
      </c>
      <c r="W114" s="26">
        <v>0</v>
      </c>
      <c r="X114" s="27">
        <f t="shared" si="69"/>
        <v>0</v>
      </c>
      <c r="Y114" s="27">
        <f t="shared" si="72"/>
        <v>0</v>
      </c>
      <c r="Z114" s="27">
        <f t="shared" si="71"/>
        <v>0</v>
      </c>
      <c r="AA114" s="23">
        <f t="shared" si="75"/>
        <v>0</v>
      </c>
      <c r="AB114" s="24">
        <f t="shared" si="73"/>
        <v>0</v>
      </c>
      <c r="AC114" s="28">
        <f t="shared" si="52"/>
        <v>0</v>
      </c>
      <c r="AD114" s="29">
        <f t="shared" si="53"/>
        <v>0</v>
      </c>
      <c r="AE114" s="30">
        <v>2.9832893805670418E-2</v>
      </c>
      <c r="AF114" s="23">
        <f t="shared" si="54"/>
        <v>1.25</v>
      </c>
      <c r="AG114" s="24">
        <f t="shared" si="74"/>
        <v>5</v>
      </c>
      <c r="AH114" s="28">
        <f t="shared" si="56"/>
        <v>1</v>
      </c>
      <c r="AI114" s="29">
        <f t="shared" si="57"/>
        <v>0.25</v>
      </c>
      <c r="AJ114" s="31">
        <v>1</v>
      </c>
      <c r="AK114" s="31">
        <v>1</v>
      </c>
      <c r="AL114" s="31">
        <v>1</v>
      </c>
      <c r="AM114" s="31">
        <v>1</v>
      </c>
      <c r="AN114" s="31">
        <v>0</v>
      </c>
      <c r="AO114" s="31">
        <v>0</v>
      </c>
      <c r="AP114" s="31">
        <v>0</v>
      </c>
      <c r="AQ114" s="31">
        <v>0</v>
      </c>
      <c r="AR114" s="23">
        <f t="shared" si="58"/>
        <v>0.8</v>
      </c>
      <c r="AS114" s="24">
        <f t="shared" si="59"/>
        <v>4</v>
      </c>
      <c r="AT114" s="28">
        <f t="shared" si="60"/>
        <v>0.5</v>
      </c>
      <c r="AU114" s="28">
        <f t="shared" si="61"/>
        <v>7.4999999999999997E-2</v>
      </c>
      <c r="AV114" s="32">
        <v>75</v>
      </c>
      <c r="AW114" s="32">
        <v>75</v>
      </c>
      <c r="AX114" s="32">
        <v>75</v>
      </c>
      <c r="AY114" s="32">
        <v>75</v>
      </c>
      <c r="AZ114" s="32">
        <v>75</v>
      </c>
      <c r="BA114" s="32">
        <v>100</v>
      </c>
      <c r="BB114" s="23">
        <f t="shared" ca="1" si="62"/>
        <v>0.8</v>
      </c>
      <c r="BC114" s="33">
        <f t="shared" si="68"/>
        <v>79.166666666666671</v>
      </c>
      <c r="BD114" s="28">
        <f t="shared" si="63"/>
        <v>0.93684210526315792</v>
      </c>
      <c r="BE114" s="28">
        <f t="shared" si="64"/>
        <v>0.1873684210526316</v>
      </c>
      <c r="BF114" s="34">
        <f ca="1">Q114+AA114+AF114+AR114+BB114</f>
        <v>3.8499999999999996</v>
      </c>
      <c r="BG114" s="34">
        <f>AVERAGE(AV114:AZ114)</f>
        <v>75</v>
      </c>
      <c r="BH114" s="35">
        <f>T114+AD114+AI114+AU114+BE114</f>
        <v>0.81111380850650616</v>
      </c>
      <c r="BI114" s="36" t="str">
        <f ca="1">IF(K114&lt;365,"New CE",(IF(BH114&gt;=100%,"Promote",IF(BH114&gt;=90%,"Sangat Baik",IF(BH114&gt;=80%,"Baik",IF(BH114&gt;=70%,"Lebih Dari Cukup",IF(BH114&gt;=60%,"Cukup","Kurang")))))))</f>
        <v>Baik</v>
      </c>
      <c r="BJ114" s="36" t="s">
        <v>860</v>
      </c>
      <c r="BK114" s="58" t="s">
        <v>48</v>
      </c>
      <c r="BL114" s="59" t="e">
        <v>#N/A</v>
      </c>
    </row>
    <row r="115" spans="1:64" x14ac:dyDescent="0.35">
      <c r="A115" s="19">
        <v>111</v>
      </c>
      <c r="B115" s="13" t="s">
        <v>333</v>
      </c>
      <c r="C115" s="20" t="s">
        <v>334</v>
      </c>
      <c r="D115" s="76" t="s">
        <v>54</v>
      </c>
      <c r="E115" s="13" t="s">
        <v>257</v>
      </c>
      <c r="F115" s="13" t="s">
        <v>44</v>
      </c>
      <c r="G115" s="13" t="s">
        <v>61</v>
      </c>
      <c r="H115" s="65">
        <v>45173</v>
      </c>
      <c r="I115" s="21">
        <f t="shared" ca="1" si="65"/>
        <v>45974</v>
      </c>
      <c r="J115" s="13" t="str">
        <f t="shared" ca="1" si="44"/>
        <v xml:space="preserve">2 Tahun 2 Bulan 9 Hari </v>
      </c>
      <c r="K115" s="13">
        <f t="shared" ca="1" si="66"/>
        <v>1153440</v>
      </c>
      <c r="L115" s="13">
        <v>507</v>
      </c>
      <c r="M115" s="13">
        <v>10</v>
      </c>
      <c r="N115" s="13">
        <v>3304</v>
      </c>
      <c r="O115" s="22">
        <f t="shared" si="45"/>
        <v>330.4</v>
      </c>
      <c r="P115" s="13">
        <v>331</v>
      </c>
      <c r="Q115" s="23">
        <f t="shared" si="46"/>
        <v>1</v>
      </c>
      <c r="R115" s="24">
        <f t="shared" si="47"/>
        <v>5</v>
      </c>
      <c r="S115" s="25">
        <f t="shared" si="67"/>
        <v>1.0018159806295399</v>
      </c>
      <c r="T115" s="25">
        <f t="shared" si="48"/>
        <v>0.200363196125908</v>
      </c>
      <c r="U115" s="26">
        <v>1.366753472222222E-2</v>
      </c>
      <c r="V115" s="26">
        <v>3.4594907407407408E-2</v>
      </c>
      <c r="W115" s="26">
        <v>0</v>
      </c>
      <c r="X115" s="27">
        <f t="shared" si="69"/>
        <v>1</v>
      </c>
      <c r="Y115" s="27">
        <f t="shared" si="72"/>
        <v>1</v>
      </c>
      <c r="Z115" s="27">
        <f t="shared" si="71"/>
        <v>0</v>
      </c>
      <c r="AA115" s="23">
        <f t="shared" si="75"/>
        <v>0.8</v>
      </c>
      <c r="AB115" s="24">
        <f t="shared" si="73"/>
        <v>2</v>
      </c>
      <c r="AC115" s="28">
        <f t="shared" si="52"/>
        <v>0.66666666666666663</v>
      </c>
      <c r="AD115" s="29">
        <f t="shared" si="53"/>
        <v>0.16666666666666666</v>
      </c>
      <c r="AE115" s="30">
        <v>6.2029145622895625E-2</v>
      </c>
      <c r="AF115" s="23">
        <f t="shared" si="54"/>
        <v>1</v>
      </c>
      <c r="AG115" s="24">
        <f t="shared" si="74"/>
        <v>4</v>
      </c>
      <c r="AH115" s="28">
        <f t="shared" si="56"/>
        <v>0.8</v>
      </c>
      <c r="AI115" s="29">
        <f t="shared" si="57"/>
        <v>0.2</v>
      </c>
      <c r="AJ115" s="31">
        <v>1</v>
      </c>
      <c r="AK115" s="31">
        <v>1</v>
      </c>
      <c r="AL115" s="31">
        <v>1</v>
      </c>
      <c r="AM115" s="31">
        <v>0</v>
      </c>
      <c r="AN115" s="31">
        <v>0</v>
      </c>
      <c r="AO115" s="31">
        <v>0</v>
      </c>
      <c r="AP115" s="31">
        <v>0</v>
      </c>
      <c r="AQ115" s="31">
        <v>0</v>
      </c>
      <c r="AR115" s="23">
        <f t="shared" si="58"/>
        <v>0.6</v>
      </c>
      <c r="AS115" s="24">
        <f t="shared" si="59"/>
        <v>3</v>
      </c>
      <c r="AT115" s="28">
        <f t="shared" si="60"/>
        <v>0.375</v>
      </c>
      <c r="AU115" s="28">
        <f t="shared" si="61"/>
        <v>5.6249999999999994E-2</v>
      </c>
      <c r="AV115" s="32">
        <v>75</v>
      </c>
      <c r="AW115" s="32">
        <v>75</v>
      </c>
      <c r="AX115" s="32">
        <v>80</v>
      </c>
      <c r="AY115" s="32">
        <v>80</v>
      </c>
      <c r="AZ115" s="32">
        <v>80</v>
      </c>
      <c r="BA115" s="32">
        <v>100</v>
      </c>
      <c r="BB115" s="23">
        <f t="shared" ca="1" si="62"/>
        <v>0.8</v>
      </c>
      <c r="BC115" s="33">
        <f t="shared" si="68"/>
        <v>81.666666666666671</v>
      </c>
      <c r="BD115" s="28">
        <f t="shared" si="63"/>
        <v>0.93877551020408168</v>
      </c>
      <c r="BE115" s="28">
        <f t="shared" si="64"/>
        <v>0.18775510204081636</v>
      </c>
      <c r="BF115" s="34">
        <f ca="1">Q115+AA115+AF115+AR115+BB115</f>
        <v>4.2</v>
      </c>
      <c r="BG115" s="34">
        <f>AVERAGE(AV115:AZ115)</f>
        <v>78</v>
      </c>
      <c r="BH115" s="35">
        <f>T115+AD115+AI115+AU115+BE115</f>
        <v>0.8110349648333911</v>
      </c>
      <c r="BI115" s="36" t="str">
        <f ca="1">IF(K115&lt;365,"New CE",(IF(BH115&gt;=100%,"Promote",IF(BH115&gt;=90%,"Sangat Baik",IF(BH115&gt;=80%,"Baik",IF(BH115&gt;=70%,"Lebih Dari Cukup",IF(BH115&gt;=60%,"Cukup","Kurang")))))))</f>
        <v>Baik</v>
      </c>
      <c r="BJ115" s="36" t="s">
        <v>860</v>
      </c>
      <c r="BK115" s="58" t="s">
        <v>54</v>
      </c>
      <c r="BL115" s="59" t="e">
        <v>#N/A</v>
      </c>
    </row>
    <row r="116" spans="1:64" x14ac:dyDescent="0.35">
      <c r="A116" s="19">
        <v>112</v>
      </c>
      <c r="B116" s="13" t="s">
        <v>335</v>
      </c>
      <c r="C116" s="20" t="s">
        <v>336</v>
      </c>
      <c r="D116" s="76" t="s">
        <v>54</v>
      </c>
      <c r="E116" s="13" t="s">
        <v>898</v>
      </c>
      <c r="F116" s="13" t="s">
        <v>74</v>
      </c>
      <c r="G116" s="13" t="s">
        <v>75</v>
      </c>
      <c r="H116" s="65">
        <v>45306</v>
      </c>
      <c r="I116" s="21">
        <f t="shared" ca="1" si="65"/>
        <v>45974</v>
      </c>
      <c r="J116" s="13" t="str">
        <f t="shared" ca="1" si="44"/>
        <v xml:space="preserve">1 Tahun 9 Bulan 29 Hari </v>
      </c>
      <c r="K116" s="13">
        <f t="shared" ca="1" si="66"/>
        <v>961920</v>
      </c>
      <c r="L116" s="13">
        <v>221</v>
      </c>
      <c r="M116" s="13">
        <v>4</v>
      </c>
      <c r="N116" s="13">
        <v>1669</v>
      </c>
      <c r="O116" s="22">
        <f t="shared" si="45"/>
        <v>417.25</v>
      </c>
      <c r="P116" s="13">
        <v>283</v>
      </c>
      <c r="Q116" s="23">
        <f t="shared" si="46"/>
        <v>0.6</v>
      </c>
      <c r="R116" s="24">
        <f t="shared" si="47"/>
        <v>3</v>
      </c>
      <c r="S116" s="25">
        <f t="shared" si="67"/>
        <v>0.67825044937088075</v>
      </c>
      <c r="T116" s="25">
        <f t="shared" si="48"/>
        <v>0.13565008987417615</v>
      </c>
      <c r="U116" s="26">
        <v>7.4749850657108716E-3</v>
      </c>
      <c r="V116" s="26">
        <v>1.684027777777778E-2</v>
      </c>
      <c r="W116" s="26">
        <v>5.7747507122507119E-2</v>
      </c>
      <c r="X116" s="27">
        <f t="shared" si="69"/>
        <v>1</v>
      </c>
      <c r="Y116" s="27">
        <f t="shared" si="72"/>
        <v>1</v>
      </c>
      <c r="Z116" s="27">
        <f t="shared" si="71"/>
        <v>1</v>
      </c>
      <c r="AA116" s="23">
        <f t="shared" si="75"/>
        <v>1.25</v>
      </c>
      <c r="AB116" s="24">
        <f t="shared" si="73"/>
        <v>3</v>
      </c>
      <c r="AC116" s="28">
        <f t="shared" si="52"/>
        <v>1</v>
      </c>
      <c r="AD116" s="29">
        <f t="shared" si="53"/>
        <v>0.25</v>
      </c>
      <c r="AE116" s="30">
        <v>6.972734152421653E-2</v>
      </c>
      <c r="AF116" s="23">
        <f t="shared" si="54"/>
        <v>1</v>
      </c>
      <c r="AG116" s="24">
        <f t="shared" si="74"/>
        <v>4</v>
      </c>
      <c r="AH116" s="28">
        <f t="shared" si="56"/>
        <v>0.8</v>
      </c>
      <c r="AI116" s="29">
        <f t="shared" si="57"/>
        <v>0.2</v>
      </c>
      <c r="AJ116" s="31">
        <v>1</v>
      </c>
      <c r="AK116" s="31">
        <v>1</v>
      </c>
      <c r="AL116" s="31">
        <v>0</v>
      </c>
      <c r="AM116" s="31">
        <v>0</v>
      </c>
      <c r="AN116" s="31">
        <v>0</v>
      </c>
      <c r="AO116" s="31">
        <v>0</v>
      </c>
      <c r="AP116" s="31">
        <v>0</v>
      </c>
      <c r="AQ116" s="31">
        <v>0</v>
      </c>
      <c r="AR116" s="23">
        <f t="shared" si="58"/>
        <v>0.4</v>
      </c>
      <c r="AS116" s="24">
        <f t="shared" si="59"/>
        <v>2</v>
      </c>
      <c r="AT116" s="28">
        <f t="shared" si="60"/>
        <v>0.25</v>
      </c>
      <c r="AU116" s="28">
        <f t="shared" si="61"/>
        <v>3.7499999999999999E-2</v>
      </c>
      <c r="AV116" s="32">
        <v>75</v>
      </c>
      <c r="AW116" s="32">
        <v>75</v>
      </c>
      <c r="AX116" s="32">
        <v>80</v>
      </c>
      <c r="AY116" s="32">
        <v>80</v>
      </c>
      <c r="AZ116" s="32">
        <v>80</v>
      </c>
      <c r="BA116" s="32">
        <v>100</v>
      </c>
      <c r="BB116" s="23">
        <f t="shared" ca="1" si="62"/>
        <v>0.8</v>
      </c>
      <c r="BC116" s="33">
        <f t="shared" si="68"/>
        <v>81.666666666666671</v>
      </c>
      <c r="BD116" s="28">
        <f t="shared" si="63"/>
        <v>0.93877551020408168</v>
      </c>
      <c r="BE116" s="28">
        <f t="shared" si="64"/>
        <v>0.18775510204081636</v>
      </c>
      <c r="BF116" s="34">
        <f ca="1">Q116+AA116+AF116+AR116+BB116</f>
        <v>4.05</v>
      </c>
      <c r="BG116" s="34">
        <f>AVERAGE(AV116:AZ116)</f>
        <v>78</v>
      </c>
      <c r="BH116" s="35">
        <f>T116+AD116+AI116+AU116+BE116</f>
        <v>0.81090519191499244</v>
      </c>
      <c r="BI116" s="36" t="str">
        <f ca="1">IF(K116&lt;365,"New CE",(IF(BH116&gt;=100%,"Promote",IF(BH116&gt;=90%,"Sangat Baik",IF(BH116&gt;=80%,"Baik",IF(BH116&gt;=70%,"Lebih Dari Cukup",IF(BH116&gt;=60%,"Cukup","Kurang")))))))</f>
        <v>Baik</v>
      </c>
      <c r="BJ116" s="36" t="s">
        <v>860</v>
      </c>
      <c r="BK116" s="58" t="s">
        <v>54</v>
      </c>
      <c r="BL116" s="59" t="str">
        <v>Dwiki Dhamuristya</v>
      </c>
    </row>
    <row r="117" spans="1:64" x14ac:dyDescent="0.35">
      <c r="A117" s="19">
        <v>113</v>
      </c>
      <c r="B117" s="13" t="s">
        <v>337</v>
      </c>
      <c r="C117" s="20" t="s">
        <v>338</v>
      </c>
      <c r="D117" s="76" t="s">
        <v>42</v>
      </c>
      <c r="E117" s="13" t="s">
        <v>226</v>
      </c>
      <c r="F117" s="13" t="s">
        <v>74</v>
      </c>
      <c r="G117" s="13" t="s">
        <v>61</v>
      </c>
      <c r="H117" s="65">
        <v>42982</v>
      </c>
      <c r="I117" s="21">
        <f t="shared" ca="1" si="65"/>
        <v>45974</v>
      </c>
      <c r="J117" s="13" t="str">
        <f t="shared" ca="1" si="44"/>
        <v xml:space="preserve">8 Tahun 2 Bulan 9 Hari </v>
      </c>
      <c r="K117" s="13">
        <f t="shared" ca="1" si="66"/>
        <v>4308480</v>
      </c>
      <c r="L117" s="13">
        <v>283</v>
      </c>
      <c r="M117" s="13">
        <v>4</v>
      </c>
      <c r="N117" s="13">
        <v>1878</v>
      </c>
      <c r="O117" s="22">
        <f t="shared" si="45"/>
        <v>469.5</v>
      </c>
      <c r="P117" s="13">
        <v>547</v>
      </c>
      <c r="Q117" s="23">
        <f t="shared" si="46"/>
        <v>1</v>
      </c>
      <c r="R117" s="24">
        <f t="shared" si="47"/>
        <v>5</v>
      </c>
      <c r="S117" s="25">
        <f t="shared" si="67"/>
        <v>1.1650692225772099</v>
      </c>
      <c r="T117" s="25">
        <f t="shared" si="48"/>
        <v>0.23301384451544199</v>
      </c>
      <c r="U117" s="26">
        <v>23455.993158868401</v>
      </c>
      <c r="V117" s="26">
        <v>15789.329130434782</v>
      </c>
      <c r="W117" s="26">
        <v>45453.565872264313</v>
      </c>
      <c r="X117" s="27">
        <f t="shared" si="69"/>
        <v>0</v>
      </c>
      <c r="Y117" s="27">
        <f t="shared" si="72"/>
        <v>0</v>
      </c>
      <c r="Z117" s="27">
        <f t="shared" si="71"/>
        <v>1</v>
      </c>
      <c r="AA117" s="23">
        <f t="shared" si="75"/>
        <v>0.4</v>
      </c>
      <c r="AB117" s="24">
        <f t="shared" si="73"/>
        <v>1</v>
      </c>
      <c r="AC117" s="28">
        <f t="shared" si="52"/>
        <v>0.33333333333333331</v>
      </c>
      <c r="AD117" s="29">
        <f t="shared" si="53"/>
        <v>8.3333333333333329E-2</v>
      </c>
      <c r="AE117" s="30">
        <v>4.1454075067775542E-2</v>
      </c>
      <c r="AF117" s="23">
        <f t="shared" si="54"/>
        <v>1.25</v>
      </c>
      <c r="AG117" s="24">
        <f t="shared" si="74"/>
        <v>5</v>
      </c>
      <c r="AH117" s="28">
        <f t="shared" si="56"/>
        <v>1</v>
      </c>
      <c r="AI117" s="29">
        <f t="shared" si="57"/>
        <v>0.25</v>
      </c>
      <c r="AJ117" s="31">
        <v>1</v>
      </c>
      <c r="AK117" s="31">
        <v>1</v>
      </c>
      <c r="AL117" s="31">
        <v>0</v>
      </c>
      <c r="AM117" s="31">
        <v>0</v>
      </c>
      <c r="AN117" s="31">
        <v>0</v>
      </c>
      <c r="AO117" s="31">
        <v>1</v>
      </c>
      <c r="AP117" s="31">
        <v>0</v>
      </c>
      <c r="AQ117" s="31">
        <v>0</v>
      </c>
      <c r="AR117" s="23">
        <f t="shared" si="58"/>
        <v>0.6</v>
      </c>
      <c r="AS117" s="24">
        <f t="shared" si="59"/>
        <v>3</v>
      </c>
      <c r="AT117" s="28">
        <f t="shared" si="60"/>
        <v>0.375</v>
      </c>
      <c r="AU117" s="28">
        <f t="shared" si="61"/>
        <v>5.6249999999999994E-2</v>
      </c>
      <c r="AV117" s="32">
        <v>75</v>
      </c>
      <c r="AW117" s="32">
        <v>75</v>
      </c>
      <c r="AX117" s="32">
        <v>85</v>
      </c>
      <c r="AY117" s="32">
        <v>75</v>
      </c>
      <c r="AZ117" s="32">
        <v>80</v>
      </c>
      <c r="BA117" s="32">
        <v>100</v>
      </c>
      <c r="BB117" s="23">
        <f t="shared" ca="1" si="62"/>
        <v>0.8</v>
      </c>
      <c r="BC117" s="33">
        <f t="shared" si="68"/>
        <v>81.666666666666671</v>
      </c>
      <c r="BD117" s="28">
        <f t="shared" si="63"/>
        <v>0.93877551020408168</v>
      </c>
      <c r="BE117" s="28">
        <f t="shared" si="64"/>
        <v>0.18775510204081636</v>
      </c>
      <c r="BF117" s="34">
        <f ca="1">Q117+AA117+AF117+AR117+BB117</f>
        <v>4.05</v>
      </c>
      <c r="BG117" s="34">
        <f>AVERAGE(AV117:AZ117)</f>
        <v>78</v>
      </c>
      <c r="BH117" s="35">
        <f>T117+AD117+AI117+AU117+BE117</f>
        <v>0.81035227988959169</v>
      </c>
      <c r="BI117" s="36" t="str">
        <f ca="1">IF(K117&lt;365,"New CE",(IF(BH117&gt;=100%,"Promote",IF(BH117&gt;=90%,"Sangat Baik",IF(BH117&gt;=80%,"Baik",IF(BH117&gt;=70%,"Lebih Dari Cukup",IF(BH117&gt;=60%,"Cukup","Kurang")))))))</f>
        <v>Baik</v>
      </c>
      <c r="BJ117" s="36" t="s">
        <v>860</v>
      </c>
      <c r="BK117" s="58" t="s">
        <v>42</v>
      </c>
      <c r="BL117" s="59" t="str">
        <v>Fajar Nugraha</v>
      </c>
    </row>
    <row r="118" spans="1:64" x14ac:dyDescent="0.35">
      <c r="A118" s="19">
        <v>114</v>
      </c>
      <c r="B118" s="13" t="s">
        <v>339</v>
      </c>
      <c r="C118" s="20" t="s">
        <v>340</v>
      </c>
      <c r="D118" s="76" t="s">
        <v>48</v>
      </c>
      <c r="E118" s="13" t="s">
        <v>187</v>
      </c>
      <c r="F118" s="13" t="s">
        <v>74</v>
      </c>
      <c r="G118" s="13" t="s">
        <v>45</v>
      </c>
      <c r="H118" s="65">
        <v>43682</v>
      </c>
      <c r="I118" s="21">
        <f t="shared" ca="1" si="65"/>
        <v>45974</v>
      </c>
      <c r="J118" s="13" t="str">
        <f t="shared" ca="1" si="44"/>
        <v xml:space="preserve">6 Tahun 3 Bulan 8 Hari </v>
      </c>
      <c r="K118" s="13">
        <f t="shared" ca="1" si="66"/>
        <v>3300480</v>
      </c>
      <c r="L118" s="13">
        <v>684</v>
      </c>
      <c r="M118" s="13">
        <v>4</v>
      </c>
      <c r="N118" s="13">
        <v>4972</v>
      </c>
      <c r="O118" s="22">
        <f t="shared" si="45"/>
        <v>1243</v>
      </c>
      <c r="P118" s="13">
        <v>404</v>
      </c>
      <c r="Q118" s="23">
        <f t="shared" si="46"/>
        <v>0.2</v>
      </c>
      <c r="R118" s="24">
        <f t="shared" si="47"/>
        <v>1</v>
      </c>
      <c r="S118" s="25">
        <f t="shared" si="67"/>
        <v>0.32502011263073211</v>
      </c>
      <c r="T118" s="25">
        <f t="shared" si="48"/>
        <v>6.5004022526146427E-2</v>
      </c>
      <c r="U118" s="26">
        <v>4.3055555555555555E-2</v>
      </c>
      <c r="V118" s="26">
        <v>7.5694444444444439E-2</v>
      </c>
      <c r="W118" s="26">
        <v>26768.594955065357</v>
      </c>
      <c r="X118" s="27">
        <f t="shared" si="69"/>
        <v>1</v>
      </c>
      <c r="Y118" s="27">
        <f t="shared" si="72"/>
        <v>1</v>
      </c>
      <c r="Z118" s="27">
        <f t="shared" si="71"/>
        <v>1</v>
      </c>
      <c r="AA118" s="23">
        <f t="shared" si="75"/>
        <v>1.25</v>
      </c>
      <c r="AB118" s="24">
        <f t="shared" si="73"/>
        <v>3</v>
      </c>
      <c r="AC118" s="28">
        <f t="shared" si="52"/>
        <v>1</v>
      </c>
      <c r="AD118" s="29">
        <f t="shared" si="53"/>
        <v>0.25</v>
      </c>
      <c r="AE118" s="30">
        <v>3.9663343504489343E-2</v>
      </c>
      <c r="AF118" s="23">
        <f t="shared" si="54"/>
        <v>1.25</v>
      </c>
      <c r="AG118" s="24">
        <f t="shared" si="74"/>
        <v>5</v>
      </c>
      <c r="AH118" s="28">
        <f t="shared" si="56"/>
        <v>1</v>
      </c>
      <c r="AI118" s="29">
        <f t="shared" si="57"/>
        <v>0.25</v>
      </c>
      <c r="AJ118" s="31">
        <v>1</v>
      </c>
      <c r="AK118" s="31">
        <v>1</v>
      </c>
      <c r="AL118" s="31">
        <v>1</v>
      </c>
      <c r="AM118" s="31">
        <v>0</v>
      </c>
      <c r="AN118" s="31">
        <v>0</v>
      </c>
      <c r="AO118" s="31">
        <v>0</v>
      </c>
      <c r="AP118" s="31">
        <v>0</v>
      </c>
      <c r="AQ118" s="31">
        <v>0</v>
      </c>
      <c r="AR118" s="23">
        <f t="shared" si="58"/>
        <v>0.6</v>
      </c>
      <c r="AS118" s="24">
        <f t="shared" si="59"/>
        <v>3</v>
      </c>
      <c r="AT118" s="28">
        <f t="shared" si="60"/>
        <v>0.375</v>
      </c>
      <c r="AU118" s="28">
        <f t="shared" si="61"/>
        <v>5.6249999999999994E-2</v>
      </c>
      <c r="AV118" s="32">
        <v>75</v>
      </c>
      <c r="AW118" s="32">
        <v>75</v>
      </c>
      <c r="AX118" s="32">
        <v>85</v>
      </c>
      <c r="AY118" s="32">
        <v>85</v>
      </c>
      <c r="AZ118" s="32">
        <v>85</v>
      </c>
      <c r="BA118" s="32">
        <v>100</v>
      </c>
      <c r="BB118" s="23">
        <f t="shared" ca="1" si="62"/>
        <v>0.8</v>
      </c>
      <c r="BC118" s="33">
        <f t="shared" si="68"/>
        <v>84.166666666666671</v>
      </c>
      <c r="BD118" s="28">
        <f t="shared" si="63"/>
        <v>0.94059405940594054</v>
      </c>
      <c r="BE118" s="28">
        <f t="shared" si="64"/>
        <v>0.18811881188118812</v>
      </c>
      <c r="BF118" s="34">
        <f ca="1">Q118+AA118+AF118+AR118+BB118</f>
        <v>4.1000000000000005</v>
      </c>
      <c r="BG118" s="34">
        <f>AVERAGE(AV118:AZ118)</f>
        <v>81</v>
      </c>
      <c r="BH118" s="35">
        <f>T118+AD118+AI118+AU118+BE118</f>
        <v>0.80937283440733454</v>
      </c>
      <c r="BI118" s="36" t="str">
        <f ca="1">IF(K118&lt;365,"New CE",(IF(BH118&gt;=100%,"Promote",IF(BH118&gt;=90%,"Sangat Baik",IF(BH118&gt;=80%,"Baik",IF(BH118&gt;=70%,"Lebih Dari Cukup",IF(BH118&gt;=60%,"Cukup","Kurang")))))))</f>
        <v>Baik</v>
      </c>
      <c r="BJ118" s="36" t="s">
        <v>855</v>
      </c>
      <c r="BK118" s="58" t="s">
        <v>851</v>
      </c>
      <c r="BL118" s="59" t="str">
        <v>Muhammad Ilham JKT</v>
      </c>
    </row>
    <row r="119" spans="1:64" x14ac:dyDescent="0.35">
      <c r="A119" s="19">
        <v>115</v>
      </c>
      <c r="B119" s="13" t="s">
        <v>341</v>
      </c>
      <c r="C119" s="20" t="s">
        <v>342</v>
      </c>
      <c r="D119" s="76" t="s">
        <v>48</v>
      </c>
      <c r="E119" s="13" t="s">
        <v>67</v>
      </c>
      <c r="F119" s="13" t="s">
        <v>44</v>
      </c>
      <c r="G119" s="13" t="s">
        <v>51</v>
      </c>
      <c r="H119" s="65">
        <v>44502</v>
      </c>
      <c r="I119" s="21">
        <f t="shared" ca="1" si="65"/>
        <v>45974</v>
      </c>
      <c r="J119" s="13" t="str">
        <f t="shared" ca="1" si="44"/>
        <v xml:space="preserve">4 Tahun 0 Bulan 11 Hari </v>
      </c>
      <c r="K119" s="13">
        <f t="shared" ca="1" si="66"/>
        <v>2119680</v>
      </c>
      <c r="L119" s="13">
        <v>625</v>
      </c>
      <c r="M119" s="13">
        <v>10</v>
      </c>
      <c r="N119" s="13">
        <v>4149</v>
      </c>
      <c r="O119" s="22">
        <f t="shared" si="45"/>
        <v>414.9</v>
      </c>
      <c r="P119" s="13">
        <v>333</v>
      </c>
      <c r="Q119" s="23">
        <f t="shared" si="46"/>
        <v>0.8</v>
      </c>
      <c r="R119" s="24">
        <f t="shared" si="47"/>
        <v>4</v>
      </c>
      <c r="S119" s="25">
        <f t="shared" si="67"/>
        <v>0.80260303687635581</v>
      </c>
      <c r="T119" s="25">
        <f t="shared" si="48"/>
        <v>0.16052060737527118</v>
      </c>
      <c r="U119" s="26">
        <v>2.7945601851851853E-2</v>
      </c>
      <c r="V119" s="26">
        <v>2273.8069523533945</v>
      </c>
      <c r="W119" s="26">
        <v>9.6064814814814808E-4</v>
      </c>
      <c r="X119" s="27">
        <f t="shared" si="69"/>
        <v>1</v>
      </c>
      <c r="Y119" s="27">
        <f t="shared" si="72"/>
        <v>0</v>
      </c>
      <c r="Z119" s="27">
        <f t="shared" si="71"/>
        <v>1</v>
      </c>
      <c r="AA119" s="23">
        <f t="shared" si="75"/>
        <v>0.8</v>
      </c>
      <c r="AB119" s="24">
        <f t="shared" si="73"/>
        <v>2</v>
      </c>
      <c r="AC119" s="28">
        <f t="shared" si="52"/>
        <v>0.66666666666666663</v>
      </c>
      <c r="AD119" s="29">
        <f t="shared" si="53"/>
        <v>0.16666666666666666</v>
      </c>
      <c r="AE119" s="30">
        <v>5.2382778352887058E-2</v>
      </c>
      <c r="AF119" s="23">
        <f t="shared" si="54"/>
        <v>1</v>
      </c>
      <c r="AG119" s="24">
        <f t="shared" si="74"/>
        <v>4</v>
      </c>
      <c r="AH119" s="28">
        <f t="shared" si="56"/>
        <v>0.8</v>
      </c>
      <c r="AI119" s="29">
        <f t="shared" si="57"/>
        <v>0.2</v>
      </c>
      <c r="AJ119" s="31">
        <v>1</v>
      </c>
      <c r="AK119" s="31">
        <v>1</v>
      </c>
      <c r="AL119" s="31">
        <v>1</v>
      </c>
      <c r="AM119" s="31">
        <v>0</v>
      </c>
      <c r="AN119" s="31">
        <v>0</v>
      </c>
      <c r="AO119" s="31">
        <v>1</v>
      </c>
      <c r="AP119" s="31">
        <v>0</v>
      </c>
      <c r="AQ119" s="31">
        <v>1</v>
      </c>
      <c r="AR119" s="23">
        <f t="shared" si="58"/>
        <v>1</v>
      </c>
      <c r="AS119" s="24">
        <f t="shared" si="59"/>
        <v>5</v>
      </c>
      <c r="AT119" s="28">
        <f t="shared" si="60"/>
        <v>0.625</v>
      </c>
      <c r="AU119" s="28">
        <f t="shared" si="61"/>
        <v>9.375E-2</v>
      </c>
      <c r="AV119" s="32">
        <v>75</v>
      </c>
      <c r="AW119" s="32">
        <v>75</v>
      </c>
      <c r="AX119" s="32">
        <v>80</v>
      </c>
      <c r="AY119" s="32">
        <v>80</v>
      </c>
      <c r="AZ119" s="32">
        <v>80</v>
      </c>
      <c r="BA119" s="32">
        <v>100</v>
      </c>
      <c r="BB119" s="23">
        <f t="shared" ca="1" si="62"/>
        <v>0.8</v>
      </c>
      <c r="BC119" s="33">
        <f t="shared" si="68"/>
        <v>81.666666666666671</v>
      </c>
      <c r="BD119" s="28">
        <f t="shared" si="63"/>
        <v>0.93877551020408168</v>
      </c>
      <c r="BE119" s="28">
        <f t="shared" si="64"/>
        <v>0.18775510204081636</v>
      </c>
      <c r="BF119" s="34">
        <f ca="1">Q119+AA119+AF119+AR119+BB119</f>
        <v>4.4000000000000004</v>
      </c>
      <c r="BG119" s="34">
        <f>AVERAGE(AV119:AZ119)</f>
        <v>78</v>
      </c>
      <c r="BH119" s="35">
        <f>T119+AD119+AI119+AU119+BE119</f>
        <v>0.80869237608275424</v>
      </c>
      <c r="BI119" s="36" t="str">
        <f ca="1">IF(K119&lt;365,"New CE",(IF(BH119&gt;=100%,"Promote",IF(BH119&gt;=90%,"Sangat Baik",IF(BH119&gt;=80%,"Baik",IF(BH119&gt;=70%,"Lebih Dari Cukup",IF(BH119&gt;=60%,"Cukup","Kurang")))))))</f>
        <v>Baik</v>
      </c>
      <c r="BJ119" s="36" t="s">
        <v>860</v>
      </c>
      <c r="BK119" s="58" t="s">
        <v>48</v>
      </c>
      <c r="BL119" s="59" t="e">
        <v>#N/A</v>
      </c>
    </row>
    <row r="120" spans="1:64" x14ac:dyDescent="0.35">
      <c r="A120" s="19">
        <v>116</v>
      </c>
      <c r="B120" s="13" t="s">
        <v>343</v>
      </c>
      <c r="C120" s="20" t="s">
        <v>344</v>
      </c>
      <c r="D120" s="76" t="s">
        <v>48</v>
      </c>
      <c r="E120" s="13" t="s">
        <v>43</v>
      </c>
      <c r="F120" s="13" t="s">
        <v>44</v>
      </c>
      <c r="G120" s="13" t="s">
        <v>51</v>
      </c>
      <c r="H120" s="65">
        <v>44431</v>
      </c>
      <c r="I120" s="21">
        <f t="shared" ca="1" si="65"/>
        <v>45974</v>
      </c>
      <c r="J120" s="13" t="str">
        <f t="shared" ca="1" si="44"/>
        <v xml:space="preserve">4 Tahun 2 Bulan 21 Hari </v>
      </c>
      <c r="K120" s="13">
        <f t="shared" ca="1" si="66"/>
        <v>2221920</v>
      </c>
      <c r="L120" s="13">
        <v>1384</v>
      </c>
      <c r="M120" s="13">
        <v>22</v>
      </c>
      <c r="N120" s="13">
        <v>6775</v>
      </c>
      <c r="O120" s="22">
        <f t="shared" si="45"/>
        <v>307.95454545454544</v>
      </c>
      <c r="P120" s="13">
        <v>532</v>
      </c>
      <c r="Q120" s="23">
        <f t="shared" si="46"/>
        <v>1</v>
      </c>
      <c r="R120" s="24">
        <f t="shared" si="47"/>
        <v>5</v>
      </c>
      <c r="S120" s="25">
        <f t="shared" si="67"/>
        <v>1.7275276752767528</v>
      </c>
      <c r="T120" s="25">
        <f t="shared" si="48"/>
        <v>0.34550553505535059</v>
      </c>
      <c r="U120" s="26">
        <v>1465.3810748954602</v>
      </c>
      <c r="V120" s="26">
        <v>0</v>
      </c>
      <c r="W120" s="26">
        <v>0</v>
      </c>
      <c r="X120" s="27">
        <f t="shared" si="69"/>
        <v>0</v>
      </c>
      <c r="Y120" s="27">
        <f t="shared" si="72"/>
        <v>0</v>
      </c>
      <c r="Z120" s="27">
        <f t="shared" si="71"/>
        <v>0</v>
      </c>
      <c r="AA120" s="23">
        <f t="shared" si="75"/>
        <v>0</v>
      </c>
      <c r="AB120" s="24">
        <f t="shared" si="73"/>
        <v>0</v>
      </c>
      <c r="AC120" s="28">
        <f t="shared" si="52"/>
        <v>0</v>
      </c>
      <c r="AD120" s="29">
        <f t="shared" si="53"/>
        <v>0</v>
      </c>
      <c r="AE120" s="30">
        <v>5.1477293699949966E-2</v>
      </c>
      <c r="AF120" s="23">
        <f t="shared" si="54"/>
        <v>1</v>
      </c>
      <c r="AG120" s="24">
        <f t="shared" si="74"/>
        <v>4</v>
      </c>
      <c r="AH120" s="28">
        <f t="shared" si="56"/>
        <v>0.8</v>
      </c>
      <c r="AI120" s="29">
        <f t="shared" si="57"/>
        <v>0.2</v>
      </c>
      <c r="AJ120" s="31">
        <v>1</v>
      </c>
      <c r="AK120" s="31">
        <v>1</v>
      </c>
      <c r="AL120" s="31">
        <v>1</v>
      </c>
      <c r="AM120" s="31">
        <v>1</v>
      </c>
      <c r="AN120" s="31">
        <v>0</v>
      </c>
      <c r="AO120" s="31">
        <v>0</v>
      </c>
      <c r="AP120" s="31">
        <v>0</v>
      </c>
      <c r="AQ120" s="31">
        <v>0</v>
      </c>
      <c r="AR120" s="23">
        <f t="shared" si="58"/>
        <v>0.8</v>
      </c>
      <c r="AS120" s="24">
        <f t="shared" si="59"/>
        <v>4</v>
      </c>
      <c r="AT120" s="28">
        <f t="shared" si="60"/>
        <v>0.5</v>
      </c>
      <c r="AU120" s="28">
        <f t="shared" si="61"/>
        <v>7.4999999999999997E-2</v>
      </c>
      <c r="AV120" s="32">
        <v>75</v>
      </c>
      <c r="AW120" s="32">
        <v>75</v>
      </c>
      <c r="AX120" s="32">
        <v>80</v>
      </c>
      <c r="AY120" s="32">
        <v>80</v>
      </c>
      <c r="AZ120" s="32">
        <v>80</v>
      </c>
      <c r="BA120" s="32">
        <v>100</v>
      </c>
      <c r="BB120" s="23">
        <f t="shared" ca="1" si="62"/>
        <v>0.8</v>
      </c>
      <c r="BC120" s="33">
        <f t="shared" si="68"/>
        <v>81.666666666666671</v>
      </c>
      <c r="BD120" s="28">
        <f t="shared" si="63"/>
        <v>0.93877551020408168</v>
      </c>
      <c r="BE120" s="28">
        <f t="shared" si="64"/>
        <v>0.18775510204081636</v>
      </c>
      <c r="BF120" s="34">
        <f ca="1">Q120+AA120+AF120+AR120+BB120</f>
        <v>3.5999999999999996</v>
      </c>
      <c r="BG120" s="34">
        <f>AVERAGE(AV120:AZ120)</f>
        <v>78</v>
      </c>
      <c r="BH120" s="35">
        <f>T120+AD120+AI120+AU120+BE120</f>
        <v>0.80826063709616691</v>
      </c>
      <c r="BI120" s="36" t="str">
        <f ca="1">IF(K120&lt;365,"New CE",(IF(BH120&gt;=100%,"Promote",IF(BH120&gt;=90%,"Sangat Baik",IF(BH120&gt;=80%,"Baik",IF(BH120&gt;=70%,"Lebih Dari Cukup",IF(BH120&gt;=60%,"Cukup","Kurang")))))))</f>
        <v>Baik</v>
      </c>
      <c r="BJ120" s="36" t="s">
        <v>860</v>
      </c>
      <c r="BK120" s="58" t="s">
        <v>48</v>
      </c>
      <c r="BL120" s="59" t="e">
        <v>#N/A</v>
      </c>
    </row>
    <row r="121" spans="1:64" x14ac:dyDescent="0.35">
      <c r="A121" s="19">
        <v>117</v>
      </c>
      <c r="B121" s="13" t="s">
        <v>347</v>
      </c>
      <c r="C121" s="20" t="s">
        <v>348</v>
      </c>
      <c r="D121" s="76" t="s">
        <v>48</v>
      </c>
      <c r="E121" s="13" t="s">
        <v>349</v>
      </c>
      <c r="F121" s="13" t="s">
        <v>50</v>
      </c>
      <c r="G121" s="13" t="s">
        <v>55</v>
      </c>
      <c r="H121" s="65">
        <v>44795</v>
      </c>
      <c r="I121" s="21">
        <f t="shared" ca="1" si="65"/>
        <v>45974</v>
      </c>
      <c r="J121" s="13" t="str">
        <f t="shared" ca="1" si="44"/>
        <v xml:space="preserve">3 Tahun 2 Bulan 22 Hari </v>
      </c>
      <c r="K121" s="13">
        <f t="shared" ca="1" si="66"/>
        <v>1697760</v>
      </c>
      <c r="L121" s="13">
        <v>338</v>
      </c>
      <c r="M121" s="13">
        <v>6</v>
      </c>
      <c r="N121" s="13">
        <v>2750</v>
      </c>
      <c r="O121" s="22">
        <f t="shared" si="45"/>
        <v>458.33333333333331</v>
      </c>
      <c r="P121" s="13">
        <v>471</v>
      </c>
      <c r="Q121" s="23">
        <f t="shared" si="46"/>
        <v>1</v>
      </c>
      <c r="R121" s="24">
        <f t="shared" si="47"/>
        <v>5</v>
      </c>
      <c r="S121" s="25">
        <f t="shared" si="67"/>
        <v>1.0276363636363637</v>
      </c>
      <c r="T121" s="25">
        <f t="shared" si="48"/>
        <v>0.20552727272727275</v>
      </c>
      <c r="U121" s="26">
        <v>13312.407867975739</v>
      </c>
      <c r="V121" s="26">
        <v>1.7746913580246916E-4</v>
      </c>
      <c r="W121" s="26">
        <v>0</v>
      </c>
      <c r="X121" s="27">
        <f t="shared" si="69"/>
        <v>0</v>
      </c>
      <c r="Y121" s="27">
        <f t="shared" si="72"/>
        <v>1</v>
      </c>
      <c r="Z121" s="27">
        <f t="shared" si="71"/>
        <v>0</v>
      </c>
      <c r="AA121" s="23">
        <f t="shared" si="75"/>
        <v>0.4</v>
      </c>
      <c r="AB121" s="24">
        <f t="shared" si="73"/>
        <v>1</v>
      </c>
      <c r="AC121" s="28">
        <f t="shared" si="52"/>
        <v>0.33333333333333331</v>
      </c>
      <c r="AD121" s="29">
        <f t="shared" si="53"/>
        <v>8.3333333333333329E-2</v>
      </c>
      <c r="AE121" s="30">
        <v>4.7190340565238437E-2</v>
      </c>
      <c r="AF121" s="23">
        <f t="shared" si="54"/>
        <v>1</v>
      </c>
      <c r="AG121" s="24">
        <f t="shared" si="74"/>
        <v>4</v>
      </c>
      <c r="AH121" s="28">
        <f t="shared" si="56"/>
        <v>0.8</v>
      </c>
      <c r="AI121" s="29">
        <f t="shared" si="57"/>
        <v>0.2</v>
      </c>
      <c r="AJ121" s="31">
        <v>1</v>
      </c>
      <c r="AK121" s="31">
        <v>1</v>
      </c>
      <c r="AL121" s="31">
        <v>1</v>
      </c>
      <c r="AM121" s="31">
        <v>0</v>
      </c>
      <c r="AN121" s="31">
        <v>1</v>
      </c>
      <c r="AO121" s="31">
        <v>1</v>
      </c>
      <c r="AP121" s="31">
        <v>1</v>
      </c>
      <c r="AQ121" s="31">
        <v>1</v>
      </c>
      <c r="AR121" s="23">
        <f t="shared" si="58"/>
        <v>1</v>
      </c>
      <c r="AS121" s="24">
        <f t="shared" si="59"/>
        <v>7</v>
      </c>
      <c r="AT121" s="28">
        <f t="shared" si="60"/>
        <v>0.875</v>
      </c>
      <c r="AU121" s="28">
        <f t="shared" si="61"/>
        <v>0.13125000000000001</v>
      </c>
      <c r="AV121" s="32">
        <v>80</v>
      </c>
      <c r="AW121" s="32">
        <v>80</v>
      </c>
      <c r="AX121" s="32">
        <v>90</v>
      </c>
      <c r="AY121" s="32">
        <v>90</v>
      </c>
      <c r="AZ121" s="32">
        <v>85</v>
      </c>
      <c r="BA121" s="32">
        <v>100</v>
      </c>
      <c r="BB121" s="23">
        <f t="shared" ca="1" si="62"/>
        <v>0.8</v>
      </c>
      <c r="BC121" s="33">
        <f t="shared" si="68"/>
        <v>87.5</v>
      </c>
      <c r="BD121" s="28">
        <f t="shared" si="63"/>
        <v>0.94285714285714284</v>
      </c>
      <c r="BE121" s="28">
        <f t="shared" si="64"/>
        <v>0.18857142857142858</v>
      </c>
      <c r="BF121" s="34">
        <f ca="1">Q121+AA121+AF121+AR121+BB121</f>
        <v>4.2</v>
      </c>
      <c r="BG121" s="34">
        <f>AVERAGE(AV121:AZ121)</f>
        <v>85</v>
      </c>
      <c r="BH121" s="35">
        <f>T121+AD121+AI121+AU121+BE121</f>
        <v>0.8086820346320347</v>
      </c>
      <c r="BI121" s="36" t="str">
        <f ca="1">IF(K121&lt;365,"New CE",(IF(BH121&gt;=100%,"Promote",IF(BH121&gt;=90%,"Sangat Baik",IF(BH121&gt;=80%,"Baik",IF(BH121&gt;=70%,"Lebih Dari Cukup",IF(BH121&gt;=60%,"Cukup","Kurang")))))))</f>
        <v>Baik</v>
      </c>
      <c r="BJ121" s="36" t="s">
        <v>855</v>
      </c>
      <c r="BK121" s="58" t="s">
        <v>851</v>
      </c>
      <c r="BL121" s="59" t="e">
        <v>#N/A</v>
      </c>
    </row>
    <row r="122" spans="1:64" x14ac:dyDescent="0.35">
      <c r="A122" s="19">
        <v>118</v>
      </c>
      <c r="B122" s="13" t="s">
        <v>350</v>
      </c>
      <c r="C122" s="20" t="s">
        <v>351</v>
      </c>
      <c r="D122" s="76" t="s">
        <v>54</v>
      </c>
      <c r="E122" s="13" t="s">
        <v>212</v>
      </c>
      <c r="F122" s="13" t="s">
        <v>74</v>
      </c>
      <c r="G122" s="13" t="s">
        <v>61</v>
      </c>
      <c r="H122" s="65">
        <v>44966</v>
      </c>
      <c r="I122" s="21">
        <f t="shared" ca="1" si="65"/>
        <v>45974</v>
      </c>
      <c r="J122" s="13" t="str">
        <f t="shared" ca="1" si="44"/>
        <v xml:space="preserve">2 Tahun 9 Bulan 4 Hari </v>
      </c>
      <c r="K122" s="13">
        <f t="shared" ca="1" si="66"/>
        <v>1451520</v>
      </c>
      <c r="L122" s="13">
        <v>103</v>
      </c>
      <c r="M122" s="13">
        <v>2</v>
      </c>
      <c r="N122" s="13">
        <v>733</v>
      </c>
      <c r="O122" s="22">
        <f t="shared" si="45"/>
        <v>366.5</v>
      </c>
      <c r="P122" s="13">
        <v>422</v>
      </c>
      <c r="Q122" s="23">
        <f t="shared" si="46"/>
        <v>1</v>
      </c>
      <c r="R122" s="24">
        <f t="shared" si="47"/>
        <v>5</v>
      </c>
      <c r="S122" s="25">
        <f t="shared" si="67"/>
        <v>1.1514324693042293</v>
      </c>
      <c r="T122" s="25">
        <f t="shared" si="48"/>
        <v>0.23028649386084588</v>
      </c>
      <c r="U122" s="26">
        <v>26207.6021906161</v>
      </c>
      <c r="V122" s="26">
        <v>29429.481647603487</v>
      </c>
      <c r="W122" s="26">
        <v>27259.551745370376</v>
      </c>
      <c r="X122" s="27">
        <f t="shared" si="69"/>
        <v>0</v>
      </c>
      <c r="Y122" s="27">
        <f t="shared" si="72"/>
        <v>0</v>
      </c>
      <c r="Z122" s="27">
        <f t="shared" si="71"/>
        <v>1</v>
      </c>
      <c r="AA122" s="23">
        <f t="shared" si="75"/>
        <v>0.4</v>
      </c>
      <c r="AB122" s="24">
        <f t="shared" si="73"/>
        <v>1</v>
      </c>
      <c r="AC122" s="28">
        <f t="shared" si="52"/>
        <v>0.33333333333333331</v>
      </c>
      <c r="AD122" s="29">
        <f t="shared" si="53"/>
        <v>8.3333333333333329E-2</v>
      </c>
      <c r="AE122" s="30">
        <v>3.8335076020622888E-2</v>
      </c>
      <c r="AF122" s="23">
        <f t="shared" si="54"/>
        <v>1.25</v>
      </c>
      <c r="AG122" s="24">
        <f t="shared" si="74"/>
        <v>5</v>
      </c>
      <c r="AH122" s="28">
        <f t="shared" si="56"/>
        <v>1</v>
      </c>
      <c r="AI122" s="29">
        <f t="shared" si="57"/>
        <v>0.25</v>
      </c>
      <c r="AJ122" s="31">
        <v>1</v>
      </c>
      <c r="AK122" s="31">
        <v>1</v>
      </c>
      <c r="AL122" s="31">
        <v>1</v>
      </c>
      <c r="AM122" s="31">
        <v>0</v>
      </c>
      <c r="AN122" s="31">
        <v>0</v>
      </c>
      <c r="AO122" s="31">
        <v>0</v>
      </c>
      <c r="AP122" s="31">
        <v>0</v>
      </c>
      <c r="AQ122" s="31">
        <v>0</v>
      </c>
      <c r="AR122" s="23">
        <f t="shared" si="58"/>
        <v>0.6</v>
      </c>
      <c r="AS122" s="24">
        <f t="shared" si="59"/>
        <v>3</v>
      </c>
      <c r="AT122" s="28">
        <f t="shared" si="60"/>
        <v>0.375</v>
      </c>
      <c r="AU122" s="28">
        <f t="shared" si="61"/>
        <v>5.6249999999999994E-2</v>
      </c>
      <c r="AV122" s="32">
        <v>75</v>
      </c>
      <c r="AW122" s="32">
        <v>75</v>
      </c>
      <c r="AX122" s="32">
        <v>85</v>
      </c>
      <c r="AY122" s="32">
        <v>85</v>
      </c>
      <c r="AZ122" s="32">
        <v>85</v>
      </c>
      <c r="BA122" s="32">
        <v>100</v>
      </c>
      <c r="BB122" s="23">
        <f t="shared" ca="1" si="62"/>
        <v>0.8</v>
      </c>
      <c r="BC122" s="33">
        <f t="shared" si="68"/>
        <v>84.166666666666671</v>
      </c>
      <c r="BD122" s="28">
        <f t="shared" si="63"/>
        <v>0.94059405940594054</v>
      </c>
      <c r="BE122" s="28">
        <f t="shared" si="64"/>
        <v>0.18811881188118812</v>
      </c>
      <c r="BF122" s="34">
        <f ca="1">Q122+AA122+AF122+AR122+BB122</f>
        <v>4.05</v>
      </c>
      <c r="BG122" s="34">
        <f>AVERAGE(AV122:AZ122)</f>
        <v>81</v>
      </c>
      <c r="BH122" s="35">
        <f>T122+AD122+AI122+AU122+BE122</f>
        <v>0.80798863907536744</v>
      </c>
      <c r="BI122" s="36" t="str">
        <f ca="1">IF(K122&lt;365,"New CE",(IF(BH122&gt;=100%,"Promote",IF(BH122&gt;=90%,"Sangat Baik",IF(BH122&gt;=80%,"Baik",IF(BH122&gt;=70%,"Lebih Dari Cukup",IF(BH122&gt;=60%,"Cukup","Kurang")))))))</f>
        <v>Baik</v>
      </c>
      <c r="BJ122" s="36" t="s">
        <v>855</v>
      </c>
      <c r="BK122" s="58" t="s">
        <v>48</v>
      </c>
      <c r="BL122" s="59" t="str">
        <v>Ahmadi Saputra</v>
      </c>
    </row>
    <row r="123" spans="1:64" x14ac:dyDescent="0.35">
      <c r="A123" s="19">
        <v>119</v>
      </c>
      <c r="B123" s="13" t="s">
        <v>352</v>
      </c>
      <c r="C123" s="20" t="s">
        <v>353</v>
      </c>
      <c r="D123" s="76" t="s">
        <v>48</v>
      </c>
      <c r="E123" s="13" t="s">
        <v>325</v>
      </c>
      <c r="F123" s="13" t="s">
        <v>44</v>
      </c>
      <c r="G123" s="13" t="s">
        <v>51</v>
      </c>
      <c r="H123" s="65">
        <v>44746</v>
      </c>
      <c r="I123" s="21">
        <f t="shared" ca="1" si="65"/>
        <v>45974</v>
      </c>
      <c r="J123" s="13" t="str">
        <f t="shared" ca="1" si="44"/>
        <v xml:space="preserve">3 Tahun 4 Bulan 9 Hari </v>
      </c>
      <c r="K123" s="13">
        <f t="shared" ca="1" si="66"/>
        <v>1768320</v>
      </c>
      <c r="L123" s="13">
        <v>241</v>
      </c>
      <c r="M123" s="13">
        <v>4</v>
      </c>
      <c r="N123" s="13">
        <v>1968</v>
      </c>
      <c r="O123" s="22">
        <f t="shared" si="45"/>
        <v>492</v>
      </c>
      <c r="P123" s="13">
        <v>484</v>
      </c>
      <c r="Q123" s="23">
        <f t="shared" si="46"/>
        <v>0.8</v>
      </c>
      <c r="R123" s="24">
        <f t="shared" si="47"/>
        <v>4</v>
      </c>
      <c r="S123" s="25">
        <f t="shared" si="67"/>
        <v>0.98373983739837401</v>
      </c>
      <c r="T123" s="25">
        <f t="shared" si="48"/>
        <v>0.19674796747967482</v>
      </c>
      <c r="U123" s="26">
        <v>8.1944444444444445E-2</v>
      </c>
      <c r="V123" s="26">
        <v>0.14583333333333334</v>
      </c>
      <c r="W123" s="26">
        <v>0.15931712962962963</v>
      </c>
      <c r="X123" s="27">
        <v>1</v>
      </c>
      <c r="Y123" s="27">
        <f t="shared" si="72"/>
        <v>0</v>
      </c>
      <c r="Z123" s="27">
        <f t="shared" si="71"/>
        <v>1</v>
      </c>
      <c r="AA123" s="23">
        <f t="shared" si="75"/>
        <v>0.8</v>
      </c>
      <c r="AB123" s="24">
        <f t="shared" si="73"/>
        <v>2</v>
      </c>
      <c r="AC123" s="28">
        <f t="shared" si="52"/>
        <v>0.66666666666666663</v>
      </c>
      <c r="AD123" s="29">
        <f t="shared" si="53"/>
        <v>0.16666666666666666</v>
      </c>
      <c r="AE123" s="30">
        <v>5.3674982350385585E-2</v>
      </c>
      <c r="AF123" s="23">
        <f t="shared" si="54"/>
        <v>1</v>
      </c>
      <c r="AG123" s="24">
        <f t="shared" si="74"/>
        <v>4</v>
      </c>
      <c r="AH123" s="28">
        <f t="shared" si="56"/>
        <v>0.8</v>
      </c>
      <c r="AI123" s="29">
        <f t="shared" si="57"/>
        <v>0.2</v>
      </c>
      <c r="AJ123" s="31">
        <v>1</v>
      </c>
      <c r="AK123" s="31">
        <v>1</v>
      </c>
      <c r="AL123" s="31">
        <v>1</v>
      </c>
      <c r="AM123" s="31">
        <v>0</v>
      </c>
      <c r="AN123" s="31">
        <v>0</v>
      </c>
      <c r="AO123" s="31">
        <v>0</v>
      </c>
      <c r="AP123" s="31">
        <v>0</v>
      </c>
      <c r="AQ123" s="31">
        <v>0</v>
      </c>
      <c r="AR123" s="23">
        <f t="shared" si="58"/>
        <v>0.6</v>
      </c>
      <c r="AS123" s="24">
        <f t="shared" si="59"/>
        <v>3</v>
      </c>
      <c r="AT123" s="28">
        <f t="shared" si="60"/>
        <v>0.375</v>
      </c>
      <c r="AU123" s="28">
        <f t="shared" si="61"/>
        <v>5.6249999999999994E-2</v>
      </c>
      <c r="AV123" s="32">
        <v>75</v>
      </c>
      <c r="AW123" s="32">
        <v>75</v>
      </c>
      <c r="AX123" s="32">
        <v>90</v>
      </c>
      <c r="AY123" s="32">
        <v>90</v>
      </c>
      <c r="AZ123" s="32">
        <v>90</v>
      </c>
      <c r="BA123" s="32">
        <v>100</v>
      </c>
      <c r="BB123" s="23">
        <f t="shared" ca="1" si="62"/>
        <v>0.8</v>
      </c>
      <c r="BC123" s="33">
        <f t="shared" si="68"/>
        <v>86.666666666666671</v>
      </c>
      <c r="BD123" s="28">
        <f t="shared" si="63"/>
        <v>0.94230769230769229</v>
      </c>
      <c r="BE123" s="28">
        <f t="shared" si="64"/>
        <v>0.18846153846153846</v>
      </c>
      <c r="BF123" s="34">
        <f ca="1">Q123+AA123+AF123+AR123+BB123</f>
        <v>4</v>
      </c>
      <c r="BG123" s="34">
        <f>AVERAGE(AV123:AZ123)</f>
        <v>84</v>
      </c>
      <c r="BH123" s="35">
        <f>T123+AD123+AI123+AU123+BE123</f>
        <v>0.80812617260788</v>
      </c>
      <c r="BI123" s="36" t="str">
        <f ca="1">IF(K123&lt;365,"New CE",(IF(BH123&gt;=100%,"Promote",IF(BH123&gt;=90%,"Sangat Baik",IF(BH123&gt;=80%,"Baik",IF(BH123&gt;=70%,"Lebih Dari Cukup",IF(BH123&gt;=60%,"Cukup","Kurang")))))))</f>
        <v>Baik</v>
      </c>
      <c r="BJ123" s="36" t="s">
        <v>855</v>
      </c>
      <c r="BK123" s="58" t="s">
        <v>851</v>
      </c>
      <c r="BL123" s="59" t="e">
        <v>#N/A</v>
      </c>
    </row>
    <row r="124" spans="1:64" x14ac:dyDescent="0.35">
      <c r="A124" s="19">
        <v>120</v>
      </c>
      <c r="B124" s="13" t="s">
        <v>354</v>
      </c>
      <c r="C124" s="20" t="s">
        <v>355</v>
      </c>
      <c r="D124" s="76" t="s">
        <v>48</v>
      </c>
      <c r="E124" s="13" t="s">
        <v>187</v>
      </c>
      <c r="F124" s="13" t="s">
        <v>74</v>
      </c>
      <c r="G124" s="13" t="s">
        <v>51</v>
      </c>
      <c r="H124" s="65">
        <v>44746</v>
      </c>
      <c r="I124" s="21">
        <f t="shared" ca="1" si="65"/>
        <v>45974</v>
      </c>
      <c r="J124" s="13" t="str">
        <f t="shared" ca="1" si="44"/>
        <v xml:space="preserve">3 Tahun 4 Bulan 9 Hari </v>
      </c>
      <c r="K124" s="13">
        <f t="shared" ca="1" si="66"/>
        <v>1768320</v>
      </c>
      <c r="L124" s="13">
        <v>684</v>
      </c>
      <c r="M124" s="13">
        <v>10</v>
      </c>
      <c r="N124" s="13">
        <v>4972</v>
      </c>
      <c r="O124" s="22">
        <f t="shared" si="45"/>
        <v>497.2</v>
      </c>
      <c r="P124" s="13">
        <v>569</v>
      </c>
      <c r="Q124" s="23">
        <f t="shared" si="46"/>
        <v>1</v>
      </c>
      <c r="R124" s="24">
        <f t="shared" si="47"/>
        <v>5</v>
      </c>
      <c r="S124" s="25">
        <f t="shared" si="67"/>
        <v>1.1444086886564764</v>
      </c>
      <c r="T124" s="25">
        <f t="shared" si="48"/>
        <v>0.22888173773129528</v>
      </c>
      <c r="U124" s="26">
        <v>20646.647385837539</v>
      </c>
      <c r="V124" s="26">
        <v>27987.163856837607</v>
      </c>
      <c r="W124" s="26">
        <v>30255.798074845679</v>
      </c>
      <c r="X124" s="27">
        <f t="shared" ref="X124:X131" si="76">IF(U124=TIME(0,0,0), 0, IF(U124&lt;=TIME(1,30,0), 1, 0))</f>
        <v>0</v>
      </c>
      <c r="Y124" s="27">
        <f t="shared" si="72"/>
        <v>0</v>
      </c>
      <c r="Z124" s="27">
        <f t="shared" si="71"/>
        <v>1</v>
      </c>
      <c r="AA124" s="23">
        <f t="shared" si="75"/>
        <v>0.4</v>
      </c>
      <c r="AB124" s="24">
        <f t="shared" si="73"/>
        <v>1</v>
      </c>
      <c r="AC124" s="28">
        <f t="shared" si="52"/>
        <v>0.33333333333333331</v>
      </c>
      <c r="AD124" s="29">
        <f t="shared" si="53"/>
        <v>8.3333333333333329E-2</v>
      </c>
      <c r="AE124" s="30">
        <v>3.1982348284431611E-2</v>
      </c>
      <c r="AF124" s="23">
        <f t="shared" si="54"/>
        <v>1.25</v>
      </c>
      <c r="AG124" s="24">
        <f t="shared" si="74"/>
        <v>5</v>
      </c>
      <c r="AH124" s="28">
        <f t="shared" si="56"/>
        <v>1</v>
      </c>
      <c r="AI124" s="29">
        <f t="shared" si="57"/>
        <v>0.25</v>
      </c>
      <c r="AJ124" s="31">
        <v>1</v>
      </c>
      <c r="AK124" s="31">
        <v>1</v>
      </c>
      <c r="AL124" s="31">
        <v>0</v>
      </c>
      <c r="AM124" s="31">
        <v>0</v>
      </c>
      <c r="AN124" s="31">
        <v>0</v>
      </c>
      <c r="AO124" s="31">
        <v>0</v>
      </c>
      <c r="AP124" s="31">
        <v>0</v>
      </c>
      <c r="AQ124" s="31">
        <v>1</v>
      </c>
      <c r="AR124" s="23">
        <f t="shared" si="58"/>
        <v>0.6</v>
      </c>
      <c r="AS124" s="24">
        <f t="shared" si="59"/>
        <v>3</v>
      </c>
      <c r="AT124" s="28">
        <f t="shared" si="60"/>
        <v>0.375</v>
      </c>
      <c r="AU124" s="28">
        <f t="shared" si="61"/>
        <v>5.6249999999999994E-2</v>
      </c>
      <c r="AV124" s="32">
        <v>75</v>
      </c>
      <c r="AW124" s="32">
        <v>75</v>
      </c>
      <c r="AX124" s="32">
        <v>80</v>
      </c>
      <c r="AY124" s="32">
        <v>80</v>
      </c>
      <c r="AZ124" s="32">
        <v>80</v>
      </c>
      <c r="BA124" s="32">
        <v>100</v>
      </c>
      <c r="BB124" s="23">
        <f t="shared" ca="1" si="62"/>
        <v>0.8</v>
      </c>
      <c r="BC124" s="33">
        <f t="shared" si="68"/>
        <v>81.666666666666671</v>
      </c>
      <c r="BD124" s="28">
        <f t="shared" si="63"/>
        <v>0.93877551020408168</v>
      </c>
      <c r="BE124" s="28">
        <f t="shared" si="64"/>
        <v>0.18775510204081636</v>
      </c>
      <c r="BF124" s="34">
        <f ca="1">Q124+AA124+AF124+AR124+BB124</f>
        <v>4.05</v>
      </c>
      <c r="BG124" s="34">
        <f>AVERAGE(AV124:AZ124)</f>
        <v>78</v>
      </c>
      <c r="BH124" s="35">
        <f>T124+AD124+AI124+AU124+BE124</f>
        <v>0.80622017310544491</v>
      </c>
      <c r="BI124" s="36" t="str">
        <f ca="1">IF(K124&lt;365,"New CE",(IF(BH124&gt;=100%,"Promote",IF(BH124&gt;=90%,"Sangat Baik",IF(BH124&gt;=80%,"Baik",IF(BH124&gt;=70%,"Lebih Dari Cukup",IF(BH124&gt;=60%,"Cukup","Kurang")))))))</f>
        <v>Baik</v>
      </c>
      <c r="BJ124" s="36" t="s">
        <v>860</v>
      </c>
      <c r="BK124" s="58" t="s">
        <v>48</v>
      </c>
      <c r="BL124" s="59" t="str">
        <v>Muhammad Fikri Nurhadi</v>
      </c>
    </row>
    <row r="125" spans="1:64" x14ac:dyDescent="0.35">
      <c r="A125" s="19">
        <v>121</v>
      </c>
      <c r="B125" s="13" t="s">
        <v>356</v>
      </c>
      <c r="C125" s="20" t="s">
        <v>357</v>
      </c>
      <c r="D125" s="76" t="s">
        <v>54</v>
      </c>
      <c r="E125" s="13" t="s">
        <v>182</v>
      </c>
      <c r="F125" s="13" t="s">
        <v>74</v>
      </c>
      <c r="G125" s="13" t="s">
        <v>75</v>
      </c>
      <c r="H125" s="65">
        <v>45231</v>
      </c>
      <c r="I125" s="21">
        <f t="shared" ca="1" si="65"/>
        <v>45974</v>
      </c>
      <c r="J125" s="13" t="str">
        <f t="shared" ca="1" si="44"/>
        <v xml:space="preserve">2 Tahun 0 Bulan 12 Hari </v>
      </c>
      <c r="K125" s="13">
        <f t="shared" ca="1" si="66"/>
        <v>1069920</v>
      </c>
      <c r="L125" s="13">
        <v>612</v>
      </c>
      <c r="M125" s="13">
        <v>11</v>
      </c>
      <c r="N125" s="13">
        <v>5254</v>
      </c>
      <c r="O125" s="22">
        <f t="shared" si="45"/>
        <v>477.63636363636363</v>
      </c>
      <c r="P125" s="13">
        <v>377</v>
      </c>
      <c r="Q125" s="23">
        <f t="shared" si="46"/>
        <v>0.6</v>
      </c>
      <c r="R125" s="24">
        <f t="shared" si="47"/>
        <v>3</v>
      </c>
      <c r="S125" s="25">
        <f t="shared" si="67"/>
        <v>0.78930338789493726</v>
      </c>
      <c r="T125" s="25">
        <f t="shared" si="48"/>
        <v>0.15786067757898747</v>
      </c>
      <c r="U125" s="26">
        <v>746.45758395947144</v>
      </c>
      <c r="V125" s="26">
        <v>3.5879629629629624E-4</v>
      </c>
      <c r="W125" s="26">
        <v>8.2175925925925927E-4</v>
      </c>
      <c r="X125" s="27">
        <f t="shared" si="76"/>
        <v>0</v>
      </c>
      <c r="Y125" s="27">
        <f t="shared" si="72"/>
        <v>1</v>
      </c>
      <c r="Z125" s="27">
        <f t="shared" si="71"/>
        <v>1</v>
      </c>
      <c r="AA125" s="23">
        <f t="shared" si="75"/>
        <v>0.8</v>
      </c>
      <c r="AB125" s="24">
        <f t="shared" si="73"/>
        <v>2</v>
      </c>
      <c r="AC125" s="28">
        <f t="shared" si="52"/>
        <v>0.66666666666666663</v>
      </c>
      <c r="AD125" s="29">
        <f t="shared" si="53"/>
        <v>0.16666666666666666</v>
      </c>
      <c r="AE125" s="30">
        <v>8.080306372549019E-2</v>
      </c>
      <c r="AF125" s="23">
        <f t="shared" si="54"/>
        <v>1</v>
      </c>
      <c r="AG125" s="24">
        <f t="shared" si="74"/>
        <v>4</v>
      </c>
      <c r="AH125" s="28">
        <f t="shared" si="56"/>
        <v>0.8</v>
      </c>
      <c r="AI125" s="29">
        <f t="shared" si="57"/>
        <v>0.2</v>
      </c>
      <c r="AJ125" s="31">
        <v>1</v>
      </c>
      <c r="AK125" s="31">
        <v>1</v>
      </c>
      <c r="AL125" s="31">
        <v>1</v>
      </c>
      <c r="AM125" s="31">
        <v>1</v>
      </c>
      <c r="AN125" s="31">
        <v>0</v>
      </c>
      <c r="AO125" s="31">
        <v>1</v>
      </c>
      <c r="AP125" s="31">
        <v>0</v>
      </c>
      <c r="AQ125" s="31">
        <v>0</v>
      </c>
      <c r="AR125" s="23">
        <f t="shared" si="58"/>
        <v>1</v>
      </c>
      <c r="AS125" s="24">
        <f t="shared" si="59"/>
        <v>5</v>
      </c>
      <c r="AT125" s="28">
        <f t="shared" si="60"/>
        <v>0.625</v>
      </c>
      <c r="AU125" s="28">
        <f t="shared" si="61"/>
        <v>9.375E-2</v>
      </c>
      <c r="AV125" s="32">
        <v>75</v>
      </c>
      <c r="AW125" s="32">
        <v>75</v>
      </c>
      <c r="AX125" s="32">
        <v>85</v>
      </c>
      <c r="AY125" s="32">
        <v>90</v>
      </c>
      <c r="AZ125" s="32">
        <v>85</v>
      </c>
      <c r="BA125" s="32">
        <v>100</v>
      </c>
      <c r="BB125" s="23">
        <f t="shared" ca="1" si="62"/>
        <v>0.8</v>
      </c>
      <c r="BC125" s="33">
        <f t="shared" si="68"/>
        <v>85</v>
      </c>
      <c r="BD125" s="28">
        <f t="shared" si="63"/>
        <v>0.94117647058823528</v>
      </c>
      <c r="BE125" s="28">
        <f t="shared" si="64"/>
        <v>0.18823529411764706</v>
      </c>
      <c r="BF125" s="34">
        <f ca="1">Q125+AA125+AF125+AR125+BB125</f>
        <v>4.2</v>
      </c>
      <c r="BG125" s="34">
        <f>AVERAGE(AV125:AZ125)</f>
        <v>82</v>
      </c>
      <c r="BH125" s="35">
        <f>T125+AD125+AI125+AU125+BE125</f>
        <v>0.80651263836330123</v>
      </c>
      <c r="BI125" s="36" t="str">
        <f ca="1">IF(K125&lt;365,"New CE",(IF(BH125&gt;=100%,"Promote",IF(BH125&gt;=90%,"Sangat Baik",IF(BH125&gt;=80%,"Baik",IF(BH125&gt;=70%,"Lebih Dari Cukup",IF(BH125&gt;=60%,"Cukup","Kurang")))))))</f>
        <v>Baik</v>
      </c>
      <c r="BJ125" s="36" t="s">
        <v>855</v>
      </c>
      <c r="BK125" s="58" t="s">
        <v>48</v>
      </c>
      <c r="BL125" s="59" t="str">
        <v>Muhammad Faisol</v>
      </c>
    </row>
    <row r="126" spans="1:64" x14ac:dyDescent="0.35">
      <c r="A126" s="19">
        <v>122</v>
      </c>
      <c r="B126" s="13" t="s">
        <v>358</v>
      </c>
      <c r="C126" s="20" t="s">
        <v>359</v>
      </c>
      <c r="D126" s="76" t="s">
        <v>54</v>
      </c>
      <c r="E126" s="13" t="s">
        <v>67</v>
      </c>
      <c r="F126" s="13" t="s">
        <v>44</v>
      </c>
      <c r="G126" s="13" t="s">
        <v>61</v>
      </c>
      <c r="H126" s="65">
        <v>45173</v>
      </c>
      <c r="I126" s="21">
        <f t="shared" ca="1" si="65"/>
        <v>45974</v>
      </c>
      <c r="J126" s="13" t="str">
        <f t="shared" ca="1" si="44"/>
        <v xml:space="preserve">2 Tahun 2 Bulan 9 Hari </v>
      </c>
      <c r="K126" s="13">
        <f t="shared" ca="1" si="66"/>
        <v>1153440</v>
      </c>
      <c r="L126" s="13">
        <v>625</v>
      </c>
      <c r="M126" s="13">
        <v>10</v>
      </c>
      <c r="N126" s="13">
        <v>4149</v>
      </c>
      <c r="O126" s="22">
        <f t="shared" si="45"/>
        <v>414.9</v>
      </c>
      <c r="P126" s="13">
        <v>405</v>
      </c>
      <c r="Q126" s="23">
        <f t="shared" si="46"/>
        <v>0.8</v>
      </c>
      <c r="R126" s="24">
        <f t="shared" si="47"/>
        <v>4</v>
      </c>
      <c r="S126" s="25">
        <f t="shared" si="67"/>
        <v>0.97613882863340573</v>
      </c>
      <c r="T126" s="25">
        <f t="shared" si="48"/>
        <v>0.19522776572668116</v>
      </c>
      <c r="U126" s="26">
        <v>2601.4492400793656</v>
      </c>
      <c r="V126" s="26">
        <v>2.1935185185185186E-2</v>
      </c>
      <c r="W126" s="26">
        <v>1.2500000000000001E-2</v>
      </c>
      <c r="X126" s="27">
        <f t="shared" si="76"/>
        <v>0</v>
      </c>
      <c r="Y126" s="27">
        <f t="shared" si="72"/>
        <v>1</v>
      </c>
      <c r="Z126" s="27">
        <f t="shared" si="71"/>
        <v>1</v>
      </c>
      <c r="AA126" s="23">
        <f t="shared" si="75"/>
        <v>0.8</v>
      </c>
      <c r="AB126" s="24">
        <f t="shared" si="73"/>
        <v>2</v>
      </c>
      <c r="AC126" s="28">
        <f t="shared" si="52"/>
        <v>0.66666666666666663</v>
      </c>
      <c r="AD126" s="29">
        <f t="shared" si="53"/>
        <v>0.16666666666666666</v>
      </c>
      <c r="AE126" s="30">
        <v>6.1828303062678058E-2</v>
      </c>
      <c r="AF126" s="23">
        <f t="shared" si="54"/>
        <v>1</v>
      </c>
      <c r="AG126" s="24">
        <f t="shared" si="74"/>
        <v>4</v>
      </c>
      <c r="AH126" s="28">
        <f t="shared" si="56"/>
        <v>0.8</v>
      </c>
      <c r="AI126" s="29">
        <f t="shared" si="57"/>
        <v>0.2</v>
      </c>
      <c r="AJ126" s="31">
        <v>1</v>
      </c>
      <c r="AK126" s="31">
        <v>1</v>
      </c>
      <c r="AL126" s="31">
        <v>1</v>
      </c>
      <c r="AM126" s="31">
        <v>0</v>
      </c>
      <c r="AN126" s="31">
        <v>0</v>
      </c>
      <c r="AO126" s="31">
        <v>0</v>
      </c>
      <c r="AP126" s="31">
        <v>0</v>
      </c>
      <c r="AQ126" s="31">
        <v>0</v>
      </c>
      <c r="AR126" s="23">
        <f t="shared" si="58"/>
        <v>0.6</v>
      </c>
      <c r="AS126" s="24">
        <f t="shared" si="59"/>
        <v>3</v>
      </c>
      <c r="AT126" s="28">
        <f t="shared" si="60"/>
        <v>0.375</v>
      </c>
      <c r="AU126" s="28">
        <f t="shared" si="61"/>
        <v>5.6249999999999994E-2</v>
      </c>
      <c r="AV126" s="32">
        <v>75</v>
      </c>
      <c r="AW126" s="32">
        <v>75</v>
      </c>
      <c r="AX126" s="32">
        <v>80</v>
      </c>
      <c r="AY126" s="32">
        <v>80</v>
      </c>
      <c r="AZ126" s="32">
        <v>80</v>
      </c>
      <c r="BA126" s="32">
        <v>100</v>
      </c>
      <c r="BB126" s="23">
        <f t="shared" ca="1" si="62"/>
        <v>0.8</v>
      </c>
      <c r="BC126" s="33">
        <f t="shared" si="68"/>
        <v>81.666666666666671</v>
      </c>
      <c r="BD126" s="28">
        <f t="shared" si="63"/>
        <v>0.93877551020408168</v>
      </c>
      <c r="BE126" s="28">
        <f t="shared" si="64"/>
        <v>0.18775510204081636</v>
      </c>
      <c r="BF126" s="34">
        <f ca="1">Q126+AA126+AF126+AR126+BB126</f>
        <v>4</v>
      </c>
      <c r="BG126" s="34">
        <f>AVERAGE(AV126:AZ126)</f>
        <v>78</v>
      </c>
      <c r="BH126" s="35">
        <f>T126+AD126+AI126+AU126+BE126</f>
        <v>0.80589953443416429</v>
      </c>
      <c r="BI126" s="36" t="str">
        <f ca="1">IF(K126&lt;365,"New CE",(IF(BH126&gt;=100%,"Promote",IF(BH126&gt;=90%,"Sangat Baik",IF(BH126&gt;=80%,"Baik",IF(BH126&gt;=70%,"Lebih Dari Cukup",IF(BH126&gt;=60%,"Cukup","Kurang")))))))</f>
        <v>Baik</v>
      </c>
      <c r="BJ126" s="36" t="s">
        <v>860</v>
      </c>
      <c r="BK126" s="58" t="s">
        <v>54</v>
      </c>
      <c r="BL126" s="59" t="e">
        <v>#N/A</v>
      </c>
    </row>
    <row r="127" spans="1:64" x14ac:dyDescent="0.35">
      <c r="A127" s="19">
        <v>123</v>
      </c>
      <c r="B127" s="13" t="s">
        <v>360</v>
      </c>
      <c r="C127" s="20" t="s">
        <v>361</v>
      </c>
      <c r="D127" s="76" t="s">
        <v>54</v>
      </c>
      <c r="E127" s="13" t="s">
        <v>133</v>
      </c>
      <c r="F127" s="13" t="s">
        <v>50</v>
      </c>
      <c r="G127" s="13" t="s">
        <v>61</v>
      </c>
      <c r="H127" s="65">
        <v>45131</v>
      </c>
      <c r="I127" s="21">
        <f t="shared" ca="1" si="65"/>
        <v>45974</v>
      </c>
      <c r="J127" s="13" t="str">
        <f t="shared" ca="1" si="44"/>
        <v xml:space="preserve">2 Tahun 3 Bulan 20 Hari </v>
      </c>
      <c r="K127" s="13">
        <f t="shared" ca="1" si="66"/>
        <v>1213920</v>
      </c>
      <c r="L127" s="13">
        <v>760</v>
      </c>
      <c r="M127" s="13">
        <v>13</v>
      </c>
      <c r="N127" s="13">
        <v>5863</v>
      </c>
      <c r="O127" s="22">
        <f t="shared" si="45"/>
        <v>451</v>
      </c>
      <c r="P127" s="13">
        <v>440</v>
      </c>
      <c r="Q127" s="23">
        <f t="shared" si="46"/>
        <v>0.8</v>
      </c>
      <c r="R127" s="24">
        <f t="shared" si="47"/>
        <v>4</v>
      </c>
      <c r="S127" s="25">
        <f t="shared" si="67"/>
        <v>0.97560975609756095</v>
      </c>
      <c r="T127" s="25">
        <f t="shared" si="48"/>
        <v>0.1951219512195122</v>
      </c>
      <c r="U127" s="26">
        <v>6781.0034317129657</v>
      </c>
      <c r="V127" s="26">
        <v>1.3431712962962963E-2</v>
      </c>
      <c r="W127" s="26">
        <v>6.8912037037037036E-2</v>
      </c>
      <c r="X127" s="27">
        <f t="shared" si="76"/>
        <v>0</v>
      </c>
      <c r="Y127" s="27">
        <f t="shared" si="72"/>
        <v>1</v>
      </c>
      <c r="Z127" s="27">
        <f t="shared" si="71"/>
        <v>1</v>
      </c>
      <c r="AA127" s="23">
        <f t="shared" si="75"/>
        <v>0.8</v>
      </c>
      <c r="AB127" s="24">
        <f t="shared" si="73"/>
        <v>2</v>
      </c>
      <c r="AC127" s="28">
        <f t="shared" si="52"/>
        <v>0.66666666666666663</v>
      </c>
      <c r="AD127" s="29">
        <f t="shared" si="53"/>
        <v>0.16666666666666666</v>
      </c>
      <c r="AE127" s="30">
        <v>5.8902962514401191E-2</v>
      </c>
      <c r="AF127" s="23">
        <f t="shared" si="54"/>
        <v>1</v>
      </c>
      <c r="AG127" s="24">
        <f t="shared" si="74"/>
        <v>4</v>
      </c>
      <c r="AH127" s="28">
        <f t="shared" si="56"/>
        <v>0.8</v>
      </c>
      <c r="AI127" s="29">
        <f t="shared" si="57"/>
        <v>0.2</v>
      </c>
      <c r="AJ127" s="31">
        <v>1</v>
      </c>
      <c r="AK127" s="31">
        <v>1</v>
      </c>
      <c r="AL127" s="31">
        <v>1</v>
      </c>
      <c r="AM127" s="31">
        <v>0</v>
      </c>
      <c r="AN127" s="31">
        <v>0</v>
      </c>
      <c r="AO127" s="31">
        <v>0</v>
      </c>
      <c r="AP127" s="31">
        <v>0</v>
      </c>
      <c r="AQ127" s="31">
        <v>0</v>
      </c>
      <c r="AR127" s="23">
        <f t="shared" si="58"/>
        <v>0.6</v>
      </c>
      <c r="AS127" s="24">
        <f t="shared" si="59"/>
        <v>3</v>
      </c>
      <c r="AT127" s="28">
        <f t="shared" si="60"/>
        <v>0.375</v>
      </c>
      <c r="AU127" s="28">
        <f t="shared" si="61"/>
        <v>5.6249999999999994E-2</v>
      </c>
      <c r="AV127" s="32">
        <v>75</v>
      </c>
      <c r="AW127" s="32">
        <v>75</v>
      </c>
      <c r="AX127" s="32">
        <v>90</v>
      </c>
      <c r="AY127" s="32">
        <v>85</v>
      </c>
      <c r="AZ127" s="32">
        <v>80</v>
      </c>
      <c r="BA127" s="32">
        <v>100</v>
      </c>
      <c r="BB127" s="23">
        <f t="shared" ca="1" si="62"/>
        <v>0.8</v>
      </c>
      <c r="BC127" s="33">
        <f t="shared" si="68"/>
        <v>84.166666666666671</v>
      </c>
      <c r="BD127" s="28">
        <f t="shared" si="63"/>
        <v>0.94059405940594054</v>
      </c>
      <c r="BE127" s="28">
        <f t="shared" si="64"/>
        <v>0.18811881188118812</v>
      </c>
      <c r="BF127" s="34">
        <f ca="1">Q127+AA127+AF127+AR127+BB127</f>
        <v>4</v>
      </c>
      <c r="BG127" s="34">
        <f>AVERAGE(AV127:AZ127)</f>
        <v>81</v>
      </c>
      <c r="BH127" s="35">
        <f>T127+AD127+AI127+AU127+BE127</f>
        <v>0.80615742976736704</v>
      </c>
      <c r="BI127" s="36" t="str">
        <f ca="1">IF(K127&lt;365,"New CE",(IF(BH127&gt;=100%,"Promote",IF(BH127&gt;=90%,"Sangat Baik",IF(BH127&gt;=80%,"Baik",IF(BH127&gt;=70%,"Lebih Dari Cukup",IF(BH127&gt;=60%,"Cukup","Kurang")))))))</f>
        <v>Baik</v>
      </c>
      <c r="BJ127" s="36" t="s">
        <v>855</v>
      </c>
      <c r="BK127" s="58" t="s">
        <v>48</v>
      </c>
      <c r="BL127" s="59" t="e">
        <v>#N/A</v>
      </c>
    </row>
    <row r="128" spans="1:64" x14ac:dyDescent="0.35">
      <c r="A128" s="19">
        <v>124</v>
      </c>
      <c r="B128" s="13" t="s">
        <v>362</v>
      </c>
      <c r="C128" s="20" t="s">
        <v>363</v>
      </c>
      <c r="D128" s="76" t="s">
        <v>54</v>
      </c>
      <c r="E128" s="13" t="s">
        <v>43</v>
      </c>
      <c r="F128" s="13" t="s">
        <v>44</v>
      </c>
      <c r="G128" s="13" t="s">
        <v>51</v>
      </c>
      <c r="H128" s="65">
        <v>44746</v>
      </c>
      <c r="I128" s="21">
        <f t="shared" ca="1" si="65"/>
        <v>45974</v>
      </c>
      <c r="J128" s="13" t="str">
        <f t="shared" ca="1" si="44"/>
        <v xml:space="preserve">3 Tahun 4 Bulan 9 Hari </v>
      </c>
      <c r="K128" s="13">
        <f t="shared" ca="1" si="66"/>
        <v>1768320</v>
      </c>
      <c r="L128" s="13">
        <v>1384</v>
      </c>
      <c r="M128" s="13">
        <v>22</v>
      </c>
      <c r="N128" s="13">
        <v>6775</v>
      </c>
      <c r="O128" s="22">
        <f t="shared" si="45"/>
        <v>307.95454545454544</v>
      </c>
      <c r="P128" s="13">
        <v>399</v>
      </c>
      <c r="Q128" s="23">
        <f t="shared" si="46"/>
        <v>1</v>
      </c>
      <c r="R128" s="24">
        <f t="shared" si="47"/>
        <v>5</v>
      </c>
      <c r="S128" s="25">
        <f t="shared" si="67"/>
        <v>1.2956457564575647</v>
      </c>
      <c r="T128" s="25">
        <f t="shared" si="48"/>
        <v>0.25912915129151298</v>
      </c>
      <c r="U128" s="26">
        <v>1171.2972592592598</v>
      </c>
      <c r="V128" s="26">
        <v>3.5046296296296298E-2</v>
      </c>
      <c r="W128" s="26">
        <v>0</v>
      </c>
      <c r="X128" s="27">
        <f t="shared" si="76"/>
        <v>0</v>
      </c>
      <c r="Y128" s="27">
        <f t="shared" si="72"/>
        <v>1</v>
      </c>
      <c r="Z128" s="27">
        <f t="shared" si="71"/>
        <v>0</v>
      </c>
      <c r="AA128" s="23">
        <f t="shared" si="75"/>
        <v>0.4</v>
      </c>
      <c r="AB128" s="24">
        <f t="shared" si="73"/>
        <v>1</v>
      </c>
      <c r="AC128" s="28">
        <f t="shared" si="52"/>
        <v>0.33333333333333331</v>
      </c>
      <c r="AD128" s="29">
        <f t="shared" si="53"/>
        <v>8.3333333333333329E-2</v>
      </c>
      <c r="AE128" s="30">
        <v>5.2117103902609985E-2</v>
      </c>
      <c r="AF128" s="23">
        <f t="shared" si="54"/>
        <v>1</v>
      </c>
      <c r="AG128" s="24">
        <f t="shared" si="74"/>
        <v>4</v>
      </c>
      <c r="AH128" s="28">
        <f t="shared" si="56"/>
        <v>0.8</v>
      </c>
      <c r="AI128" s="29">
        <f t="shared" si="57"/>
        <v>0.2</v>
      </c>
      <c r="AJ128" s="31">
        <v>1</v>
      </c>
      <c r="AK128" s="31">
        <v>1</v>
      </c>
      <c r="AL128" s="31">
        <v>1</v>
      </c>
      <c r="AM128" s="31">
        <v>1</v>
      </c>
      <c r="AN128" s="31">
        <v>0</v>
      </c>
      <c r="AO128" s="31">
        <v>0</v>
      </c>
      <c r="AP128" s="31">
        <v>0</v>
      </c>
      <c r="AQ128" s="31">
        <v>0</v>
      </c>
      <c r="AR128" s="23">
        <f t="shared" si="58"/>
        <v>0.8</v>
      </c>
      <c r="AS128" s="24">
        <f t="shared" si="59"/>
        <v>4</v>
      </c>
      <c r="AT128" s="28">
        <f t="shared" si="60"/>
        <v>0.5</v>
      </c>
      <c r="AU128" s="28">
        <f t="shared" si="61"/>
        <v>7.4999999999999997E-2</v>
      </c>
      <c r="AV128" s="32">
        <v>75</v>
      </c>
      <c r="AW128" s="32">
        <v>75</v>
      </c>
      <c r="AX128" s="32">
        <v>70</v>
      </c>
      <c r="AY128" s="32">
        <v>75</v>
      </c>
      <c r="AZ128" s="32">
        <v>70</v>
      </c>
      <c r="BA128" s="32">
        <v>100</v>
      </c>
      <c r="BB128" s="23">
        <f t="shared" ca="1" si="62"/>
        <v>0.8</v>
      </c>
      <c r="BC128" s="33">
        <f t="shared" si="68"/>
        <v>77.5</v>
      </c>
      <c r="BD128" s="28">
        <f t="shared" si="63"/>
        <v>0.93548387096774199</v>
      </c>
      <c r="BE128" s="28">
        <f t="shared" si="64"/>
        <v>0.18709677419354842</v>
      </c>
      <c r="BF128" s="34">
        <f ca="1">Q128+AA128+AF128+AR128+BB128</f>
        <v>4</v>
      </c>
      <c r="BG128" s="34">
        <f>AVERAGE(AV128:AZ128)</f>
        <v>73</v>
      </c>
      <c r="BH128" s="35">
        <f>T128+AD128+AI128+AU128+BE128</f>
        <v>0.80455925881839463</v>
      </c>
      <c r="BI128" s="36" t="str">
        <f ca="1">IF(K128&lt;365,"New CE",(IF(BH128&gt;=100%,"Promote",IF(BH128&gt;=90%,"Sangat Baik",IF(BH128&gt;=80%,"Baik",IF(BH128&gt;=70%,"Lebih Dari Cukup",IF(BH128&gt;=60%,"Cukup","Kurang")))))))</f>
        <v>Baik</v>
      </c>
      <c r="BJ128" s="36" t="s">
        <v>860</v>
      </c>
      <c r="BK128" s="58" t="s">
        <v>54</v>
      </c>
      <c r="BL128" s="59" t="e">
        <v>#N/A</v>
      </c>
    </row>
    <row r="129" spans="1:64" x14ac:dyDescent="0.35">
      <c r="A129" s="19">
        <v>125</v>
      </c>
      <c r="B129" s="13" t="s">
        <v>364</v>
      </c>
      <c r="C129" s="20" t="s">
        <v>365</v>
      </c>
      <c r="D129" s="76" t="s">
        <v>54</v>
      </c>
      <c r="E129" s="13" t="s">
        <v>257</v>
      </c>
      <c r="F129" s="13" t="s">
        <v>44</v>
      </c>
      <c r="G129" s="13" t="s">
        <v>61</v>
      </c>
      <c r="H129" s="65">
        <v>44935</v>
      </c>
      <c r="I129" s="21">
        <f t="shared" ca="1" si="65"/>
        <v>45974</v>
      </c>
      <c r="J129" s="13" t="str">
        <f t="shared" ca="1" si="44"/>
        <v xml:space="preserve">2 Tahun 10 Bulan 4 Hari </v>
      </c>
      <c r="K129" s="13">
        <f t="shared" ca="1" si="66"/>
        <v>1496160</v>
      </c>
      <c r="L129" s="13">
        <v>507</v>
      </c>
      <c r="M129" s="13">
        <v>10</v>
      </c>
      <c r="N129" s="13">
        <v>3304</v>
      </c>
      <c r="O129" s="22">
        <f t="shared" si="45"/>
        <v>330.4</v>
      </c>
      <c r="P129" s="13">
        <v>313</v>
      </c>
      <c r="Q129" s="23">
        <f t="shared" si="46"/>
        <v>0.8</v>
      </c>
      <c r="R129" s="24">
        <f t="shared" si="47"/>
        <v>4</v>
      </c>
      <c r="S129" s="25">
        <f t="shared" si="67"/>
        <v>0.94733656174334147</v>
      </c>
      <c r="T129" s="25">
        <f t="shared" si="48"/>
        <v>0.18946731234866832</v>
      </c>
      <c r="U129" s="26">
        <v>11364.025680502944</v>
      </c>
      <c r="V129" s="26">
        <v>4.6296296296296294E-5</v>
      </c>
      <c r="W129" s="26">
        <v>0</v>
      </c>
      <c r="X129" s="27">
        <f t="shared" si="76"/>
        <v>0</v>
      </c>
      <c r="Y129" s="27">
        <f t="shared" si="72"/>
        <v>1</v>
      </c>
      <c r="Z129" s="27">
        <f t="shared" si="71"/>
        <v>0</v>
      </c>
      <c r="AA129" s="23">
        <f t="shared" si="75"/>
        <v>0.4</v>
      </c>
      <c r="AB129" s="24">
        <f t="shared" si="73"/>
        <v>1</v>
      </c>
      <c r="AC129" s="28">
        <f t="shared" si="52"/>
        <v>0.33333333333333331</v>
      </c>
      <c r="AD129" s="29">
        <f t="shared" si="53"/>
        <v>8.3333333333333329E-2</v>
      </c>
      <c r="AE129" s="30">
        <v>3.6336104096520758E-2</v>
      </c>
      <c r="AF129" s="23">
        <f t="shared" si="54"/>
        <v>1.25</v>
      </c>
      <c r="AG129" s="24">
        <f t="shared" si="74"/>
        <v>5</v>
      </c>
      <c r="AH129" s="28">
        <f t="shared" si="56"/>
        <v>1</v>
      </c>
      <c r="AI129" s="29">
        <f t="shared" si="57"/>
        <v>0.25</v>
      </c>
      <c r="AJ129" s="31">
        <v>1</v>
      </c>
      <c r="AK129" s="31">
        <v>1</v>
      </c>
      <c r="AL129" s="31">
        <v>1</v>
      </c>
      <c r="AM129" s="31">
        <v>0</v>
      </c>
      <c r="AN129" s="31">
        <v>0</v>
      </c>
      <c r="AO129" s="31">
        <v>1</v>
      </c>
      <c r="AP129" s="31">
        <v>0</v>
      </c>
      <c r="AQ129" s="31">
        <v>1</v>
      </c>
      <c r="AR129" s="23">
        <f t="shared" si="58"/>
        <v>1</v>
      </c>
      <c r="AS129" s="24">
        <f t="shared" si="59"/>
        <v>5</v>
      </c>
      <c r="AT129" s="28">
        <f t="shared" si="60"/>
        <v>0.625</v>
      </c>
      <c r="AU129" s="28">
        <f t="shared" si="61"/>
        <v>9.375E-2</v>
      </c>
      <c r="AV129" s="32">
        <v>75</v>
      </c>
      <c r="AW129" s="32">
        <v>75</v>
      </c>
      <c r="AX129" s="32">
        <v>90</v>
      </c>
      <c r="AY129" s="32">
        <v>90</v>
      </c>
      <c r="AZ129" s="32">
        <v>85</v>
      </c>
      <c r="BA129" s="32">
        <v>100</v>
      </c>
      <c r="BB129" s="23">
        <f t="shared" ca="1" si="62"/>
        <v>0.8</v>
      </c>
      <c r="BC129" s="33">
        <f t="shared" si="68"/>
        <v>85.833333333333329</v>
      </c>
      <c r="BD129" s="28">
        <f t="shared" si="63"/>
        <v>0.94174757281553401</v>
      </c>
      <c r="BE129" s="28">
        <f t="shared" si="64"/>
        <v>0.18834951456310681</v>
      </c>
      <c r="BF129" s="34">
        <f ca="1">Q129+AA129+AF129+AR129+BB129</f>
        <v>4.25</v>
      </c>
      <c r="BG129" s="34">
        <f>AVERAGE(AV129:AZ129)</f>
        <v>83</v>
      </c>
      <c r="BH129" s="35">
        <f>T129+AD129+AI129+AU129+BE129</f>
        <v>0.80490016024510835</v>
      </c>
      <c r="BI129" s="36" t="str">
        <f ca="1">IF(K129&lt;365,"New CE",(IF(BH129&gt;=100%,"Promote",IF(BH129&gt;=90%,"Sangat Baik",IF(BH129&gt;=80%,"Baik",IF(BH129&gt;=70%,"Lebih Dari Cukup",IF(BH129&gt;=60%,"Cukup","Kurang")))))))</f>
        <v>Baik</v>
      </c>
      <c r="BJ129" s="36" t="s">
        <v>855</v>
      </c>
      <c r="BK129" s="58" t="s">
        <v>48</v>
      </c>
      <c r="BL129" s="59" t="e">
        <v>#N/A</v>
      </c>
    </row>
    <row r="130" spans="1:64" x14ac:dyDescent="0.35">
      <c r="A130" s="19">
        <v>126</v>
      </c>
      <c r="B130" s="13" t="s">
        <v>366</v>
      </c>
      <c r="C130" s="20" t="s">
        <v>367</v>
      </c>
      <c r="D130" s="76" t="s">
        <v>54</v>
      </c>
      <c r="E130" s="13" t="s">
        <v>223</v>
      </c>
      <c r="F130" s="13" t="s">
        <v>74</v>
      </c>
      <c r="G130" s="13" t="s">
        <v>61</v>
      </c>
      <c r="H130" s="65">
        <v>44966</v>
      </c>
      <c r="I130" s="21">
        <f t="shared" ca="1" si="65"/>
        <v>45974</v>
      </c>
      <c r="J130" s="13" t="str">
        <f t="shared" ca="1" si="44"/>
        <v xml:space="preserve">2 Tahun 9 Bulan 4 Hari </v>
      </c>
      <c r="K130" s="13">
        <f t="shared" ca="1" si="66"/>
        <v>1451520</v>
      </c>
      <c r="L130" s="13">
        <v>426</v>
      </c>
      <c r="M130" s="13">
        <v>2</v>
      </c>
      <c r="N130" s="13">
        <v>3000</v>
      </c>
      <c r="O130" s="22">
        <f t="shared" si="45"/>
        <v>1500</v>
      </c>
      <c r="P130" s="13">
        <v>452</v>
      </c>
      <c r="Q130" s="23">
        <f t="shared" si="46"/>
        <v>0.2</v>
      </c>
      <c r="R130" s="24">
        <f t="shared" si="47"/>
        <v>1</v>
      </c>
      <c r="S130" s="25">
        <f t="shared" si="67"/>
        <v>0.30133333333333334</v>
      </c>
      <c r="T130" s="25">
        <f t="shared" si="48"/>
        <v>6.026666666666667E-2</v>
      </c>
      <c r="U130" s="26">
        <v>3.0783045977011499E-3</v>
      </c>
      <c r="V130" s="26">
        <v>1.9030671296296292E-2</v>
      </c>
      <c r="W130" s="26">
        <v>3787.8852353395064</v>
      </c>
      <c r="X130" s="27">
        <f t="shared" si="76"/>
        <v>1</v>
      </c>
      <c r="Y130" s="27">
        <f t="shared" si="72"/>
        <v>1</v>
      </c>
      <c r="Z130" s="27">
        <f t="shared" si="71"/>
        <v>1</v>
      </c>
      <c r="AA130" s="23">
        <f t="shared" si="75"/>
        <v>1.25</v>
      </c>
      <c r="AB130" s="24">
        <f t="shared" si="73"/>
        <v>3</v>
      </c>
      <c r="AC130" s="28">
        <f t="shared" si="52"/>
        <v>1</v>
      </c>
      <c r="AD130" s="29">
        <f t="shared" si="53"/>
        <v>0.25</v>
      </c>
      <c r="AE130" s="30">
        <v>2.5243055555555557E-2</v>
      </c>
      <c r="AF130" s="23">
        <f t="shared" si="54"/>
        <v>1.25</v>
      </c>
      <c r="AG130" s="24">
        <f t="shared" si="74"/>
        <v>5</v>
      </c>
      <c r="AH130" s="28">
        <f t="shared" si="56"/>
        <v>1</v>
      </c>
      <c r="AI130" s="29">
        <f t="shared" si="57"/>
        <v>0.25</v>
      </c>
      <c r="AJ130" s="31">
        <v>1</v>
      </c>
      <c r="AK130" s="31">
        <v>1</v>
      </c>
      <c r="AL130" s="31">
        <v>1</v>
      </c>
      <c r="AM130" s="31">
        <v>0</v>
      </c>
      <c r="AN130" s="31">
        <v>0</v>
      </c>
      <c r="AO130" s="31">
        <v>0</v>
      </c>
      <c r="AP130" s="31">
        <v>0</v>
      </c>
      <c r="AQ130" s="31">
        <v>0</v>
      </c>
      <c r="AR130" s="23">
        <f t="shared" si="58"/>
        <v>0.6</v>
      </c>
      <c r="AS130" s="24">
        <f t="shared" si="59"/>
        <v>3</v>
      </c>
      <c r="AT130" s="28">
        <f t="shared" si="60"/>
        <v>0.375</v>
      </c>
      <c r="AU130" s="28">
        <f t="shared" si="61"/>
        <v>5.6249999999999994E-2</v>
      </c>
      <c r="AV130" s="32">
        <v>75</v>
      </c>
      <c r="AW130" s="32">
        <v>85</v>
      </c>
      <c r="AX130" s="32">
        <v>85</v>
      </c>
      <c r="AY130" s="32">
        <v>90</v>
      </c>
      <c r="AZ130" s="32">
        <v>85</v>
      </c>
      <c r="BA130" s="32">
        <v>100</v>
      </c>
      <c r="BB130" s="23">
        <f t="shared" ca="1" si="62"/>
        <v>0.8</v>
      </c>
      <c r="BC130" s="33">
        <f t="shared" si="68"/>
        <v>86.666666666666671</v>
      </c>
      <c r="BD130" s="28">
        <f t="shared" si="63"/>
        <v>0.94230769230769229</v>
      </c>
      <c r="BE130" s="28">
        <f t="shared" si="64"/>
        <v>0.18846153846153846</v>
      </c>
      <c r="BF130" s="34">
        <f ca="1">Q130+AA130+AF130+AR130+BB130</f>
        <v>4.1000000000000005</v>
      </c>
      <c r="BG130" s="34">
        <f>AVERAGE(AV130:AZ130)</f>
        <v>84</v>
      </c>
      <c r="BH130" s="35">
        <f>T130+AD130+AI130+AU130+BE130</f>
        <v>0.80497820512820517</v>
      </c>
      <c r="BI130" s="36" t="str">
        <f ca="1">IF(K130&lt;365,"New CE",(IF(BH130&gt;=100%,"Promote",IF(BH130&gt;=90%,"Sangat Baik",IF(BH130&gt;=80%,"Baik",IF(BH130&gt;=70%,"Lebih Dari Cukup",IF(BH130&gt;=60%,"Cukup","Kurang")))))))</f>
        <v>Baik</v>
      </c>
      <c r="BJ130" s="36" t="s">
        <v>860</v>
      </c>
      <c r="BK130" s="58" t="s">
        <v>54</v>
      </c>
      <c r="BL130" s="59" t="str">
        <v>Aditya Tri Saputra</v>
      </c>
    </row>
    <row r="131" spans="1:64" x14ac:dyDescent="0.35">
      <c r="A131" s="19">
        <v>127</v>
      </c>
      <c r="B131" s="13" t="s">
        <v>368</v>
      </c>
      <c r="C131" s="20" t="s">
        <v>369</v>
      </c>
      <c r="D131" s="76" t="s">
        <v>48</v>
      </c>
      <c r="E131" s="13" t="s">
        <v>370</v>
      </c>
      <c r="F131" s="13" t="s">
        <v>74</v>
      </c>
      <c r="G131" s="13" t="s">
        <v>55</v>
      </c>
      <c r="H131" s="65">
        <v>44837</v>
      </c>
      <c r="I131" s="21">
        <f t="shared" ca="1" si="65"/>
        <v>45974</v>
      </c>
      <c r="J131" s="13" t="str">
        <f t="shared" ca="1" si="44"/>
        <v xml:space="preserve">3 Tahun 1 Bulan 10 Hari </v>
      </c>
      <c r="K131" s="13">
        <f t="shared" ca="1" si="66"/>
        <v>1637280</v>
      </c>
      <c r="L131" s="13">
        <v>43</v>
      </c>
      <c r="M131" s="13">
        <v>1</v>
      </c>
      <c r="N131" s="13">
        <v>277</v>
      </c>
      <c r="O131" s="22">
        <f t="shared" si="45"/>
        <v>277</v>
      </c>
      <c r="P131" s="13">
        <v>265</v>
      </c>
      <c r="Q131" s="23">
        <f t="shared" si="46"/>
        <v>0.8</v>
      </c>
      <c r="R131" s="24">
        <f t="shared" si="47"/>
        <v>4</v>
      </c>
      <c r="S131" s="25">
        <f t="shared" si="67"/>
        <v>0.95667870036101088</v>
      </c>
      <c r="T131" s="25">
        <f t="shared" si="48"/>
        <v>0.19133574007220219</v>
      </c>
      <c r="U131" s="26">
        <v>5687.4329788773139</v>
      </c>
      <c r="V131" s="26">
        <v>2.0833333333333332E-4</v>
      </c>
      <c r="W131" s="26">
        <v>4780.0351358430808</v>
      </c>
      <c r="X131" s="27">
        <f t="shared" si="76"/>
        <v>0</v>
      </c>
      <c r="Y131" s="27">
        <f t="shared" si="72"/>
        <v>1</v>
      </c>
      <c r="Z131" s="27">
        <f t="shared" si="71"/>
        <v>1</v>
      </c>
      <c r="AA131" s="23">
        <f t="shared" si="75"/>
        <v>0.8</v>
      </c>
      <c r="AB131" s="24">
        <f t="shared" si="73"/>
        <v>2</v>
      </c>
      <c r="AC131" s="28">
        <f t="shared" si="52"/>
        <v>0.66666666666666663</v>
      </c>
      <c r="AD131" s="29">
        <f t="shared" si="53"/>
        <v>0.16666666666666666</v>
      </c>
      <c r="AE131" s="30">
        <v>6.6219093406593404E-2</v>
      </c>
      <c r="AF131" s="23">
        <f t="shared" si="54"/>
        <v>1</v>
      </c>
      <c r="AG131" s="24">
        <f t="shared" si="74"/>
        <v>4</v>
      </c>
      <c r="AH131" s="28">
        <f t="shared" si="56"/>
        <v>0.8</v>
      </c>
      <c r="AI131" s="29">
        <f t="shared" si="57"/>
        <v>0.2</v>
      </c>
      <c r="AJ131" s="31">
        <v>1</v>
      </c>
      <c r="AK131" s="31">
        <v>1</v>
      </c>
      <c r="AL131" s="31">
        <v>1</v>
      </c>
      <c r="AM131" s="31">
        <v>0</v>
      </c>
      <c r="AN131" s="31">
        <v>0</v>
      </c>
      <c r="AO131" s="31">
        <v>0</v>
      </c>
      <c r="AP131" s="31">
        <v>0</v>
      </c>
      <c r="AQ131" s="31">
        <v>0</v>
      </c>
      <c r="AR131" s="23">
        <f t="shared" si="58"/>
        <v>0.6</v>
      </c>
      <c r="AS131" s="24">
        <f t="shared" si="59"/>
        <v>3</v>
      </c>
      <c r="AT131" s="28">
        <f t="shared" si="60"/>
        <v>0.375</v>
      </c>
      <c r="AU131" s="28">
        <f t="shared" si="61"/>
        <v>5.6249999999999994E-2</v>
      </c>
      <c r="AV131" s="32">
        <v>75</v>
      </c>
      <c r="AW131" s="32">
        <v>75</v>
      </c>
      <c r="AX131" s="32">
        <v>80</v>
      </c>
      <c r="AY131" s="32">
        <v>80</v>
      </c>
      <c r="AZ131" s="32">
        <v>80</v>
      </c>
      <c r="BA131" s="32">
        <v>100</v>
      </c>
      <c r="BB131" s="23">
        <f t="shared" ca="1" si="62"/>
        <v>0.8</v>
      </c>
      <c r="BC131" s="33">
        <f t="shared" si="68"/>
        <v>81.666666666666671</v>
      </c>
      <c r="BD131" s="28">
        <f t="shared" si="63"/>
        <v>0.93877551020408168</v>
      </c>
      <c r="BE131" s="28">
        <f t="shared" si="64"/>
        <v>0.18775510204081636</v>
      </c>
      <c r="BF131" s="34">
        <f ca="1">Q131+AA131+AF131+AR131+BB131</f>
        <v>4</v>
      </c>
      <c r="BG131" s="34">
        <f>AVERAGE(AV131:AZ131)</f>
        <v>78</v>
      </c>
      <c r="BH131" s="35">
        <f>T131+AD131+AI131+AU131+BE131</f>
        <v>0.8020075087796853</v>
      </c>
      <c r="BI131" s="36" t="str">
        <f ca="1">IF(K131&lt;365,"New CE",(IF(BH131&gt;=100%,"Promote",IF(BH131&gt;=90%,"Sangat Baik",IF(BH131&gt;=80%,"Baik",IF(BH131&gt;=70%,"Lebih Dari Cukup",IF(BH131&gt;=60%,"Cukup","Kurang")))))))</f>
        <v>Baik</v>
      </c>
      <c r="BJ131" s="36" t="s">
        <v>860</v>
      </c>
      <c r="BK131" s="58" t="s">
        <v>48</v>
      </c>
      <c r="BL131" s="59" t="str">
        <v>Muhammad Alifuddin</v>
      </c>
    </row>
    <row r="132" spans="1:64" x14ac:dyDescent="0.35">
      <c r="A132" s="19">
        <v>128</v>
      </c>
      <c r="B132" s="13" t="s">
        <v>371</v>
      </c>
      <c r="C132" s="20" t="s">
        <v>372</v>
      </c>
      <c r="D132" s="76" t="s">
        <v>54</v>
      </c>
      <c r="E132" s="13" t="s">
        <v>182</v>
      </c>
      <c r="F132" s="13" t="s">
        <v>74</v>
      </c>
      <c r="G132" s="13" t="s">
        <v>55</v>
      </c>
      <c r="H132" s="65">
        <v>44882</v>
      </c>
      <c r="I132" s="21">
        <f t="shared" ca="1" si="65"/>
        <v>45974</v>
      </c>
      <c r="J132" s="13" t="str">
        <f t="shared" ref="J132:J195" ca="1" si="77">DATEDIF(H132,NOW(),"Y") &amp; " Tahun " &amp; DATEDIF(H132,NOW(),"YM") &amp; " Bulan " &amp; DATEDIF(H132,NOW(),"MD") &amp; " Hari "</f>
        <v xml:space="preserve">2 Tahun 11 Bulan 27 Hari </v>
      </c>
      <c r="K132" s="13">
        <f t="shared" ca="1" si="66"/>
        <v>1572480</v>
      </c>
      <c r="L132" s="13">
        <v>612</v>
      </c>
      <c r="M132" s="13">
        <v>11</v>
      </c>
      <c r="N132" s="13">
        <v>5254</v>
      </c>
      <c r="O132" s="22">
        <f t="shared" ref="O132:O195" si="78">N132/M132</f>
        <v>477.63636363636363</v>
      </c>
      <c r="P132" s="13">
        <v>457</v>
      </c>
      <c r="Q132" s="23">
        <f t="shared" ref="Q132:Q195" si="79">IF(R132=5, 1, IF(R132=4, 0.8, IF(R132=3, 0.6, IF(R132=2, 0.4, IF(R132=1, 0.2, 0)))))</f>
        <v>0.8</v>
      </c>
      <c r="R132" s="24">
        <f t="shared" ref="R132:R195" si="80">IF(S132&gt;=100%, 5, IF(S132&gt;=80%, 4, IF(S132&gt;=60%, 3, IF(S132&gt;=40%, 2, IF(S132&gt;=0%, 1, "")))))</f>
        <v>4</v>
      </c>
      <c r="S132" s="25">
        <f t="shared" si="67"/>
        <v>0.95679482299200613</v>
      </c>
      <c r="T132" s="25">
        <f t="shared" ref="T132:T195" si="81">20%*S132</f>
        <v>0.19135896459840124</v>
      </c>
      <c r="U132" s="26">
        <v>6.3888888888888884E-2</v>
      </c>
      <c r="V132" s="26">
        <v>1930.1268543144208</v>
      </c>
      <c r="W132" s="26">
        <v>1.4484953703703703E-2</v>
      </c>
      <c r="X132" s="27">
        <v>1</v>
      </c>
      <c r="Y132" s="27">
        <f t="shared" ref="Y132:Y163" si="82">IF(V132=TIME(0,0,0), 0, IF(V132&lt;=TIME(3,0,0), 1, 0))</f>
        <v>0</v>
      </c>
      <c r="Z132" s="27">
        <f t="shared" si="71"/>
        <v>1</v>
      </c>
      <c r="AA132" s="23">
        <f t="shared" si="75"/>
        <v>0.8</v>
      </c>
      <c r="AB132" s="24">
        <f t="shared" ref="AB132:AB153" si="83">X132+Y132+Z132</f>
        <v>2</v>
      </c>
      <c r="AC132" s="28">
        <f t="shared" ref="AC132:AC195" si="84">AB132/3</f>
        <v>0.66666666666666663</v>
      </c>
      <c r="AD132" s="29">
        <f t="shared" ref="AD132:AD195" si="85">25%*AC132</f>
        <v>0.16666666666666666</v>
      </c>
      <c r="AE132" s="30">
        <v>6.320650637919896E-2</v>
      </c>
      <c r="AF132" s="23">
        <f t="shared" ref="AF132:AF195" si="86">IF(AG132=5, 1.25, IF(AG132=4, 1, IF(AG132=3, 0.75, IF(AG132=2, 0.5, IF(AG132=1, 0.25, 0)))))</f>
        <v>1</v>
      </c>
      <c r="AG132" s="24">
        <f t="shared" ref="AG132:AG153" si="87">IF(AE132="",0,IF(AE132&lt;=TIME(1,0,0),5,IF(AE132&lt;=TIME(2,0,0),4,IF(AE132&lt;=TIME(3,0,0),3,IF(AE132&lt;=TIME(4,0,0),2,IF(AE132&lt;TIME(8,0,0),1,0))))))</f>
        <v>4</v>
      </c>
      <c r="AH132" s="28">
        <f t="shared" ref="AH132:AH195" si="88">IF(AE132=TIME(0,0,0),0%,AG132/5)</f>
        <v>0.8</v>
      </c>
      <c r="AI132" s="29">
        <f t="shared" ref="AI132:AI195" si="89">25%*AH132</f>
        <v>0.2</v>
      </c>
      <c r="AJ132" s="31">
        <v>1</v>
      </c>
      <c r="AK132" s="31">
        <v>1</v>
      </c>
      <c r="AL132" s="31">
        <v>1</v>
      </c>
      <c r="AM132" s="31">
        <v>0</v>
      </c>
      <c r="AN132" s="31">
        <v>0</v>
      </c>
      <c r="AO132" s="31">
        <v>0</v>
      </c>
      <c r="AP132" s="31">
        <v>0</v>
      </c>
      <c r="AQ132" s="31">
        <v>0</v>
      </c>
      <c r="AR132" s="23">
        <f t="shared" ref="AR132:AR195" si="90">IF(AS132&gt;=5, 1, IF(AS132=4, 0.8, IF(AS132=3, 0.6, IF(AS132=2, 0.4, IF(AS132=1, 0.2, 0)))))</f>
        <v>0.6</v>
      </c>
      <c r="AS132" s="24">
        <f t="shared" ref="AS132:AS195" si="91">SUM(AJ132:AQ132)</f>
        <v>3</v>
      </c>
      <c r="AT132" s="28">
        <f t="shared" ref="AT132:AT195" si="92">AS132/8</f>
        <v>0.375</v>
      </c>
      <c r="AU132" s="28">
        <f t="shared" ref="AU132:AU195" si="93">15%*AT132</f>
        <v>5.6249999999999994E-2</v>
      </c>
      <c r="AV132" s="32">
        <v>75</v>
      </c>
      <c r="AW132" s="32">
        <v>75</v>
      </c>
      <c r="AX132" s="32">
        <v>70</v>
      </c>
      <c r="AY132" s="32">
        <v>80</v>
      </c>
      <c r="AZ132" s="32">
        <v>80</v>
      </c>
      <c r="BA132" s="32">
        <v>100</v>
      </c>
      <c r="BB132" s="23">
        <f t="shared" ref="BB132:BB195" ca="1" si="94">IF(BI132&gt;="Sangat Baik", 1, IF(BI132&gt;="Baik", 0.8, IF(BI132&gt;="Cukup", 0.6, IF(BI132&gt;="Kurang", 0.4, IF(BI132&gt;="Sangat Kurang", 0.2, 0)))))</f>
        <v>0.8</v>
      </c>
      <c r="BC132" s="33">
        <f t="shared" si="68"/>
        <v>80</v>
      </c>
      <c r="BD132" s="28">
        <f t="shared" ref="BD132:BD195" si="95">100%-(5/BC132)</f>
        <v>0.9375</v>
      </c>
      <c r="BE132" s="28">
        <f t="shared" ref="BE132:BE195" si="96">20%*BD132</f>
        <v>0.1875</v>
      </c>
      <c r="BF132" s="34">
        <f ca="1">Q132+AA132+AF132+AR132+BB132</f>
        <v>4</v>
      </c>
      <c r="BG132" s="34">
        <f>AVERAGE(AV132:AZ132)</f>
        <v>76</v>
      </c>
      <c r="BH132" s="35">
        <f>T132+AD132+AI132+AU132+BE132</f>
        <v>0.80177563126506801</v>
      </c>
      <c r="BI132" s="36" t="str">
        <f ca="1">IF(K132&lt;365,"New CE",(IF(BH132&gt;=100%,"Promote",IF(BH132&gt;=90%,"Sangat Baik",IF(BH132&gt;=80%,"Baik",IF(BH132&gt;=70%,"Lebih Dari Cukup",IF(BH132&gt;=60%,"Cukup","Kurang")))))))</f>
        <v>Baik</v>
      </c>
      <c r="BJ132" s="36" t="s">
        <v>860</v>
      </c>
      <c r="BK132" s="58" t="s">
        <v>54</v>
      </c>
      <c r="BL132" s="59" t="str">
        <v>Angga Andiana Septian</v>
      </c>
    </row>
    <row r="133" spans="1:64" x14ac:dyDescent="0.35">
      <c r="A133" s="19">
        <v>129</v>
      </c>
      <c r="B133" s="13" t="s">
        <v>373</v>
      </c>
      <c r="C133" s="20" t="s">
        <v>374</v>
      </c>
      <c r="D133" s="76" t="s">
        <v>48</v>
      </c>
      <c r="E133" s="13" t="s">
        <v>349</v>
      </c>
      <c r="F133" s="13" t="s">
        <v>50</v>
      </c>
      <c r="G133" s="13" t="s">
        <v>55</v>
      </c>
      <c r="H133" s="65">
        <v>44036</v>
      </c>
      <c r="I133" s="21">
        <f t="shared" ca="1" si="65"/>
        <v>45974</v>
      </c>
      <c r="J133" s="13" t="str">
        <f t="shared" ca="1" si="77"/>
        <v xml:space="preserve">5 Tahun 3 Bulan 20 Hari </v>
      </c>
      <c r="K133" s="13">
        <f t="shared" ca="1" si="66"/>
        <v>2790720</v>
      </c>
      <c r="L133" s="13">
        <v>338</v>
      </c>
      <c r="M133" s="13">
        <v>6</v>
      </c>
      <c r="N133" s="13">
        <v>2750</v>
      </c>
      <c r="O133" s="22">
        <f t="shared" si="78"/>
        <v>458.33333333333331</v>
      </c>
      <c r="P133" s="13">
        <v>467</v>
      </c>
      <c r="Q133" s="23">
        <f t="shared" si="79"/>
        <v>1</v>
      </c>
      <c r="R133" s="24">
        <f t="shared" si="80"/>
        <v>5</v>
      </c>
      <c r="S133" s="25">
        <f t="shared" si="67"/>
        <v>1.018909090909091</v>
      </c>
      <c r="T133" s="25">
        <f t="shared" si="81"/>
        <v>0.2037818181818182</v>
      </c>
      <c r="U133" s="26">
        <v>4.3055555555555555E-2</v>
      </c>
      <c r="V133" s="26">
        <v>45412.937060185184</v>
      </c>
      <c r="W133" s="26">
        <v>0</v>
      </c>
      <c r="X133" s="27">
        <f>IF(U133=TIME(0,0,0), 0, IF(U133&lt;=TIME(1,30,0), 1, 0))</f>
        <v>1</v>
      </c>
      <c r="Y133" s="27">
        <f t="shared" si="82"/>
        <v>0</v>
      </c>
      <c r="Z133" s="27">
        <f t="shared" si="71"/>
        <v>0</v>
      </c>
      <c r="AA133" s="23">
        <f t="shared" si="75"/>
        <v>0.4</v>
      </c>
      <c r="AB133" s="24">
        <f t="shared" si="83"/>
        <v>1</v>
      </c>
      <c r="AC133" s="28">
        <f t="shared" si="84"/>
        <v>0.33333333333333331</v>
      </c>
      <c r="AD133" s="29">
        <f t="shared" si="85"/>
        <v>8.3333333333333329E-2</v>
      </c>
      <c r="AE133" s="30">
        <v>2.9806330309901735E-2</v>
      </c>
      <c r="AF133" s="23">
        <f t="shared" si="86"/>
        <v>1.25</v>
      </c>
      <c r="AG133" s="24">
        <f t="shared" si="87"/>
        <v>5</v>
      </c>
      <c r="AH133" s="28">
        <f t="shared" si="88"/>
        <v>1</v>
      </c>
      <c r="AI133" s="29">
        <f t="shared" si="89"/>
        <v>0.25</v>
      </c>
      <c r="AJ133" s="31">
        <v>1</v>
      </c>
      <c r="AK133" s="31">
        <v>1</v>
      </c>
      <c r="AL133" s="31">
        <v>1</v>
      </c>
      <c r="AM133" s="31">
        <v>1</v>
      </c>
      <c r="AN133" s="31">
        <v>0</v>
      </c>
      <c r="AO133" s="31">
        <v>0</v>
      </c>
      <c r="AP133" s="31">
        <v>0</v>
      </c>
      <c r="AQ133" s="31">
        <v>0</v>
      </c>
      <c r="AR133" s="23">
        <f t="shared" si="90"/>
        <v>0.8</v>
      </c>
      <c r="AS133" s="24">
        <f t="shared" si="91"/>
        <v>4</v>
      </c>
      <c r="AT133" s="28">
        <f t="shared" si="92"/>
        <v>0.5</v>
      </c>
      <c r="AU133" s="28">
        <f t="shared" si="93"/>
        <v>7.4999999999999997E-2</v>
      </c>
      <c r="AV133" s="32">
        <v>75</v>
      </c>
      <c r="AW133" s="32">
        <v>75</v>
      </c>
      <c r="AX133" s="32">
        <v>90</v>
      </c>
      <c r="AY133" s="32">
        <v>90</v>
      </c>
      <c r="AZ133" s="32">
        <v>75</v>
      </c>
      <c r="BA133" s="32">
        <v>100</v>
      </c>
      <c r="BB133" s="23">
        <f t="shared" ca="1" si="94"/>
        <v>0.8</v>
      </c>
      <c r="BC133" s="33">
        <f t="shared" si="68"/>
        <v>84.166666666666671</v>
      </c>
      <c r="BD133" s="28">
        <f t="shared" si="95"/>
        <v>0.94059405940594054</v>
      </c>
      <c r="BE133" s="28">
        <f t="shared" si="96"/>
        <v>0.18811881188118812</v>
      </c>
      <c r="BF133" s="34">
        <f ca="1">Q133+AA133+AF133+AR133+BB133</f>
        <v>4.25</v>
      </c>
      <c r="BG133" s="34">
        <f>AVERAGE(AV133:AZ133)</f>
        <v>81</v>
      </c>
      <c r="BH133" s="35">
        <f>T133+AD133+AI133+AU133+BE133</f>
        <v>0.80023396339633956</v>
      </c>
      <c r="BI133" s="36" t="str">
        <f ca="1">IF(K133&lt;365,"New CE",(IF(BH133&gt;=100%,"Promote",IF(BH133&gt;=90%,"Sangat Baik",IF(BH133&gt;=80%,"Baik",IF(BH133&gt;=70%,"Lebih Dari Cukup",IF(BH133&gt;=60%,"Cukup","Kurang")))))))</f>
        <v>Baik</v>
      </c>
      <c r="BJ133" s="36" t="s">
        <v>855</v>
      </c>
      <c r="BK133" s="58" t="s">
        <v>851</v>
      </c>
      <c r="BL133" s="59" t="e">
        <v>#N/A</v>
      </c>
    </row>
    <row r="134" spans="1:64" x14ac:dyDescent="0.35">
      <c r="A134" s="19">
        <v>130</v>
      </c>
      <c r="B134" s="13" t="s">
        <v>375</v>
      </c>
      <c r="C134" s="20" t="s">
        <v>376</v>
      </c>
      <c r="D134" s="76" t="s">
        <v>54</v>
      </c>
      <c r="E134" s="13" t="s">
        <v>268</v>
      </c>
      <c r="F134" s="13" t="s">
        <v>50</v>
      </c>
      <c r="G134" s="13" t="s">
        <v>75</v>
      </c>
      <c r="H134" s="65">
        <v>45306</v>
      </c>
      <c r="I134" s="21">
        <f t="shared" ref="I134:I197" ca="1" si="97">TODAY()</f>
        <v>45974</v>
      </c>
      <c r="J134" s="13" t="str">
        <f t="shared" ca="1" si="77"/>
        <v xml:space="preserve">1 Tahun 9 Bulan 29 Hari </v>
      </c>
      <c r="K134" s="13">
        <f t="shared" ref="K134:K197" ca="1" si="98">1440*(I134-H134)</f>
        <v>961920</v>
      </c>
      <c r="L134" s="13">
        <v>116</v>
      </c>
      <c r="M134" s="13">
        <v>3</v>
      </c>
      <c r="N134" s="13">
        <v>683</v>
      </c>
      <c r="O134" s="22">
        <f t="shared" si="78"/>
        <v>227.66666666666666</v>
      </c>
      <c r="P134" s="13">
        <v>151</v>
      </c>
      <c r="Q134" s="23">
        <f t="shared" si="79"/>
        <v>0.6</v>
      </c>
      <c r="R134" s="24">
        <f t="shared" si="80"/>
        <v>3</v>
      </c>
      <c r="S134" s="25">
        <f t="shared" ref="S134:S197" si="99">P134/O134</f>
        <v>0.66325036603221088</v>
      </c>
      <c r="T134" s="25">
        <f t="shared" si="81"/>
        <v>0.13265007320644218</v>
      </c>
      <c r="U134" s="26">
        <v>1.525462962962963E-2</v>
      </c>
      <c r="V134" s="26">
        <v>0</v>
      </c>
      <c r="W134" s="26">
        <v>5.9953703703703705E-3</v>
      </c>
      <c r="X134" s="27">
        <f>IF(U134=TIME(0,0,0), 0, IF(U134&lt;=TIME(1,30,0), 1, 0))</f>
        <v>1</v>
      </c>
      <c r="Y134" s="27">
        <f t="shared" si="82"/>
        <v>0</v>
      </c>
      <c r="Z134" s="27">
        <f t="shared" si="71"/>
        <v>1</v>
      </c>
      <c r="AA134" s="23">
        <f t="shared" si="75"/>
        <v>0.8</v>
      </c>
      <c r="AB134" s="24">
        <f t="shared" si="83"/>
        <v>2</v>
      </c>
      <c r="AC134" s="28">
        <f t="shared" si="84"/>
        <v>0.66666666666666663</v>
      </c>
      <c r="AD134" s="29">
        <f t="shared" si="85"/>
        <v>0.16666666666666666</v>
      </c>
      <c r="AE134" s="30">
        <v>6.2702132936507934E-2</v>
      </c>
      <c r="AF134" s="23">
        <f t="shared" si="86"/>
        <v>1</v>
      </c>
      <c r="AG134" s="24">
        <f t="shared" si="87"/>
        <v>4</v>
      </c>
      <c r="AH134" s="28">
        <f t="shared" si="88"/>
        <v>0.8</v>
      </c>
      <c r="AI134" s="29">
        <f t="shared" si="89"/>
        <v>0.2</v>
      </c>
      <c r="AJ134" s="31">
        <v>1</v>
      </c>
      <c r="AK134" s="31">
        <v>1</v>
      </c>
      <c r="AL134" s="31">
        <v>0</v>
      </c>
      <c r="AM134" s="31">
        <v>0</v>
      </c>
      <c r="AN134" s="31">
        <v>1</v>
      </c>
      <c r="AO134" s="31">
        <v>1</v>
      </c>
      <c r="AP134" s="31">
        <v>1</v>
      </c>
      <c r="AQ134" s="31">
        <v>1</v>
      </c>
      <c r="AR134" s="23">
        <f t="shared" si="90"/>
        <v>1</v>
      </c>
      <c r="AS134" s="24">
        <f t="shared" si="91"/>
        <v>6</v>
      </c>
      <c r="AT134" s="28">
        <f t="shared" si="92"/>
        <v>0.75</v>
      </c>
      <c r="AU134" s="28">
        <f t="shared" si="93"/>
        <v>0.11249999999999999</v>
      </c>
      <c r="AV134" s="32">
        <v>75</v>
      </c>
      <c r="AW134" s="32">
        <v>75</v>
      </c>
      <c r="AX134" s="32">
        <v>90</v>
      </c>
      <c r="AY134" s="32">
        <v>85</v>
      </c>
      <c r="AZ134" s="32">
        <v>80</v>
      </c>
      <c r="BA134" s="32">
        <v>100</v>
      </c>
      <c r="BB134" s="23">
        <f t="shared" ca="1" si="94"/>
        <v>0.8</v>
      </c>
      <c r="BC134" s="33">
        <f t="shared" ref="BC134:BC197" si="100">AVERAGE(AV134:BA134)</f>
        <v>84.166666666666671</v>
      </c>
      <c r="BD134" s="28">
        <f t="shared" si="95"/>
        <v>0.94059405940594054</v>
      </c>
      <c r="BE134" s="28">
        <f t="shared" si="96"/>
        <v>0.18811881188118812</v>
      </c>
      <c r="BF134" s="34">
        <f ca="1">Q134+AA134+AF134+AR134+BB134</f>
        <v>4.2</v>
      </c>
      <c r="BG134" s="34">
        <f>AVERAGE(AV134:AZ134)</f>
        <v>81</v>
      </c>
      <c r="BH134" s="35">
        <f>T134+AD134+AI134+AU134+BE134</f>
        <v>0.79993555175429698</v>
      </c>
      <c r="BI134" s="36" t="str">
        <f ca="1">IF(K134&lt;365,"New CE",(IF(BH134&gt;=100%,"Promote",IF(BH134&gt;=90%,"Sangat Baik",IF(BH134&gt;=80%,"Baik",IF(BH134&gt;=70%,"Lebih Dari Cukup",IF(BH134&gt;=60%,"Cukup","Kurang")))))))</f>
        <v>Lebih Dari Cukup</v>
      </c>
      <c r="BJ134" s="36" t="s">
        <v>860</v>
      </c>
      <c r="BK134" s="58" t="s">
        <v>54</v>
      </c>
      <c r="BL134" s="59" t="e">
        <v>#N/A</v>
      </c>
    </row>
    <row r="135" spans="1:64" x14ac:dyDescent="0.35">
      <c r="A135" s="19">
        <v>131</v>
      </c>
      <c r="B135" s="13" t="s">
        <v>377</v>
      </c>
      <c r="C135" s="20" t="s">
        <v>378</v>
      </c>
      <c r="D135" s="76" t="s">
        <v>54</v>
      </c>
      <c r="E135" s="13" t="s">
        <v>349</v>
      </c>
      <c r="F135" s="13" t="s">
        <v>50</v>
      </c>
      <c r="G135" s="13" t="s">
        <v>55</v>
      </c>
      <c r="H135" s="65">
        <v>45231</v>
      </c>
      <c r="I135" s="21">
        <f t="shared" ca="1" si="97"/>
        <v>45974</v>
      </c>
      <c r="J135" s="13" t="str">
        <f t="shared" ca="1" si="77"/>
        <v xml:space="preserve">2 Tahun 0 Bulan 12 Hari </v>
      </c>
      <c r="K135" s="13">
        <f t="shared" ca="1" si="98"/>
        <v>1069920</v>
      </c>
      <c r="L135" s="13">
        <v>338</v>
      </c>
      <c r="M135" s="13">
        <v>6</v>
      </c>
      <c r="N135" s="13">
        <v>2750</v>
      </c>
      <c r="O135" s="22">
        <f t="shared" si="78"/>
        <v>458.33333333333331</v>
      </c>
      <c r="P135" s="13">
        <v>432</v>
      </c>
      <c r="Q135" s="23">
        <f t="shared" si="79"/>
        <v>0.8</v>
      </c>
      <c r="R135" s="24">
        <f t="shared" si="80"/>
        <v>4</v>
      </c>
      <c r="S135" s="25">
        <f t="shared" si="99"/>
        <v>0.94254545454545458</v>
      </c>
      <c r="T135" s="25">
        <f t="shared" si="81"/>
        <v>0.18850909090909093</v>
      </c>
      <c r="U135" s="26">
        <v>2.8708576998050704E-2</v>
      </c>
      <c r="V135" s="26">
        <v>2.1290954415954414E-2</v>
      </c>
      <c r="W135" s="26">
        <v>0</v>
      </c>
      <c r="X135" s="27">
        <f>IF(U135=TIME(0,0,0), 0, IF(U135&lt;=TIME(1,30,0), 1, 0))</f>
        <v>1</v>
      </c>
      <c r="Y135" s="27">
        <f t="shared" si="82"/>
        <v>1</v>
      </c>
      <c r="Z135" s="27">
        <f t="shared" si="71"/>
        <v>0</v>
      </c>
      <c r="AA135" s="23">
        <f t="shared" si="75"/>
        <v>0.8</v>
      </c>
      <c r="AB135" s="24">
        <f t="shared" si="83"/>
        <v>2</v>
      </c>
      <c r="AC135" s="28">
        <f t="shared" si="84"/>
        <v>0.66666666666666663</v>
      </c>
      <c r="AD135" s="29">
        <f t="shared" si="85"/>
        <v>0.16666666666666666</v>
      </c>
      <c r="AE135" s="30">
        <v>5.1858100375095986E-2</v>
      </c>
      <c r="AF135" s="23">
        <f t="shared" si="86"/>
        <v>1</v>
      </c>
      <c r="AG135" s="24">
        <f t="shared" si="87"/>
        <v>4</v>
      </c>
      <c r="AH135" s="28">
        <f t="shared" si="88"/>
        <v>0.8</v>
      </c>
      <c r="AI135" s="29">
        <f t="shared" si="89"/>
        <v>0.2</v>
      </c>
      <c r="AJ135" s="31">
        <v>1</v>
      </c>
      <c r="AK135" s="31">
        <v>1</v>
      </c>
      <c r="AL135" s="31">
        <v>1</v>
      </c>
      <c r="AM135" s="31">
        <v>0</v>
      </c>
      <c r="AN135" s="31">
        <v>0</v>
      </c>
      <c r="AO135" s="31">
        <v>0</v>
      </c>
      <c r="AP135" s="31">
        <v>0</v>
      </c>
      <c r="AQ135" s="31">
        <v>0</v>
      </c>
      <c r="AR135" s="23">
        <f t="shared" si="90"/>
        <v>0.6</v>
      </c>
      <c r="AS135" s="24">
        <f t="shared" si="91"/>
        <v>3</v>
      </c>
      <c r="AT135" s="28">
        <f t="shared" si="92"/>
        <v>0.375</v>
      </c>
      <c r="AU135" s="28">
        <f t="shared" si="93"/>
        <v>5.6249999999999994E-2</v>
      </c>
      <c r="AV135" s="32">
        <v>75</v>
      </c>
      <c r="AW135" s="32">
        <v>75</v>
      </c>
      <c r="AX135" s="32">
        <v>90</v>
      </c>
      <c r="AY135" s="32">
        <v>85</v>
      </c>
      <c r="AZ135" s="32">
        <v>80</v>
      </c>
      <c r="BA135" s="32">
        <v>100</v>
      </c>
      <c r="BB135" s="23">
        <f t="shared" ca="1" si="94"/>
        <v>0.8</v>
      </c>
      <c r="BC135" s="33">
        <f t="shared" si="100"/>
        <v>84.166666666666671</v>
      </c>
      <c r="BD135" s="28">
        <f t="shared" si="95"/>
        <v>0.94059405940594054</v>
      </c>
      <c r="BE135" s="28">
        <f t="shared" si="96"/>
        <v>0.18811881188118812</v>
      </c>
      <c r="BF135" s="34">
        <f ca="1">Q135+AA135+AF135+AR135+BB135</f>
        <v>4</v>
      </c>
      <c r="BG135" s="34">
        <f>AVERAGE(AV135:AZ135)</f>
        <v>81</v>
      </c>
      <c r="BH135" s="35">
        <f>T135+AD135+AI135+AU135+BE135</f>
        <v>0.79954456945694585</v>
      </c>
      <c r="BI135" s="36" t="str">
        <f ca="1">IF(K135&lt;365,"New CE",(IF(BH135&gt;=100%,"Promote",IF(BH135&gt;=90%,"Sangat Baik",IF(BH135&gt;=80%,"Baik",IF(BH135&gt;=70%,"Lebih Dari Cukup",IF(BH135&gt;=60%,"Cukup","Kurang")))))))</f>
        <v>Lebih Dari Cukup</v>
      </c>
      <c r="BJ135" s="36" t="s">
        <v>855</v>
      </c>
      <c r="BK135" s="58" t="s">
        <v>48</v>
      </c>
      <c r="BL135" s="59" t="e">
        <v>#N/A</v>
      </c>
    </row>
    <row r="136" spans="1:64" x14ac:dyDescent="0.35">
      <c r="A136" s="19">
        <v>132</v>
      </c>
      <c r="B136" s="13" t="s">
        <v>379</v>
      </c>
      <c r="C136" s="20" t="s">
        <v>380</v>
      </c>
      <c r="D136" s="76" t="s">
        <v>48</v>
      </c>
      <c r="E136" s="13" t="s">
        <v>98</v>
      </c>
      <c r="F136" s="13" t="s">
        <v>50</v>
      </c>
      <c r="G136" s="13" t="s">
        <v>55</v>
      </c>
      <c r="H136" s="65">
        <v>43627</v>
      </c>
      <c r="I136" s="21">
        <f t="shared" ca="1" si="97"/>
        <v>45974</v>
      </c>
      <c r="J136" s="13" t="str">
        <f t="shared" ca="1" si="77"/>
        <v xml:space="preserve">6 Tahun 5 Bulan 2 Hari </v>
      </c>
      <c r="K136" s="13">
        <f t="shared" ca="1" si="98"/>
        <v>3379680</v>
      </c>
      <c r="L136" s="13">
        <v>1040</v>
      </c>
      <c r="M136" s="13">
        <v>17</v>
      </c>
      <c r="N136" s="13">
        <v>7455</v>
      </c>
      <c r="O136" s="22">
        <f t="shared" si="78"/>
        <v>438.52941176470586</v>
      </c>
      <c r="P136" s="13">
        <v>445</v>
      </c>
      <c r="Q136" s="23">
        <f t="shared" si="79"/>
        <v>1</v>
      </c>
      <c r="R136" s="24">
        <f t="shared" si="80"/>
        <v>5</v>
      </c>
      <c r="S136" s="25">
        <f t="shared" si="99"/>
        <v>1.0147551978537894</v>
      </c>
      <c r="T136" s="25">
        <f t="shared" si="81"/>
        <v>0.20295103957075789</v>
      </c>
      <c r="U136" s="26">
        <v>7.1527777777777773E-2</v>
      </c>
      <c r="V136" s="26">
        <v>0</v>
      </c>
      <c r="W136" s="26">
        <v>0</v>
      </c>
      <c r="X136" s="27">
        <v>1</v>
      </c>
      <c r="Y136" s="27">
        <f t="shared" si="82"/>
        <v>0</v>
      </c>
      <c r="Z136" s="27">
        <f t="shared" si="71"/>
        <v>0</v>
      </c>
      <c r="AA136" s="23">
        <f t="shared" si="75"/>
        <v>0.4</v>
      </c>
      <c r="AB136" s="24">
        <f t="shared" si="83"/>
        <v>1</v>
      </c>
      <c r="AC136" s="28">
        <f t="shared" si="84"/>
        <v>0.33333333333333331</v>
      </c>
      <c r="AD136" s="29">
        <f t="shared" si="85"/>
        <v>8.3333333333333329E-2</v>
      </c>
      <c r="AE136" s="30">
        <v>3.3108202699482572E-2</v>
      </c>
      <c r="AF136" s="23">
        <f t="shared" si="86"/>
        <v>1.25</v>
      </c>
      <c r="AG136" s="24">
        <f t="shared" si="87"/>
        <v>5</v>
      </c>
      <c r="AH136" s="28">
        <f t="shared" si="88"/>
        <v>1</v>
      </c>
      <c r="AI136" s="29">
        <f t="shared" si="89"/>
        <v>0.25</v>
      </c>
      <c r="AJ136" s="31">
        <v>1</v>
      </c>
      <c r="AK136" s="31">
        <v>1</v>
      </c>
      <c r="AL136" s="31">
        <v>1</v>
      </c>
      <c r="AM136" s="31">
        <v>1</v>
      </c>
      <c r="AN136" s="31">
        <v>0</v>
      </c>
      <c r="AO136" s="31">
        <v>0</v>
      </c>
      <c r="AP136" s="31">
        <v>0</v>
      </c>
      <c r="AQ136" s="31">
        <v>0</v>
      </c>
      <c r="AR136" s="23">
        <f t="shared" si="90"/>
        <v>0.8</v>
      </c>
      <c r="AS136" s="24">
        <f t="shared" si="91"/>
        <v>4</v>
      </c>
      <c r="AT136" s="28">
        <f t="shared" si="92"/>
        <v>0.5</v>
      </c>
      <c r="AU136" s="28">
        <f t="shared" si="93"/>
        <v>7.4999999999999997E-2</v>
      </c>
      <c r="AV136" s="32">
        <v>75</v>
      </c>
      <c r="AW136" s="32">
        <v>75</v>
      </c>
      <c r="AX136" s="32">
        <v>90</v>
      </c>
      <c r="AY136" s="32">
        <v>90</v>
      </c>
      <c r="AZ136" s="32">
        <v>85</v>
      </c>
      <c r="BA136" s="32">
        <v>100</v>
      </c>
      <c r="BB136" s="23">
        <f t="shared" ca="1" si="94"/>
        <v>0.8</v>
      </c>
      <c r="BC136" s="33">
        <f t="shared" si="100"/>
        <v>85.833333333333329</v>
      </c>
      <c r="BD136" s="28">
        <f t="shared" si="95"/>
        <v>0.94174757281553401</v>
      </c>
      <c r="BE136" s="28">
        <f t="shared" si="96"/>
        <v>0.18834951456310681</v>
      </c>
      <c r="BF136" s="34">
        <f ca="1">Q136+AA136+AF136+AR136+BB136</f>
        <v>4.25</v>
      </c>
      <c r="BG136" s="34">
        <f>AVERAGE(AV136:AZ136)</f>
        <v>83</v>
      </c>
      <c r="BH136" s="35">
        <f>T136+AD136+AI136+AU136+BE136</f>
        <v>0.79963388746719788</v>
      </c>
      <c r="BI136" s="36" t="str">
        <f ca="1">IF(K136&lt;365,"New CE",(IF(BH136&gt;=100%,"Promote",IF(BH136&gt;=90%,"Sangat Baik",IF(BH136&gt;=80%,"Baik",IF(BH136&gt;=70%,"Lebih Dari Cukup",IF(BH136&gt;=60%,"Cukup","Kurang")))))))</f>
        <v>Lebih Dari Cukup</v>
      </c>
      <c r="BJ136" s="36" t="s">
        <v>855</v>
      </c>
      <c r="BK136" s="58" t="s">
        <v>851</v>
      </c>
      <c r="BL136" s="59" t="e">
        <v>#N/A</v>
      </c>
    </row>
    <row r="137" spans="1:64" x14ac:dyDescent="0.35">
      <c r="A137" s="19">
        <v>133</v>
      </c>
      <c r="B137" s="13" t="s">
        <v>381</v>
      </c>
      <c r="C137" s="20" t="s">
        <v>382</v>
      </c>
      <c r="D137" s="76" t="s">
        <v>54</v>
      </c>
      <c r="E137" s="13" t="s">
        <v>141</v>
      </c>
      <c r="F137" s="13" t="s">
        <v>44</v>
      </c>
      <c r="G137" s="13" t="s">
        <v>55</v>
      </c>
      <c r="H137" s="65">
        <v>44837</v>
      </c>
      <c r="I137" s="21">
        <f t="shared" ca="1" si="97"/>
        <v>45974</v>
      </c>
      <c r="J137" s="13" t="str">
        <f t="shared" ca="1" si="77"/>
        <v xml:space="preserve">3 Tahun 1 Bulan 10 Hari </v>
      </c>
      <c r="K137" s="13">
        <f t="shared" ca="1" si="98"/>
        <v>1637280</v>
      </c>
      <c r="L137" s="13">
        <v>358</v>
      </c>
      <c r="M137" s="13">
        <v>7</v>
      </c>
      <c r="N137" s="13">
        <v>2648</v>
      </c>
      <c r="O137" s="22">
        <f t="shared" si="78"/>
        <v>378.28571428571428</v>
      </c>
      <c r="P137" s="13">
        <v>392</v>
      </c>
      <c r="Q137" s="23">
        <f t="shared" si="79"/>
        <v>1</v>
      </c>
      <c r="R137" s="24">
        <f t="shared" si="80"/>
        <v>5</v>
      </c>
      <c r="S137" s="25">
        <f t="shared" si="99"/>
        <v>1.0362537764350452</v>
      </c>
      <c r="T137" s="25">
        <f t="shared" si="81"/>
        <v>0.20725075528700906</v>
      </c>
      <c r="U137" s="26">
        <v>2.705096879286694E-2</v>
      </c>
      <c r="V137" s="26">
        <v>2.3105709876543212E-2</v>
      </c>
      <c r="W137" s="26">
        <v>0</v>
      </c>
      <c r="X137" s="27">
        <f>IF(U137=TIME(0,0,0), 0, IF(U137&lt;=TIME(1,30,0), 1, 0))</f>
        <v>1</v>
      </c>
      <c r="Y137" s="27">
        <f t="shared" si="82"/>
        <v>1</v>
      </c>
      <c r="Z137" s="27">
        <f t="shared" si="71"/>
        <v>0</v>
      </c>
      <c r="AA137" s="23">
        <f t="shared" si="75"/>
        <v>0.8</v>
      </c>
      <c r="AB137" s="24">
        <f t="shared" si="83"/>
        <v>2</v>
      </c>
      <c r="AC137" s="28">
        <f t="shared" si="84"/>
        <v>0.66666666666666663</v>
      </c>
      <c r="AD137" s="29">
        <f t="shared" si="85"/>
        <v>0.16666666666666666</v>
      </c>
      <c r="AE137" s="30">
        <v>5.4189814814814816E-2</v>
      </c>
      <c r="AF137" s="23">
        <f t="shared" si="86"/>
        <v>1</v>
      </c>
      <c r="AG137" s="24">
        <f t="shared" si="87"/>
        <v>4</v>
      </c>
      <c r="AH137" s="28">
        <f t="shared" si="88"/>
        <v>0.8</v>
      </c>
      <c r="AI137" s="29">
        <f t="shared" si="89"/>
        <v>0.2</v>
      </c>
      <c r="AJ137" s="31">
        <v>1</v>
      </c>
      <c r="AK137" s="31">
        <v>1</v>
      </c>
      <c r="AL137" s="31">
        <v>0</v>
      </c>
      <c r="AM137" s="31">
        <v>0</v>
      </c>
      <c r="AN137" s="31">
        <v>0</v>
      </c>
      <c r="AO137" s="31">
        <v>0</v>
      </c>
      <c r="AP137" s="31">
        <v>0</v>
      </c>
      <c r="AQ137" s="31">
        <v>0</v>
      </c>
      <c r="AR137" s="23">
        <f t="shared" si="90"/>
        <v>0.4</v>
      </c>
      <c r="AS137" s="24">
        <f t="shared" si="91"/>
        <v>2</v>
      </c>
      <c r="AT137" s="28">
        <f t="shared" si="92"/>
        <v>0.25</v>
      </c>
      <c r="AU137" s="28">
        <f t="shared" si="93"/>
        <v>3.7499999999999999E-2</v>
      </c>
      <c r="AV137" s="32">
        <v>75</v>
      </c>
      <c r="AW137" s="32">
        <v>75</v>
      </c>
      <c r="AX137" s="32">
        <v>80</v>
      </c>
      <c r="AY137" s="32">
        <v>80</v>
      </c>
      <c r="AZ137" s="32">
        <v>80</v>
      </c>
      <c r="BA137" s="32">
        <v>100</v>
      </c>
      <c r="BB137" s="23">
        <f t="shared" ca="1" si="94"/>
        <v>0.8</v>
      </c>
      <c r="BC137" s="33">
        <f t="shared" si="100"/>
        <v>81.666666666666671</v>
      </c>
      <c r="BD137" s="28">
        <f t="shared" si="95"/>
        <v>0.93877551020408168</v>
      </c>
      <c r="BE137" s="28">
        <f t="shared" si="96"/>
        <v>0.18775510204081636</v>
      </c>
      <c r="BF137" s="34">
        <f ca="1">Q137+AA137+AF137+AR137+BB137</f>
        <v>4</v>
      </c>
      <c r="BG137" s="34">
        <f>AVERAGE(AV137:AZ137)</f>
        <v>78</v>
      </c>
      <c r="BH137" s="35">
        <f>T137+AD137+AI137+AU137+BE137</f>
        <v>0.79917252399449212</v>
      </c>
      <c r="BI137" s="36" t="str">
        <f ca="1">IF(K137&lt;365,"New CE",(IF(BH137&gt;=100%,"Promote",IF(BH137&gt;=90%,"Sangat Baik",IF(BH137&gt;=80%,"Baik",IF(BH137&gt;=70%,"Lebih Dari Cukup",IF(BH137&gt;=60%,"Cukup","Kurang")))))))</f>
        <v>Lebih Dari Cukup</v>
      </c>
      <c r="BJ137" s="36" t="s">
        <v>855</v>
      </c>
      <c r="BK137" s="58" t="s">
        <v>48</v>
      </c>
      <c r="BL137" s="59" t="e">
        <v>#N/A</v>
      </c>
    </row>
    <row r="138" spans="1:64" x14ac:dyDescent="0.35">
      <c r="A138" s="19">
        <v>134</v>
      </c>
      <c r="B138" s="13" t="s">
        <v>383</v>
      </c>
      <c r="C138" s="20" t="s">
        <v>384</v>
      </c>
      <c r="D138" s="76" t="s">
        <v>48</v>
      </c>
      <c r="E138" s="13" t="s">
        <v>98</v>
      </c>
      <c r="F138" s="13" t="s">
        <v>50</v>
      </c>
      <c r="G138" s="13" t="s">
        <v>51</v>
      </c>
      <c r="H138" s="65">
        <v>44466</v>
      </c>
      <c r="I138" s="21">
        <f t="shared" ca="1" si="97"/>
        <v>45974</v>
      </c>
      <c r="J138" s="13" t="str">
        <f t="shared" ca="1" si="77"/>
        <v xml:space="preserve">4 Tahun 1 Bulan 17 Hari </v>
      </c>
      <c r="K138" s="13">
        <f t="shared" ca="1" si="98"/>
        <v>2171520</v>
      </c>
      <c r="L138" s="13">
        <v>1040</v>
      </c>
      <c r="M138" s="13">
        <v>17</v>
      </c>
      <c r="N138" s="13">
        <v>7455</v>
      </c>
      <c r="O138" s="22">
        <f t="shared" si="78"/>
        <v>438.52941176470586</v>
      </c>
      <c r="P138" s="13">
        <v>486</v>
      </c>
      <c r="Q138" s="23">
        <f t="shared" si="79"/>
        <v>1</v>
      </c>
      <c r="R138" s="24">
        <f t="shared" si="80"/>
        <v>5</v>
      </c>
      <c r="S138" s="25">
        <f t="shared" si="99"/>
        <v>1.1082494969818915</v>
      </c>
      <c r="T138" s="25">
        <f t="shared" si="81"/>
        <v>0.2216498993963783</v>
      </c>
      <c r="U138" s="26">
        <v>6.805555555555555E-2</v>
      </c>
      <c r="V138" s="26">
        <v>0</v>
      </c>
      <c r="W138" s="26">
        <v>0</v>
      </c>
      <c r="X138" s="27">
        <v>1</v>
      </c>
      <c r="Y138" s="27">
        <f t="shared" si="82"/>
        <v>0</v>
      </c>
      <c r="Z138" s="27">
        <f t="shared" si="71"/>
        <v>0</v>
      </c>
      <c r="AA138" s="23">
        <f t="shared" si="75"/>
        <v>0.4</v>
      </c>
      <c r="AB138" s="24">
        <f t="shared" si="83"/>
        <v>1</v>
      </c>
      <c r="AC138" s="28">
        <f t="shared" si="84"/>
        <v>0.33333333333333331</v>
      </c>
      <c r="AD138" s="29">
        <f t="shared" si="85"/>
        <v>8.3333333333333329E-2</v>
      </c>
      <c r="AE138" s="30">
        <v>2.704861111111111E-2</v>
      </c>
      <c r="AF138" s="23">
        <f t="shared" si="86"/>
        <v>1.25</v>
      </c>
      <c r="AG138" s="24">
        <f t="shared" si="87"/>
        <v>5</v>
      </c>
      <c r="AH138" s="28">
        <f t="shared" si="88"/>
        <v>1</v>
      </c>
      <c r="AI138" s="29">
        <f t="shared" si="89"/>
        <v>0.25</v>
      </c>
      <c r="AJ138" s="31">
        <v>1</v>
      </c>
      <c r="AK138" s="31">
        <v>1</v>
      </c>
      <c r="AL138" s="31">
        <v>1</v>
      </c>
      <c r="AM138" s="31">
        <v>0</v>
      </c>
      <c r="AN138" s="31">
        <v>0</v>
      </c>
      <c r="AO138" s="31">
        <v>0</v>
      </c>
      <c r="AP138" s="31">
        <v>0</v>
      </c>
      <c r="AQ138" s="31">
        <v>0</v>
      </c>
      <c r="AR138" s="23">
        <f t="shared" si="90"/>
        <v>0.6</v>
      </c>
      <c r="AS138" s="24">
        <f t="shared" si="91"/>
        <v>3</v>
      </c>
      <c r="AT138" s="28">
        <f t="shared" si="92"/>
        <v>0.375</v>
      </c>
      <c r="AU138" s="28">
        <f t="shared" si="93"/>
        <v>5.6249999999999994E-2</v>
      </c>
      <c r="AV138" s="32">
        <v>75</v>
      </c>
      <c r="AW138" s="32">
        <v>75</v>
      </c>
      <c r="AX138" s="32">
        <v>90</v>
      </c>
      <c r="AY138" s="32">
        <v>90</v>
      </c>
      <c r="AZ138" s="32">
        <v>85</v>
      </c>
      <c r="BA138" s="32">
        <v>100</v>
      </c>
      <c r="BB138" s="23">
        <f t="shared" ca="1" si="94"/>
        <v>0.8</v>
      </c>
      <c r="BC138" s="33">
        <f t="shared" si="100"/>
        <v>85.833333333333329</v>
      </c>
      <c r="BD138" s="28">
        <f t="shared" si="95"/>
        <v>0.94174757281553401</v>
      </c>
      <c r="BE138" s="28">
        <f t="shared" si="96"/>
        <v>0.18834951456310681</v>
      </c>
      <c r="BF138" s="34">
        <f ca="1">Q138+AA138+AF138+AR138+BB138</f>
        <v>4.05</v>
      </c>
      <c r="BG138" s="34">
        <f>AVERAGE(AV138:AZ138)</f>
        <v>83</v>
      </c>
      <c r="BH138" s="35">
        <f>T138+AD138+AI138+AU138+BE138</f>
        <v>0.79958274729281842</v>
      </c>
      <c r="BI138" s="36" t="str">
        <f ca="1">IF(K138&lt;365,"New CE",(IF(BH138&gt;=100%,"Promote",IF(BH138&gt;=90%,"Sangat Baik",IF(BH138&gt;=80%,"Baik",IF(BH138&gt;=70%,"Lebih Dari Cukup",IF(BH138&gt;=60%,"Cukup","Kurang")))))))</f>
        <v>Lebih Dari Cukup</v>
      </c>
      <c r="BJ138" s="36" t="s">
        <v>855</v>
      </c>
      <c r="BK138" s="58" t="s">
        <v>851</v>
      </c>
      <c r="BL138" s="59" t="e">
        <v>#N/A</v>
      </c>
    </row>
    <row r="139" spans="1:64" x14ac:dyDescent="0.35">
      <c r="A139" s="19">
        <v>135</v>
      </c>
      <c r="B139" s="13" t="s">
        <v>385</v>
      </c>
      <c r="C139" s="20" t="s">
        <v>386</v>
      </c>
      <c r="D139" s="76" t="s">
        <v>54</v>
      </c>
      <c r="E139" s="13" t="s">
        <v>349</v>
      </c>
      <c r="F139" s="13" t="s">
        <v>50</v>
      </c>
      <c r="G139" s="13" t="s">
        <v>61</v>
      </c>
      <c r="H139" s="65">
        <v>44935</v>
      </c>
      <c r="I139" s="21">
        <f t="shared" ca="1" si="97"/>
        <v>45974</v>
      </c>
      <c r="J139" s="13" t="str">
        <f t="shared" ca="1" si="77"/>
        <v xml:space="preserve">2 Tahun 10 Bulan 4 Hari </v>
      </c>
      <c r="K139" s="13">
        <f t="shared" ca="1" si="98"/>
        <v>1496160</v>
      </c>
      <c r="L139" s="13">
        <v>338</v>
      </c>
      <c r="M139" s="13">
        <v>6</v>
      </c>
      <c r="N139" s="13">
        <v>2750</v>
      </c>
      <c r="O139" s="22">
        <f t="shared" si="78"/>
        <v>458.33333333333331</v>
      </c>
      <c r="P139" s="13">
        <v>465</v>
      </c>
      <c r="Q139" s="23">
        <f t="shared" si="79"/>
        <v>1</v>
      </c>
      <c r="R139" s="24">
        <f t="shared" si="80"/>
        <v>5</v>
      </c>
      <c r="S139" s="25">
        <f t="shared" si="99"/>
        <v>1.0145454545454546</v>
      </c>
      <c r="T139" s="25">
        <f t="shared" si="81"/>
        <v>0.20290909090909093</v>
      </c>
      <c r="U139" s="26">
        <v>14358.282347063945</v>
      </c>
      <c r="V139" s="26">
        <v>7.1875000000000003E-3</v>
      </c>
      <c r="W139" s="26">
        <v>0</v>
      </c>
      <c r="X139" s="27">
        <f t="shared" ref="X139:X147" si="101">IF(U139=TIME(0,0,0), 0, IF(U139&lt;=TIME(1,30,0), 1, 0))</f>
        <v>0</v>
      </c>
      <c r="Y139" s="27">
        <f t="shared" si="82"/>
        <v>1</v>
      </c>
      <c r="Z139" s="27">
        <f t="shared" si="71"/>
        <v>0</v>
      </c>
      <c r="AA139" s="23">
        <f t="shared" si="75"/>
        <v>0.4</v>
      </c>
      <c r="AB139" s="24">
        <f t="shared" si="83"/>
        <v>1</v>
      </c>
      <c r="AC139" s="28">
        <f t="shared" si="84"/>
        <v>0.33333333333333331</v>
      </c>
      <c r="AD139" s="29">
        <f t="shared" si="85"/>
        <v>8.3333333333333329E-2</v>
      </c>
      <c r="AE139" s="30">
        <v>3.5096413201096202E-2</v>
      </c>
      <c r="AF139" s="23">
        <f t="shared" si="86"/>
        <v>1.25</v>
      </c>
      <c r="AG139" s="24">
        <f t="shared" si="87"/>
        <v>5</v>
      </c>
      <c r="AH139" s="28">
        <f t="shared" si="88"/>
        <v>1</v>
      </c>
      <c r="AI139" s="29">
        <f t="shared" si="89"/>
        <v>0.25</v>
      </c>
      <c r="AJ139" s="31">
        <v>1</v>
      </c>
      <c r="AK139" s="31">
        <v>1</v>
      </c>
      <c r="AL139" s="31">
        <v>1</v>
      </c>
      <c r="AM139" s="31">
        <v>0</v>
      </c>
      <c r="AN139" s="31">
        <v>0</v>
      </c>
      <c r="AO139" s="31">
        <v>0</v>
      </c>
      <c r="AP139" s="31">
        <v>0</v>
      </c>
      <c r="AQ139" s="31">
        <v>1</v>
      </c>
      <c r="AR139" s="23">
        <f t="shared" si="90"/>
        <v>0.8</v>
      </c>
      <c r="AS139" s="24">
        <f t="shared" si="91"/>
        <v>4</v>
      </c>
      <c r="AT139" s="28">
        <f t="shared" si="92"/>
        <v>0.5</v>
      </c>
      <c r="AU139" s="28">
        <f t="shared" si="93"/>
        <v>7.4999999999999997E-2</v>
      </c>
      <c r="AV139" s="32">
        <v>75</v>
      </c>
      <c r="AW139" s="32">
        <v>75</v>
      </c>
      <c r="AX139" s="32">
        <v>90</v>
      </c>
      <c r="AY139" s="32">
        <v>85</v>
      </c>
      <c r="AZ139" s="32">
        <v>80</v>
      </c>
      <c r="BA139" s="32">
        <v>100</v>
      </c>
      <c r="BB139" s="23">
        <f t="shared" ca="1" si="94"/>
        <v>0.8</v>
      </c>
      <c r="BC139" s="33">
        <f t="shared" si="100"/>
        <v>84.166666666666671</v>
      </c>
      <c r="BD139" s="28">
        <f t="shared" si="95"/>
        <v>0.94059405940594054</v>
      </c>
      <c r="BE139" s="28">
        <f t="shared" si="96"/>
        <v>0.18811881188118812</v>
      </c>
      <c r="BF139" s="34">
        <f ca="1">Q139+AA139+AF139+AR139+BB139</f>
        <v>4.25</v>
      </c>
      <c r="BG139" s="34">
        <f>AVERAGE(AV139:AZ139)</f>
        <v>81</v>
      </c>
      <c r="BH139" s="35">
        <f>T139+AD139+AI139+AU139+BE139</f>
        <v>0.79936123612361221</v>
      </c>
      <c r="BI139" s="36" t="str">
        <f ca="1">IF(K139&lt;365,"New CE",(IF(BH139&gt;=100%,"Promote",IF(BH139&gt;=90%,"Sangat Baik",IF(BH139&gt;=80%,"Baik",IF(BH139&gt;=70%,"Lebih Dari Cukup",IF(BH139&gt;=60%,"Cukup","Kurang")))))))</f>
        <v>Lebih Dari Cukup</v>
      </c>
      <c r="BJ139" s="36" t="s">
        <v>855</v>
      </c>
      <c r="BK139" s="58" t="s">
        <v>48</v>
      </c>
      <c r="BL139" s="59" t="e">
        <v>#N/A</v>
      </c>
    </row>
    <row r="140" spans="1:64" x14ac:dyDescent="0.35">
      <c r="A140" s="19">
        <v>136</v>
      </c>
      <c r="B140" s="13" t="s">
        <v>387</v>
      </c>
      <c r="C140" s="20" t="s">
        <v>388</v>
      </c>
      <c r="D140" s="76" t="s">
        <v>54</v>
      </c>
      <c r="E140" s="13" t="s">
        <v>325</v>
      </c>
      <c r="F140" s="13" t="s">
        <v>44</v>
      </c>
      <c r="G140" s="13" t="s">
        <v>55</v>
      </c>
      <c r="H140" s="65">
        <v>45306</v>
      </c>
      <c r="I140" s="21">
        <f t="shared" ca="1" si="97"/>
        <v>45974</v>
      </c>
      <c r="J140" s="13" t="str">
        <f t="shared" ca="1" si="77"/>
        <v xml:space="preserve">1 Tahun 9 Bulan 29 Hari </v>
      </c>
      <c r="K140" s="13">
        <f t="shared" ca="1" si="98"/>
        <v>961920</v>
      </c>
      <c r="L140" s="13">
        <v>241</v>
      </c>
      <c r="M140" s="13">
        <v>4</v>
      </c>
      <c r="N140" s="13">
        <v>1968</v>
      </c>
      <c r="O140" s="22">
        <f t="shared" si="78"/>
        <v>492</v>
      </c>
      <c r="P140" s="13">
        <v>417</v>
      </c>
      <c r="Q140" s="23">
        <f t="shared" si="79"/>
        <v>0.8</v>
      </c>
      <c r="R140" s="24">
        <f t="shared" si="80"/>
        <v>4</v>
      </c>
      <c r="S140" s="25">
        <f t="shared" si="99"/>
        <v>0.84756097560975607</v>
      </c>
      <c r="T140" s="25">
        <f t="shared" si="81"/>
        <v>0.16951219512195123</v>
      </c>
      <c r="U140" s="26">
        <v>597.68524625365501</v>
      </c>
      <c r="V140" s="26">
        <v>0.10449426328502413</v>
      </c>
      <c r="W140" s="26">
        <v>0.31216435185185182</v>
      </c>
      <c r="X140" s="27">
        <f t="shared" si="101"/>
        <v>0</v>
      </c>
      <c r="Y140" s="27">
        <f t="shared" si="82"/>
        <v>1</v>
      </c>
      <c r="Z140" s="27">
        <f t="shared" si="71"/>
        <v>1</v>
      </c>
      <c r="AA140" s="23">
        <f t="shared" si="75"/>
        <v>0.8</v>
      </c>
      <c r="AB140" s="24">
        <f t="shared" si="83"/>
        <v>2</v>
      </c>
      <c r="AC140" s="28">
        <f t="shared" si="84"/>
        <v>0.66666666666666663</v>
      </c>
      <c r="AD140" s="29">
        <f t="shared" si="85"/>
        <v>0.16666666666666666</v>
      </c>
      <c r="AE140" s="30">
        <v>7.9945237482853204E-2</v>
      </c>
      <c r="AF140" s="23">
        <f t="shared" si="86"/>
        <v>1</v>
      </c>
      <c r="AG140" s="24">
        <f t="shared" si="87"/>
        <v>4</v>
      </c>
      <c r="AH140" s="28">
        <f t="shared" si="88"/>
        <v>0.8</v>
      </c>
      <c r="AI140" s="29">
        <f t="shared" si="89"/>
        <v>0.2</v>
      </c>
      <c r="AJ140" s="31">
        <v>1</v>
      </c>
      <c r="AK140" s="31">
        <v>1</v>
      </c>
      <c r="AL140" s="31">
        <v>1</v>
      </c>
      <c r="AM140" s="31">
        <v>0</v>
      </c>
      <c r="AN140" s="31">
        <v>0</v>
      </c>
      <c r="AO140" s="31">
        <v>1</v>
      </c>
      <c r="AP140" s="31">
        <v>0</v>
      </c>
      <c r="AQ140" s="31">
        <v>0</v>
      </c>
      <c r="AR140" s="23">
        <f t="shared" si="90"/>
        <v>0.8</v>
      </c>
      <c r="AS140" s="24">
        <f t="shared" si="91"/>
        <v>4</v>
      </c>
      <c r="AT140" s="28">
        <f t="shared" si="92"/>
        <v>0.5</v>
      </c>
      <c r="AU140" s="28">
        <f t="shared" si="93"/>
        <v>7.4999999999999997E-2</v>
      </c>
      <c r="AV140" s="32">
        <v>75</v>
      </c>
      <c r="AW140" s="32">
        <v>75</v>
      </c>
      <c r="AX140" s="32">
        <v>80</v>
      </c>
      <c r="AY140" s="32">
        <v>80</v>
      </c>
      <c r="AZ140" s="32">
        <v>80</v>
      </c>
      <c r="BA140" s="32">
        <v>100</v>
      </c>
      <c r="BB140" s="23">
        <f t="shared" ca="1" si="94"/>
        <v>0.8</v>
      </c>
      <c r="BC140" s="33">
        <f t="shared" si="100"/>
        <v>81.666666666666671</v>
      </c>
      <c r="BD140" s="28">
        <f t="shared" si="95"/>
        <v>0.93877551020408168</v>
      </c>
      <c r="BE140" s="28">
        <f t="shared" si="96"/>
        <v>0.18775510204081636</v>
      </c>
      <c r="BF140" s="34">
        <f ca="1">Q140+AA140+AF140+AR140+BB140</f>
        <v>4.2</v>
      </c>
      <c r="BG140" s="34">
        <f>AVERAGE(AV140:AZ140)</f>
        <v>78</v>
      </c>
      <c r="BH140" s="35">
        <f>T140+AD140+AI140+AU140+BE140</f>
        <v>0.79893396382943416</v>
      </c>
      <c r="BI140" s="36" t="str">
        <f ca="1">IF(K140&lt;365,"New CE",(IF(BH140&gt;=100%,"Promote",IF(BH140&gt;=90%,"Sangat Baik",IF(BH140&gt;=80%,"Baik",IF(BH140&gt;=70%,"Lebih Dari Cukup",IF(BH140&gt;=60%,"Cukup","Kurang")))))))</f>
        <v>Lebih Dari Cukup</v>
      </c>
      <c r="BJ140" s="36" t="s">
        <v>860</v>
      </c>
      <c r="BK140" s="58" t="s">
        <v>54</v>
      </c>
      <c r="BL140" s="59" t="e">
        <v>#N/A</v>
      </c>
    </row>
    <row r="141" spans="1:64" x14ac:dyDescent="0.35">
      <c r="A141" s="19">
        <v>137</v>
      </c>
      <c r="B141" s="13" t="s">
        <v>389</v>
      </c>
      <c r="C141" s="20" t="s">
        <v>390</v>
      </c>
      <c r="D141" s="76" t="s">
        <v>42</v>
      </c>
      <c r="E141" s="13" t="s">
        <v>391</v>
      </c>
      <c r="F141" s="13" t="s">
        <v>74</v>
      </c>
      <c r="G141" s="13" t="s">
        <v>61</v>
      </c>
      <c r="H141" s="65">
        <v>42618</v>
      </c>
      <c r="I141" s="21">
        <f t="shared" ca="1" si="97"/>
        <v>45974</v>
      </c>
      <c r="J141" s="13" t="str">
        <f t="shared" ca="1" si="77"/>
        <v xml:space="preserve">9 Tahun 2 Bulan 8 Hari </v>
      </c>
      <c r="K141" s="13">
        <f t="shared" ca="1" si="98"/>
        <v>4832640</v>
      </c>
      <c r="L141" s="13">
        <v>113</v>
      </c>
      <c r="M141" s="13">
        <v>2</v>
      </c>
      <c r="N141" s="13">
        <v>829</v>
      </c>
      <c r="O141" s="22">
        <f t="shared" si="78"/>
        <v>414.5</v>
      </c>
      <c r="P141" s="13">
        <v>375</v>
      </c>
      <c r="Q141" s="23">
        <f t="shared" si="79"/>
        <v>0.8</v>
      </c>
      <c r="R141" s="24">
        <f t="shared" si="80"/>
        <v>4</v>
      </c>
      <c r="S141" s="25">
        <f t="shared" si="99"/>
        <v>0.90470446320868514</v>
      </c>
      <c r="T141" s="25">
        <f t="shared" si="81"/>
        <v>0.18094089264173704</v>
      </c>
      <c r="U141" s="26">
        <v>8514.5955758101863</v>
      </c>
      <c r="V141" s="26">
        <v>27299.471583333332</v>
      </c>
      <c r="W141" s="26">
        <v>12998.406839451058</v>
      </c>
      <c r="X141" s="27">
        <f t="shared" si="101"/>
        <v>0</v>
      </c>
      <c r="Y141" s="27">
        <f t="shared" si="82"/>
        <v>0</v>
      </c>
      <c r="Z141" s="27">
        <f t="shared" si="71"/>
        <v>1</v>
      </c>
      <c r="AA141" s="23">
        <f t="shared" si="75"/>
        <v>0.4</v>
      </c>
      <c r="AB141" s="24">
        <f t="shared" si="83"/>
        <v>1</v>
      </c>
      <c r="AC141" s="28">
        <f t="shared" si="84"/>
        <v>0.33333333333333331</v>
      </c>
      <c r="AD141" s="29">
        <f t="shared" si="85"/>
        <v>8.3333333333333329E-2</v>
      </c>
      <c r="AE141" s="30">
        <v>3.3354923433048439E-2</v>
      </c>
      <c r="AF141" s="23">
        <f t="shared" si="86"/>
        <v>1.25</v>
      </c>
      <c r="AG141" s="24">
        <f t="shared" si="87"/>
        <v>5</v>
      </c>
      <c r="AH141" s="28">
        <f t="shared" si="88"/>
        <v>1</v>
      </c>
      <c r="AI141" s="29">
        <f t="shared" si="89"/>
        <v>0.25</v>
      </c>
      <c r="AJ141" s="31">
        <v>1</v>
      </c>
      <c r="AK141" s="31">
        <v>1</v>
      </c>
      <c r="AL141" s="31">
        <v>1</v>
      </c>
      <c r="AM141" s="31">
        <v>0</v>
      </c>
      <c r="AN141" s="31">
        <v>0</v>
      </c>
      <c r="AO141" s="31">
        <v>1</v>
      </c>
      <c r="AP141" s="31">
        <v>0</v>
      </c>
      <c r="AQ141" s="31">
        <v>1</v>
      </c>
      <c r="AR141" s="23">
        <f t="shared" si="90"/>
        <v>1</v>
      </c>
      <c r="AS141" s="24">
        <f t="shared" si="91"/>
        <v>5</v>
      </c>
      <c r="AT141" s="28">
        <f t="shared" si="92"/>
        <v>0.625</v>
      </c>
      <c r="AU141" s="28">
        <f t="shared" si="93"/>
        <v>9.375E-2</v>
      </c>
      <c r="AV141" s="32">
        <v>75</v>
      </c>
      <c r="AW141" s="32">
        <v>75</v>
      </c>
      <c r="AX141" s="32">
        <v>85</v>
      </c>
      <c r="AY141" s="32">
        <v>90</v>
      </c>
      <c r="AZ141" s="32">
        <v>90</v>
      </c>
      <c r="BA141" s="32">
        <v>100</v>
      </c>
      <c r="BB141" s="23">
        <f t="shared" ca="1" si="94"/>
        <v>0.8</v>
      </c>
      <c r="BC141" s="33">
        <f t="shared" si="100"/>
        <v>85.833333333333329</v>
      </c>
      <c r="BD141" s="28">
        <f t="shared" si="95"/>
        <v>0.94174757281553401</v>
      </c>
      <c r="BE141" s="28">
        <f t="shared" si="96"/>
        <v>0.18834951456310681</v>
      </c>
      <c r="BF141" s="34">
        <f ca="1">Q141+AA141+AF141+AR141+BB141</f>
        <v>4.25</v>
      </c>
      <c r="BG141" s="34">
        <f>AVERAGE(AV141:AZ141)</f>
        <v>83</v>
      </c>
      <c r="BH141" s="35">
        <f>T141+AD141+AI141+AU141+BE141</f>
        <v>0.79637374053817711</v>
      </c>
      <c r="BI141" s="36" t="str">
        <f ca="1">IF(K141&lt;365,"New CE",(IF(BH141&gt;=100%,"Promote",IF(BH141&gt;=90%,"Sangat Baik",IF(BH141&gt;=80%,"Baik",IF(BH141&gt;=70%,"Lebih Dari Cukup",IF(BH141&gt;=60%,"Cukup","Kurang")))))))</f>
        <v>Lebih Dari Cukup</v>
      </c>
      <c r="BJ141" s="36" t="s">
        <v>860</v>
      </c>
      <c r="BK141" s="58" t="s">
        <v>42</v>
      </c>
      <c r="BL141" s="59" t="str">
        <v>Nelpan Safputra</v>
      </c>
    </row>
    <row r="142" spans="1:64" x14ac:dyDescent="0.35">
      <c r="A142" s="19">
        <v>138</v>
      </c>
      <c r="B142" s="13" t="s">
        <v>392</v>
      </c>
      <c r="C142" s="20" t="s">
        <v>393</v>
      </c>
      <c r="D142" s="76" t="s">
        <v>54</v>
      </c>
      <c r="E142" s="13" t="s">
        <v>257</v>
      </c>
      <c r="F142" s="13" t="s">
        <v>44</v>
      </c>
      <c r="G142" s="13" t="s">
        <v>61</v>
      </c>
      <c r="H142" s="65">
        <v>45075</v>
      </c>
      <c r="I142" s="21">
        <f t="shared" ca="1" si="97"/>
        <v>45974</v>
      </c>
      <c r="J142" s="13" t="str">
        <f t="shared" ca="1" si="77"/>
        <v xml:space="preserve">2 Tahun 5 Bulan 15 Hari </v>
      </c>
      <c r="K142" s="13">
        <f t="shared" ca="1" si="98"/>
        <v>1294560</v>
      </c>
      <c r="L142" s="13">
        <v>507</v>
      </c>
      <c r="M142" s="13">
        <v>10</v>
      </c>
      <c r="N142" s="13">
        <v>3304</v>
      </c>
      <c r="O142" s="22">
        <f t="shared" si="78"/>
        <v>330.4</v>
      </c>
      <c r="P142" s="13">
        <v>243</v>
      </c>
      <c r="Q142" s="23">
        <f t="shared" si="79"/>
        <v>0.6</v>
      </c>
      <c r="R142" s="24">
        <f t="shared" si="80"/>
        <v>3</v>
      </c>
      <c r="S142" s="25">
        <f t="shared" si="99"/>
        <v>0.73547215496368046</v>
      </c>
      <c r="T142" s="25">
        <f t="shared" si="81"/>
        <v>0.14709443099273609</v>
      </c>
      <c r="U142" s="26">
        <v>2.6456189986282585E-2</v>
      </c>
      <c r="V142" s="26">
        <v>0.11354166666666667</v>
      </c>
      <c r="W142" s="26">
        <v>0</v>
      </c>
      <c r="X142" s="27">
        <f t="shared" si="101"/>
        <v>1</v>
      </c>
      <c r="Y142" s="27">
        <f t="shared" si="82"/>
        <v>1</v>
      </c>
      <c r="Z142" s="27">
        <f t="shared" si="71"/>
        <v>0</v>
      </c>
      <c r="AA142" s="23">
        <f t="shared" si="75"/>
        <v>0.8</v>
      </c>
      <c r="AB142" s="24">
        <f t="shared" si="83"/>
        <v>2</v>
      </c>
      <c r="AC142" s="28">
        <f t="shared" si="84"/>
        <v>0.66666666666666663</v>
      </c>
      <c r="AD142" s="29">
        <f t="shared" si="85"/>
        <v>0.16666666666666666</v>
      </c>
      <c r="AE142" s="30">
        <v>5.1759259259259262E-2</v>
      </c>
      <c r="AF142" s="23">
        <f t="shared" si="86"/>
        <v>1</v>
      </c>
      <c r="AG142" s="24">
        <f t="shared" si="87"/>
        <v>4</v>
      </c>
      <c r="AH142" s="28">
        <f t="shared" si="88"/>
        <v>0.8</v>
      </c>
      <c r="AI142" s="29">
        <f t="shared" si="89"/>
        <v>0.2</v>
      </c>
      <c r="AJ142" s="31">
        <v>1</v>
      </c>
      <c r="AK142" s="31">
        <v>1</v>
      </c>
      <c r="AL142" s="31">
        <v>1</v>
      </c>
      <c r="AM142" s="31">
        <v>0</v>
      </c>
      <c r="AN142" s="31">
        <v>0</v>
      </c>
      <c r="AO142" s="31">
        <v>1</v>
      </c>
      <c r="AP142" s="31">
        <v>0</v>
      </c>
      <c r="AQ142" s="31">
        <v>1</v>
      </c>
      <c r="AR142" s="23">
        <f t="shared" si="90"/>
        <v>1</v>
      </c>
      <c r="AS142" s="24">
        <f t="shared" si="91"/>
        <v>5</v>
      </c>
      <c r="AT142" s="28">
        <f t="shared" si="92"/>
        <v>0.625</v>
      </c>
      <c r="AU142" s="28">
        <f t="shared" si="93"/>
        <v>9.375E-2</v>
      </c>
      <c r="AV142" s="32">
        <v>75</v>
      </c>
      <c r="AW142" s="32">
        <v>75</v>
      </c>
      <c r="AX142" s="32">
        <v>80</v>
      </c>
      <c r="AY142" s="32">
        <v>80</v>
      </c>
      <c r="AZ142" s="32">
        <v>80</v>
      </c>
      <c r="BA142" s="32">
        <v>100</v>
      </c>
      <c r="BB142" s="23">
        <f t="shared" ca="1" si="94"/>
        <v>0.8</v>
      </c>
      <c r="BC142" s="33">
        <f t="shared" si="100"/>
        <v>81.666666666666671</v>
      </c>
      <c r="BD142" s="28">
        <f t="shared" si="95"/>
        <v>0.93877551020408168</v>
      </c>
      <c r="BE142" s="28">
        <f t="shared" si="96"/>
        <v>0.18775510204081636</v>
      </c>
      <c r="BF142" s="34">
        <f ca="1">Q142+AA142+AF142+AR142+BB142</f>
        <v>4.2</v>
      </c>
      <c r="BG142" s="34">
        <f>AVERAGE(AV142:AZ142)</f>
        <v>78</v>
      </c>
      <c r="BH142" s="35">
        <f>T142+AD142+AI142+AU142+BE142</f>
        <v>0.79526619970021906</v>
      </c>
      <c r="BI142" s="36" t="str">
        <f ca="1">IF(K142&lt;365,"New CE",(IF(BH142&gt;=100%,"Promote",IF(BH142&gt;=90%,"Sangat Baik",IF(BH142&gt;=80%,"Baik",IF(BH142&gt;=70%,"Lebih Dari Cukup",IF(BH142&gt;=60%,"Cukup","Kurang")))))))</f>
        <v>Lebih Dari Cukup</v>
      </c>
      <c r="BJ142" s="36" t="s">
        <v>855</v>
      </c>
      <c r="BK142" s="58" t="s">
        <v>48</v>
      </c>
      <c r="BL142" s="59" t="e">
        <v>#N/A</v>
      </c>
    </row>
    <row r="143" spans="1:64" x14ac:dyDescent="0.35">
      <c r="A143" s="19">
        <v>139</v>
      </c>
      <c r="B143" s="13" t="s">
        <v>394</v>
      </c>
      <c r="C143" s="20" t="s">
        <v>395</v>
      </c>
      <c r="D143" s="76" t="s">
        <v>48</v>
      </c>
      <c r="E143" s="13" t="s">
        <v>171</v>
      </c>
      <c r="F143" s="13" t="s">
        <v>50</v>
      </c>
      <c r="G143" s="13" t="s">
        <v>55</v>
      </c>
      <c r="H143" s="65">
        <v>44795</v>
      </c>
      <c r="I143" s="21">
        <f t="shared" ca="1" si="97"/>
        <v>45974</v>
      </c>
      <c r="J143" s="13" t="str">
        <f t="shared" ca="1" si="77"/>
        <v xml:space="preserve">3 Tahun 2 Bulan 22 Hari </v>
      </c>
      <c r="K143" s="13">
        <f t="shared" ca="1" si="98"/>
        <v>1697760</v>
      </c>
      <c r="L143" s="13">
        <v>102</v>
      </c>
      <c r="M143" s="13">
        <v>3</v>
      </c>
      <c r="N143" s="13">
        <v>916</v>
      </c>
      <c r="O143" s="22">
        <f t="shared" si="78"/>
        <v>305.33333333333331</v>
      </c>
      <c r="P143" s="13">
        <v>380</v>
      </c>
      <c r="Q143" s="23">
        <f t="shared" si="79"/>
        <v>1</v>
      </c>
      <c r="R143" s="24">
        <f t="shared" si="80"/>
        <v>5</v>
      </c>
      <c r="S143" s="25">
        <f t="shared" si="99"/>
        <v>1.2445414847161573</v>
      </c>
      <c r="T143" s="25">
        <f t="shared" si="81"/>
        <v>0.24890829694323147</v>
      </c>
      <c r="U143" s="26">
        <v>23540.550894396551</v>
      </c>
      <c r="V143" s="26">
        <v>0</v>
      </c>
      <c r="W143" s="26">
        <v>27254.139892361109</v>
      </c>
      <c r="X143" s="27">
        <f t="shared" si="101"/>
        <v>0</v>
      </c>
      <c r="Y143" s="27">
        <f t="shared" si="82"/>
        <v>0</v>
      </c>
      <c r="Z143" s="27">
        <f t="shared" si="71"/>
        <v>1</v>
      </c>
      <c r="AA143" s="23">
        <f>IF(AB143=3, 1.75, IF(AB143=2, 1, IF(AB143=1, 0.75, IF(AB143=0, 0, 0))))</f>
        <v>0.75</v>
      </c>
      <c r="AB143" s="24">
        <f t="shared" si="83"/>
        <v>1</v>
      </c>
      <c r="AC143" s="28">
        <f t="shared" si="84"/>
        <v>0.33333333333333331</v>
      </c>
      <c r="AD143" s="29">
        <f t="shared" si="85"/>
        <v>8.3333333333333329E-2</v>
      </c>
      <c r="AE143" s="30">
        <v>4.4866444262890347E-2</v>
      </c>
      <c r="AF143" s="23">
        <f t="shared" si="86"/>
        <v>1</v>
      </c>
      <c r="AG143" s="24">
        <f t="shared" si="87"/>
        <v>4</v>
      </c>
      <c r="AH143" s="28">
        <f t="shared" si="88"/>
        <v>0.8</v>
      </c>
      <c r="AI143" s="29">
        <f t="shared" si="89"/>
        <v>0.2</v>
      </c>
      <c r="AJ143" s="31">
        <v>1</v>
      </c>
      <c r="AK143" s="31">
        <v>1</v>
      </c>
      <c r="AL143" s="31">
        <v>1</v>
      </c>
      <c r="AM143" s="31">
        <v>0</v>
      </c>
      <c r="AN143" s="31">
        <v>0</v>
      </c>
      <c r="AO143" s="31">
        <v>1</v>
      </c>
      <c r="AP143" s="31">
        <v>0</v>
      </c>
      <c r="AQ143" s="31">
        <v>0</v>
      </c>
      <c r="AR143" s="23">
        <f t="shared" si="90"/>
        <v>0.8</v>
      </c>
      <c r="AS143" s="24">
        <f t="shared" si="91"/>
        <v>4</v>
      </c>
      <c r="AT143" s="28">
        <f t="shared" si="92"/>
        <v>0.5</v>
      </c>
      <c r="AU143" s="28">
        <f t="shared" si="93"/>
        <v>7.4999999999999997E-2</v>
      </c>
      <c r="AV143" s="32">
        <v>75</v>
      </c>
      <c r="AW143" s="32">
        <v>75</v>
      </c>
      <c r="AX143" s="32">
        <v>90</v>
      </c>
      <c r="AY143" s="32">
        <v>90</v>
      </c>
      <c r="AZ143" s="32">
        <v>75</v>
      </c>
      <c r="BA143" s="32">
        <v>100</v>
      </c>
      <c r="BB143" s="23">
        <f t="shared" ca="1" si="94"/>
        <v>0.8</v>
      </c>
      <c r="BC143" s="33">
        <f t="shared" si="100"/>
        <v>84.166666666666671</v>
      </c>
      <c r="BD143" s="28">
        <f t="shared" si="95"/>
        <v>0.94059405940594054</v>
      </c>
      <c r="BE143" s="28">
        <f t="shared" si="96"/>
        <v>0.18811881188118812</v>
      </c>
      <c r="BF143" s="34">
        <f ca="1">Q143+AA143+AF143+AR143+BB143</f>
        <v>4.3499999999999996</v>
      </c>
      <c r="BG143" s="34">
        <f>AVERAGE(AV143:AZ143)</f>
        <v>81</v>
      </c>
      <c r="BH143" s="35">
        <f>T143+AD143+AI143+AU143+BE143</f>
        <v>0.79536044215775292</v>
      </c>
      <c r="BI143" s="36" t="str">
        <f ca="1">IF(K143&lt;365,"New CE",(IF(BH143&gt;=100%,"Promote",IF(BH143&gt;=90%,"Sangat Baik",IF(BH143&gt;=80%,"Baik",IF(BH143&gt;=70%,"Lebih Dari Cukup",IF(BH143&gt;=60%,"Cukup","Kurang")))))))</f>
        <v>Lebih Dari Cukup</v>
      </c>
      <c r="BJ143" s="36" t="s">
        <v>860</v>
      </c>
      <c r="BK143" s="58" t="s">
        <v>48</v>
      </c>
      <c r="BL143" s="59" t="e">
        <v>#N/A</v>
      </c>
    </row>
    <row r="144" spans="1:64" x14ac:dyDescent="0.35">
      <c r="A144" s="19">
        <v>140</v>
      </c>
      <c r="B144" s="13" t="s">
        <v>396</v>
      </c>
      <c r="C144" s="20" t="s">
        <v>397</v>
      </c>
      <c r="D144" s="76" t="s">
        <v>48</v>
      </c>
      <c r="E144" s="13" t="s">
        <v>187</v>
      </c>
      <c r="F144" s="13" t="s">
        <v>74</v>
      </c>
      <c r="G144" s="13" t="s">
        <v>51</v>
      </c>
      <c r="H144" s="65">
        <v>44746</v>
      </c>
      <c r="I144" s="21">
        <f t="shared" ca="1" si="97"/>
        <v>45974</v>
      </c>
      <c r="J144" s="13" t="str">
        <f t="shared" ca="1" si="77"/>
        <v xml:space="preserve">3 Tahun 4 Bulan 9 Hari </v>
      </c>
      <c r="K144" s="13">
        <f t="shared" ca="1" si="98"/>
        <v>1768320</v>
      </c>
      <c r="L144" s="13">
        <v>684</v>
      </c>
      <c r="M144" s="13">
        <v>10</v>
      </c>
      <c r="N144" s="13">
        <v>4972</v>
      </c>
      <c r="O144" s="22">
        <f t="shared" si="78"/>
        <v>497.2</v>
      </c>
      <c r="P144" s="13">
        <v>503</v>
      </c>
      <c r="Q144" s="23">
        <f t="shared" si="79"/>
        <v>1</v>
      </c>
      <c r="R144" s="24">
        <f t="shared" si="80"/>
        <v>5</v>
      </c>
      <c r="S144" s="25">
        <f t="shared" si="99"/>
        <v>1.011665325824618</v>
      </c>
      <c r="T144" s="25">
        <f t="shared" si="81"/>
        <v>0.20233306516492361</v>
      </c>
      <c r="U144" s="26">
        <v>13433.349270124723</v>
      </c>
      <c r="V144" s="26">
        <v>2.9050925925925928E-3</v>
      </c>
      <c r="W144" s="26">
        <v>30245.924390432101</v>
      </c>
      <c r="X144" s="27">
        <f t="shared" si="101"/>
        <v>0</v>
      </c>
      <c r="Y144" s="27">
        <f t="shared" si="82"/>
        <v>1</v>
      </c>
      <c r="Z144" s="27">
        <f t="shared" si="71"/>
        <v>1</v>
      </c>
      <c r="AA144" s="23">
        <f t="shared" ref="AA144:AA175" si="102">IF(AB144=3, 1.25, IF(AB144=2, 0.8, IF(AB144=1, 0.4, IF(AB144=0, 0, 0))))</f>
        <v>0.8</v>
      </c>
      <c r="AB144" s="24">
        <f t="shared" si="83"/>
        <v>2</v>
      </c>
      <c r="AC144" s="28">
        <f t="shared" si="84"/>
        <v>0.66666666666666663</v>
      </c>
      <c r="AD144" s="29">
        <f t="shared" si="85"/>
        <v>0.16666666666666666</v>
      </c>
      <c r="AE144" s="30">
        <v>5.5150075438161375E-2</v>
      </c>
      <c r="AF144" s="23">
        <f t="shared" si="86"/>
        <v>1</v>
      </c>
      <c r="AG144" s="24">
        <f t="shared" si="87"/>
        <v>4</v>
      </c>
      <c r="AH144" s="28">
        <f t="shared" si="88"/>
        <v>0.8</v>
      </c>
      <c r="AI144" s="29">
        <f t="shared" si="89"/>
        <v>0.2</v>
      </c>
      <c r="AJ144" s="31">
        <v>1</v>
      </c>
      <c r="AK144" s="31">
        <v>1</v>
      </c>
      <c r="AL144" s="31">
        <v>0</v>
      </c>
      <c r="AM144" s="31">
        <v>0</v>
      </c>
      <c r="AN144" s="31">
        <v>0</v>
      </c>
      <c r="AO144" s="31">
        <v>0</v>
      </c>
      <c r="AP144" s="31">
        <v>0</v>
      </c>
      <c r="AQ144" s="31">
        <v>0</v>
      </c>
      <c r="AR144" s="23">
        <f t="shared" si="90"/>
        <v>0.4</v>
      </c>
      <c r="AS144" s="24">
        <f t="shared" si="91"/>
        <v>2</v>
      </c>
      <c r="AT144" s="28">
        <f t="shared" si="92"/>
        <v>0.25</v>
      </c>
      <c r="AU144" s="28">
        <f t="shared" si="93"/>
        <v>3.7499999999999999E-2</v>
      </c>
      <c r="AV144" s="32">
        <v>75</v>
      </c>
      <c r="AW144" s="32">
        <v>75</v>
      </c>
      <c r="AX144" s="32">
        <v>75</v>
      </c>
      <c r="AY144" s="32">
        <v>80</v>
      </c>
      <c r="AZ144" s="32">
        <v>75</v>
      </c>
      <c r="BA144" s="32">
        <v>100</v>
      </c>
      <c r="BB144" s="23">
        <f t="shared" ca="1" si="94"/>
        <v>0.8</v>
      </c>
      <c r="BC144" s="33">
        <f t="shared" si="100"/>
        <v>80</v>
      </c>
      <c r="BD144" s="28">
        <f t="shared" si="95"/>
        <v>0.9375</v>
      </c>
      <c r="BE144" s="28">
        <f t="shared" si="96"/>
        <v>0.1875</v>
      </c>
      <c r="BF144" s="34">
        <f ca="1">Q144+AA144+AF144+AR144+BB144</f>
        <v>4</v>
      </c>
      <c r="BG144" s="34">
        <f>AVERAGE(AV144:AZ144)</f>
        <v>76</v>
      </c>
      <c r="BH144" s="35">
        <f>T144+AD144+AI144+AU144+BE144</f>
        <v>0.79399973183159023</v>
      </c>
      <c r="BI144" s="36" t="str">
        <f ca="1">IF(K144&lt;365,"New CE",(IF(BH144&gt;=100%,"Promote",IF(BH144&gt;=90%,"Sangat Baik",IF(BH144&gt;=80%,"Baik",IF(BH144&gt;=70%,"Lebih Dari Cukup",IF(BH144&gt;=60%,"Cukup","Kurang")))))))</f>
        <v>Lebih Dari Cukup</v>
      </c>
      <c r="BJ144" s="36" t="s">
        <v>860</v>
      </c>
      <c r="BK144" s="58" t="s">
        <v>48</v>
      </c>
      <c r="BL144" s="59" t="str">
        <v>Try Ispandy</v>
      </c>
    </row>
    <row r="145" spans="1:64" x14ac:dyDescent="0.35">
      <c r="A145" s="19">
        <v>141</v>
      </c>
      <c r="B145" s="13" t="s">
        <v>398</v>
      </c>
      <c r="C145" s="20" t="s">
        <v>399</v>
      </c>
      <c r="D145" s="76" t="s">
        <v>54</v>
      </c>
      <c r="E145" s="13" t="s">
        <v>64</v>
      </c>
      <c r="F145" s="13" t="s">
        <v>44</v>
      </c>
      <c r="G145" s="13" t="s">
        <v>55</v>
      </c>
      <c r="H145" s="65">
        <v>44172</v>
      </c>
      <c r="I145" s="21">
        <f t="shared" ca="1" si="97"/>
        <v>45974</v>
      </c>
      <c r="J145" s="13" t="str">
        <f t="shared" ca="1" si="77"/>
        <v xml:space="preserve">4 Tahun 11 Bulan 6 Hari </v>
      </c>
      <c r="K145" s="13">
        <f t="shared" ca="1" si="98"/>
        <v>2594880</v>
      </c>
      <c r="L145" s="13">
        <v>872</v>
      </c>
      <c r="M145" s="13">
        <v>15</v>
      </c>
      <c r="N145" s="13">
        <v>5975</v>
      </c>
      <c r="O145" s="22">
        <f t="shared" si="78"/>
        <v>398.33333333333331</v>
      </c>
      <c r="P145" s="13">
        <v>381</v>
      </c>
      <c r="Q145" s="23">
        <f t="shared" si="79"/>
        <v>0.8</v>
      </c>
      <c r="R145" s="24">
        <f t="shared" si="80"/>
        <v>4</v>
      </c>
      <c r="S145" s="25">
        <f t="shared" si="99"/>
        <v>0.95648535564853565</v>
      </c>
      <c r="T145" s="25">
        <f t="shared" si="81"/>
        <v>0.19129707112970715</v>
      </c>
      <c r="U145" s="26">
        <v>1395.5826531339035</v>
      </c>
      <c r="V145" s="26">
        <v>3.3833912037037034E-2</v>
      </c>
      <c r="W145" s="26">
        <v>0</v>
      </c>
      <c r="X145" s="27">
        <f t="shared" si="101"/>
        <v>0</v>
      </c>
      <c r="Y145" s="27">
        <f t="shared" si="82"/>
        <v>1</v>
      </c>
      <c r="Z145" s="27">
        <f t="shared" si="71"/>
        <v>0</v>
      </c>
      <c r="AA145" s="23">
        <f t="shared" si="102"/>
        <v>0.4</v>
      </c>
      <c r="AB145" s="24">
        <f t="shared" si="83"/>
        <v>1</v>
      </c>
      <c r="AC145" s="28">
        <f t="shared" si="84"/>
        <v>0.33333333333333331</v>
      </c>
      <c r="AD145" s="29">
        <f t="shared" si="85"/>
        <v>8.3333333333333329E-2</v>
      </c>
      <c r="AE145" s="30">
        <v>6.8031925154320994E-2</v>
      </c>
      <c r="AF145" s="23">
        <f t="shared" si="86"/>
        <v>1</v>
      </c>
      <c r="AG145" s="24">
        <f t="shared" si="87"/>
        <v>4</v>
      </c>
      <c r="AH145" s="28">
        <f t="shared" si="88"/>
        <v>0.8</v>
      </c>
      <c r="AI145" s="29">
        <f t="shared" si="89"/>
        <v>0.2</v>
      </c>
      <c r="AJ145" s="31">
        <v>1</v>
      </c>
      <c r="AK145" s="31">
        <v>1</v>
      </c>
      <c r="AL145" s="31">
        <v>1</v>
      </c>
      <c r="AM145" s="31">
        <v>1</v>
      </c>
      <c r="AN145" s="31">
        <v>0</v>
      </c>
      <c r="AO145" s="31">
        <v>1</v>
      </c>
      <c r="AP145" s="31">
        <v>1</v>
      </c>
      <c r="AQ145" s="31">
        <v>1</v>
      </c>
      <c r="AR145" s="23">
        <f t="shared" si="90"/>
        <v>1</v>
      </c>
      <c r="AS145" s="24">
        <f t="shared" si="91"/>
        <v>7</v>
      </c>
      <c r="AT145" s="28">
        <f t="shared" si="92"/>
        <v>0.875</v>
      </c>
      <c r="AU145" s="28">
        <f t="shared" si="93"/>
        <v>0.13125000000000001</v>
      </c>
      <c r="AV145" s="32">
        <v>75</v>
      </c>
      <c r="AW145" s="32">
        <v>75</v>
      </c>
      <c r="AX145" s="32">
        <v>80</v>
      </c>
      <c r="AY145" s="32">
        <v>80</v>
      </c>
      <c r="AZ145" s="32">
        <v>80</v>
      </c>
      <c r="BA145" s="32">
        <v>100</v>
      </c>
      <c r="BB145" s="23">
        <f t="shared" ca="1" si="94"/>
        <v>0.8</v>
      </c>
      <c r="BC145" s="33">
        <f t="shared" si="100"/>
        <v>81.666666666666671</v>
      </c>
      <c r="BD145" s="28">
        <f t="shared" si="95"/>
        <v>0.93877551020408168</v>
      </c>
      <c r="BE145" s="28">
        <f t="shared" si="96"/>
        <v>0.18775510204081636</v>
      </c>
      <c r="BF145" s="34">
        <f ca="1">Q145+AA145+AF145+AR145+BB145</f>
        <v>4</v>
      </c>
      <c r="BG145" s="34">
        <f>AVERAGE(AV145:AZ145)</f>
        <v>78</v>
      </c>
      <c r="BH145" s="35">
        <f>T145+AD145+AI145+AU145+BE145</f>
        <v>0.79363550650385684</v>
      </c>
      <c r="BI145" s="36" t="str">
        <f ca="1">IF(K145&lt;365,"New CE",(IF(BH145&gt;=100%,"Promote",IF(BH145&gt;=90%,"Sangat Baik",IF(BH145&gt;=80%,"Baik",IF(BH145&gt;=70%,"Lebih Dari Cukup",IF(BH145&gt;=60%,"Cukup","Kurang")))))))</f>
        <v>Lebih Dari Cukup</v>
      </c>
      <c r="BJ145" s="36" t="s">
        <v>860</v>
      </c>
      <c r="BK145" s="58" t="s">
        <v>54</v>
      </c>
      <c r="BL145" s="59" t="e">
        <v>#N/A</v>
      </c>
    </row>
    <row r="146" spans="1:64" x14ac:dyDescent="0.35">
      <c r="A146" s="19">
        <v>142</v>
      </c>
      <c r="B146" s="13" t="s">
        <v>400</v>
      </c>
      <c r="C146" s="20" t="s">
        <v>401</v>
      </c>
      <c r="D146" s="76" t="s">
        <v>54</v>
      </c>
      <c r="E146" s="13" t="s">
        <v>64</v>
      </c>
      <c r="F146" s="13" t="s">
        <v>44</v>
      </c>
      <c r="G146" s="13" t="s">
        <v>51</v>
      </c>
      <c r="H146" s="65">
        <v>44690</v>
      </c>
      <c r="I146" s="21">
        <f t="shared" ca="1" si="97"/>
        <v>45974</v>
      </c>
      <c r="J146" s="13" t="str">
        <f t="shared" ca="1" si="77"/>
        <v xml:space="preserve">3 Tahun 6 Bulan 4 Hari </v>
      </c>
      <c r="K146" s="13">
        <f t="shared" ca="1" si="98"/>
        <v>1848960</v>
      </c>
      <c r="L146" s="13">
        <v>872</v>
      </c>
      <c r="M146" s="13">
        <v>15</v>
      </c>
      <c r="N146" s="13">
        <v>5975</v>
      </c>
      <c r="O146" s="22">
        <f t="shared" si="78"/>
        <v>398.33333333333331</v>
      </c>
      <c r="P146" s="13">
        <v>392</v>
      </c>
      <c r="Q146" s="23">
        <f t="shared" si="79"/>
        <v>0.8</v>
      </c>
      <c r="R146" s="24">
        <f t="shared" si="80"/>
        <v>4</v>
      </c>
      <c r="S146" s="25">
        <f t="shared" si="99"/>
        <v>0.98410041841004192</v>
      </c>
      <c r="T146" s="25">
        <f t="shared" si="81"/>
        <v>0.1968200836820084</v>
      </c>
      <c r="U146" s="26">
        <v>8933.2183310564687</v>
      </c>
      <c r="V146" s="26">
        <v>5.5798611111111111E-2</v>
      </c>
      <c r="W146" s="26">
        <v>0</v>
      </c>
      <c r="X146" s="27">
        <f t="shared" si="101"/>
        <v>0</v>
      </c>
      <c r="Y146" s="27">
        <f t="shared" si="82"/>
        <v>1</v>
      </c>
      <c r="Z146" s="27">
        <f t="shared" si="71"/>
        <v>0</v>
      </c>
      <c r="AA146" s="23">
        <f t="shared" si="102"/>
        <v>0.4</v>
      </c>
      <c r="AB146" s="24">
        <f t="shared" si="83"/>
        <v>1</v>
      </c>
      <c r="AC146" s="28">
        <f t="shared" si="84"/>
        <v>0.33333333333333331</v>
      </c>
      <c r="AD146" s="29">
        <f t="shared" si="85"/>
        <v>8.3333333333333329E-2</v>
      </c>
      <c r="AE146" s="30">
        <v>4.1210227272727266E-2</v>
      </c>
      <c r="AF146" s="23">
        <f t="shared" si="86"/>
        <v>1.25</v>
      </c>
      <c r="AG146" s="24">
        <f t="shared" si="87"/>
        <v>5</v>
      </c>
      <c r="AH146" s="28">
        <f t="shared" si="88"/>
        <v>1</v>
      </c>
      <c r="AI146" s="29">
        <f t="shared" si="89"/>
        <v>0.25</v>
      </c>
      <c r="AJ146" s="31">
        <v>1</v>
      </c>
      <c r="AK146" s="31">
        <v>1</v>
      </c>
      <c r="AL146" s="31">
        <v>1</v>
      </c>
      <c r="AM146" s="31">
        <v>0</v>
      </c>
      <c r="AN146" s="31">
        <v>0</v>
      </c>
      <c r="AO146" s="31">
        <v>1</v>
      </c>
      <c r="AP146" s="31">
        <v>0</v>
      </c>
      <c r="AQ146" s="31">
        <v>0</v>
      </c>
      <c r="AR146" s="23">
        <f t="shared" si="90"/>
        <v>0.8</v>
      </c>
      <c r="AS146" s="24">
        <f t="shared" si="91"/>
        <v>4</v>
      </c>
      <c r="AT146" s="28">
        <f t="shared" si="92"/>
        <v>0.5</v>
      </c>
      <c r="AU146" s="28">
        <f t="shared" si="93"/>
        <v>7.4999999999999997E-2</v>
      </c>
      <c r="AV146" s="32">
        <v>75</v>
      </c>
      <c r="AW146" s="32">
        <v>75</v>
      </c>
      <c r="AX146" s="32">
        <v>85</v>
      </c>
      <c r="AY146" s="32">
        <v>85</v>
      </c>
      <c r="AZ146" s="32">
        <v>85</v>
      </c>
      <c r="BA146" s="32">
        <v>100</v>
      </c>
      <c r="BB146" s="23">
        <f t="shared" ca="1" si="94"/>
        <v>0.8</v>
      </c>
      <c r="BC146" s="33">
        <f t="shared" si="100"/>
        <v>84.166666666666671</v>
      </c>
      <c r="BD146" s="28">
        <f t="shared" si="95"/>
        <v>0.94059405940594054</v>
      </c>
      <c r="BE146" s="28">
        <f t="shared" si="96"/>
        <v>0.18811881188118812</v>
      </c>
      <c r="BF146" s="34">
        <f ca="1">Q146+AA146+AF146+AR146+BB146</f>
        <v>4.05</v>
      </c>
      <c r="BG146" s="34">
        <f>AVERAGE(AV146:AZ146)</f>
        <v>81</v>
      </c>
      <c r="BH146" s="35">
        <f>T146+AD146+AI146+AU146+BE146</f>
        <v>0.79327222889652971</v>
      </c>
      <c r="BI146" s="36" t="str">
        <f ca="1">IF(K146&lt;365,"New CE",(IF(BH146&gt;=100%,"Promote",IF(BH146&gt;=90%,"Sangat Baik",IF(BH146&gt;=80%,"Baik",IF(BH146&gt;=70%,"Lebih Dari Cukup",IF(BH146&gt;=60%,"Cukup","Kurang")))))))</f>
        <v>Lebih Dari Cukup</v>
      </c>
      <c r="BJ146" s="36" t="s">
        <v>855</v>
      </c>
      <c r="BK146" s="58" t="s">
        <v>48</v>
      </c>
      <c r="BL146" s="59" t="e">
        <v>#N/A</v>
      </c>
    </row>
    <row r="147" spans="1:64" x14ac:dyDescent="0.35">
      <c r="A147" s="19">
        <v>143</v>
      </c>
      <c r="B147" s="13" t="s">
        <v>402</v>
      </c>
      <c r="C147" s="20" t="s">
        <v>403</v>
      </c>
      <c r="D147" s="76" t="s">
        <v>54</v>
      </c>
      <c r="E147" s="13" t="s">
        <v>133</v>
      </c>
      <c r="F147" s="13" t="s">
        <v>50</v>
      </c>
      <c r="G147" s="13" t="s">
        <v>51</v>
      </c>
      <c r="H147" s="65">
        <v>44690</v>
      </c>
      <c r="I147" s="21">
        <f t="shared" ca="1" si="97"/>
        <v>45974</v>
      </c>
      <c r="J147" s="13" t="str">
        <f t="shared" ca="1" si="77"/>
        <v xml:space="preserve">3 Tahun 6 Bulan 4 Hari </v>
      </c>
      <c r="K147" s="13">
        <f t="shared" ca="1" si="98"/>
        <v>1848960</v>
      </c>
      <c r="L147" s="13">
        <v>760</v>
      </c>
      <c r="M147" s="13">
        <v>13</v>
      </c>
      <c r="N147" s="13">
        <v>5863</v>
      </c>
      <c r="O147" s="22">
        <f t="shared" si="78"/>
        <v>451</v>
      </c>
      <c r="P147" s="13">
        <v>486</v>
      </c>
      <c r="Q147" s="23">
        <f t="shared" si="79"/>
        <v>1</v>
      </c>
      <c r="R147" s="24">
        <f t="shared" si="80"/>
        <v>5</v>
      </c>
      <c r="S147" s="25">
        <f t="shared" si="99"/>
        <v>1.0776053215077606</v>
      </c>
      <c r="T147" s="25">
        <f t="shared" si="81"/>
        <v>0.21552106430155213</v>
      </c>
      <c r="U147" s="26">
        <v>5.1388888888888887E-2</v>
      </c>
      <c r="V147" s="26">
        <v>0</v>
      </c>
      <c r="W147" s="26">
        <v>0</v>
      </c>
      <c r="X147" s="27">
        <f t="shared" si="101"/>
        <v>1</v>
      </c>
      <c r="Y147" s="27">
        <f t="shared" si="82"/>
        <v>0</v>
      </c>
      <c r="Z147" s="27">
        <f t="shared" si="71"/>
        <v>0</v>
      </c>
      <c r="AA147" s="23">
        <f t="shared" si="102"/>
        <v>0.4</v>
      </c>
      <c r="AB147" s="24">
        <f t="shared" si="83"/>
        <v>1</v>
      </c>
      <c r="AC147" s="28">
        <f t="shared" si="84"/>
        <v>0.33333333333333331</v>
      </c>
      <c r="AD147" s="29">
        <f t="shared" si="85"/>
        <v>8.3333333333333329E-2</v>
      </c>
      <c r="AE147" s="30">
        <v>2.4108796296296295E-2</v>
      </c>
      <c r="AF147" s="23">
        <f t="shared" si="86"/>
        <v>1.25</v>
      </c>
      <c r="AG147" s="24">
        <f t="shared" si="87"/>
        <v>5</v>
      </c>
      <c r="AH147" s="28">
        <f t="shared" si="88"/>
        <v>1</v>
      </c>
      <c r="AI147" s="29">
        <f t="shared" si="89"/>
        <v>0.25</v>
      </c>
      <c r="AJ147" s="31">
        <v>1</v>
      </c>
      <c r="AK147" s="31">
        <v>1</v>
      </c>
      <c r="AL147" s="31">
        <v>1</v>
      </c>
      <c r="AM147" s="31">
        <v>0</v>
      </c>
      <c r="AN147" s="31">
        <v>0</v>
      </c>
      <c r="AO147" s="31">
        <v>0</v>
      </c>
      <c r="AP147" s="31">
        <v>0</v>
      </c>
      <c r="AQ147" s="31">
        <v>0</v>
      </c>
      <c r="AR147" s="23">
        <f t="shared" si="90"/>
        <v>0.6</v>
      </c>
      <c r="AS147" s="24">
        <f t="shared" si="91"/>
        <v>3</v>
      </c>
      <c r="AT147" s="28">
        <f t="shared" si="92"/>
        <v>0.375</v>
      </c>
      <c r="AU147" s="28">
        <f t="shared" si="93"/>
        <v>5.6249999999999994E-2</v>
      </c>
      <c r="AV147" s="32">
        <v>75</v>
      </c>
      <c r="AW147" s="32">
        <v>75</v>
      </c>
      <c r="AX147" s="32">
        <v>90</v>
      </c>
      <c r="AY147" s="32">
        <v>85</v>
      </c>
      <c r="AZ147" s="32">
        <v>80</v>
      </c>
      <c r="BA147" s="32">
        <v>100</v>
      </c>
      <c r="BB147" s="23">
        <f t="shared" ca="1" si="94"/>
        <v>0.8</v>
      </c>
      <c r="BC147" s="33">
        <f t="shared" si="100"/>
        <v>84.166666666666671</v>
      </c>
      <c r="BD147" s="28">
        <f t="shared" si="95"/>
        <v>0.94059405940594054</v>
      </c>
      <c r="BE147" s="28">
        <f t="shared" si="96"/>
        <v>0.18811881188118812</v>
      </c>
      <c r="BF147" s="34">
        <f ca="1">Q147+AA147+AF147+AR147+BB147</f>
        <v>4.05</v>
      </c>
      <c r="BG147" s="34">
        <f>AVERAGE(AV147:AZ147)</f>
        <v>81</v>
      </c>
      <c r="BH147" s="35">
        <f>T147+AD147+AI147+AU147+BE147</f>
        <v>0.79322320951607361</v>
      </c>
      <c r="BI147" s="36" t="str">
        <f ca="1">IF(K147&lt;365,"New CE",(IF(BH147&gt;=100%,"Promote",IF(BH147&gt;=90%,"Sangat Baik",IF(BH147&gt;=80%,"Baik",IF(BH147&gt;=70%,"Lebih Dari Cukup",IF(BH147&gt;=60%,"Cukup","Kurang")))))))</f>
        <v>Lebih Dari Cukup</v>
      </c>
      <c r="BJ147" s="36" t="s">
        <v>855</v>
      </c>
      <c r="BK147" s="58" t="s">
        <v>48</v>
      </c>
      <c r="BL147" s="59" t="e">
        <v>#N/A</v>
      </c>
    </row>
    <row r="148" spans="1:64" x14ac:dyDescent="0.35">
      <c r="A148" s="19">
        <v>144</v>
      </c>
      <c r="B148" s="13" t="s">
        <v>404</v>
      </c>
      <c r="C148" s="20" t="s">
        <v>405</v>
      </c>
      <c r="D148" s="76" t="s">
        <v>54</v>
      </c>
      <c r="E148" s="13" t="s">
        <v>98</v>
      </c>
      <c r="F148" s="13" t="s">
        <v>50</v>
      </c>
      <c r="G148" s="13" t="s">
        <v>55</v>
      </c>
      <c r="H148" s="65">
        <v>44795</v>
      </c>
      <c r="I148" s="21">
        <f t="shared" ca="1" si="97"/>
        <v>45974</v>
      </c>
      <c r="J148" s="13" t="str">
        <f t="shared" ca="1" si="77"/>
        <v xml:space="preserve">3 Tahun 2 Bulan 22 Hari </v>
      </c>
      <c r="K148" s="13">
        <f t="shared" ca="1" si="98"/>
        <v>1697760</v>
      </c>
      <c r="L148" s="13">
        <v>1040</v>
      </c>
      <c r="M148" s="13">
        <v>17</v>
      </c>
      <c r="N148" s="13">
        <v>7455</v>
      </c>
      <c r="O148" s="22">
        <f t="shared" si="78"/>
        <v>438.52941176470586</v>
      </c>
      <c r="P148" s="13">
        <v>471</v>
      </c>
      <c r="Q148" s="23">
        <f t="shared" si="79"/>
        <v>1</v>
      </c>
      <c r="R148" s="24">
        <f t="shared" si="80"/>
        <v>5</v>
      </c>
      <c r="S148" s="25">
        <f t="shared" si="99"/>
        <v>1.0740442655935614</v>
      </c>
      <c r="T148" s="25">
        <f t="shared" si="81"/>
        <v>0.21480885311871228</v>
      </c>
      <c r="U148" s="26">
        <v>6.805555555555555E-2</v>
      </c>
      <c r="V148" s="26">
        <v>0</v>
      </c>
      <c r="W148" s="26">
        <v>0</v>
      </c>
      <c r="X148" s="27">
        <v>1</v>
      </c>
      <c r="Y148" s="27">
        <f t="shared" si="82"/>
        <v>0</v>
      </c>
      <c r="Z148" s="27">
        <f t="shared" si="71"/>
        <v>0</v>
      </c>
      <c r="AA148" s="23">
        <f t="shared" si="102"/>
        <v>0.4</v>
      </c>
      <c r="AB148" s="24">
        <f t="shared" si="83"/>
        <v>1</v>
      </c>
      <c r="AC148" s="28">
        <f t="shared" si="84"/>
        <v>0.33333333333333331</v>
      </c>
      <c r="AD148" s="29">
        <f t="shared" si="85"/>
        <v>8.3333333333333329E-2</v>
      </c>
      <c r="AE148" s="30">
        <v>2.1840277777777778E-2</v>
      </c>
      <c r="AF148" s="23">
        <f t="shared" si="86"/>
        <v>1.25</v>
      </c>
      <c r="AG148" s="24">
        <f t="shared" si="87"/>
        <v>5</v>
      </c>
      <c r="AH148" s="28">
        <f t="shared" si="88"/>
        <v>1</v>
      </c>
      <c r="AI148" s="29">
        <f t="shared" si="89"/>
        <v>0.25</v>
      </c>
      <c r="AJ148" s="31">
        <v>1</v>
      </c>
      <c r="AK148" s="31">
        <v>1</v>
      </c>
      <c r="AL148" s="31">
        <v>1</v>
      </c>
      <c r="AM148" s="31">
        <v>0</v>
      </c>
      <c r="AN148" s="31">
        <v>0</v>
      </c>
      <c r="AO148" s="31">
        <v>0</v>
      </c>
      <c r="AP148" s="31">
        <v>0</v>
      </c>
      <c r="AQ148" s="31">
        <v>0</v>
      </c>
      <c r="AR148" s="23">
        <f t="shared" si="90"/>
        <v>0.6</v>
      </c>
      <c r="AS148" s="24">
        <f t="shared" si="91"/>
        <v>3</v>
      </c>
      <c r="AT148" s="28">
        <f t="shared" si="92"/>
        <v>0.375</v>
      </c>
      <c r="AU148" s="28">
        <f t="shared" si="93"/>
        <v>5.6249999999999994E-2</v>
      </c>
      <c r="AV148" s="32">
        <v>75</v>
      </c>
      <c r="AW148" s="32">
        <v>75</v>
      </c>
      <c r="AX148" s="32">
        <v>90</v>
      </c>
      <c r="AY148" s="32">
        <v>85</v>
      </c>
      <c r="AZ148" s="32">
        <v>80</v>
      </c>
      <c r="BA148" s="32">
        <v>100</v>
      </c>
      <c r="BB148" s="23">
        <f t="shared" ca="1" si="94"/>
        <v>0.8</v>
      </c>
      <c r="BC148" s="33">
        <f t="shared" si="100"/>
        <v>84.166666666666671</v>
      </c>
      <c r="BD148" s="28">
        <f t="shared" si="95"/>
        <v>0.94059405940594054</v>
      </c>
      <c r="BE148" s="28">
        <f t="shared" si="96"/>
        <v>0.18811881188118812</v>
      </c>
      <c r="BF148" s="34">
        <f ca="1">Q148+AA148+AF148+AR148+BB148</f>
        <v>4.05</v>
      </c>
      <c r="BG148" s="34">
        <f>AVERAGE(AV148:AZ148)</f>
        <v>81</v>
      </c>
      <c r="BH148" s="35">
        <f>T148+AD148+AI148+AU148+BE148</f>
        <v>0.79251099833323368</v>
      </c>
      <c r="BI148" s="36" t="str">
        <f ca="1">IF(K148&lt;365,"New CE",(IF(BH148&gt;=100%,"Promote",IF(BH148&gt;=90%,"Sangat Baik",IF(BH148&gt;=80%,"Baik",IF(BH148&gt;=70%,"Lebih Dari Cukup",IF(BH148&gt;=60%,"Cukup","Kurang")))))))</f>
        <v>Lebih Dari Cukup</v>
      </c>
      <c r="BJ148" s="36" t="s">
        <v>855</v>
      </c>
      <c r="BK148" s="58" t="s">
        <v>48</v>
      </c>
      <c r="BL148" s="59" t="e">
        <v>#N/A</v>
      </c>
    </row>
    <row r="149" spans="1:64" x14ac:dyDescent="0.35">
      <c r="A149" s="19">
        <v>145</v>
      </c>
      <c r="B149" s="13" t="s">
        <v>406</v>
      </c>
      <c r="C149" s="20" t="s">
        <v>407</v>
      </c>
      <c r="D149" s="76" t="s">
        <v>48</v>
      </c>
      <c r="E149" s="13" t="s">
        <v>86</v>
      </c>
      <c r="F149" s="13" t="s">
        <v>74</v>
      </c>
      <c r="G149" s="13" t="s">
        <v>55</v>
      </c>
      <c r="H149" s="65">
        <v>44882</v>
      </c>
      <c r="I149" s="21">
        <f t="shared" ca="1" si="97"/>
        <v>45974</v>
      </c>
      <c r="J149" s="13" t="str">
        <f t="shared" ca="1" si="77"/>
        <v xml:space="preserve">2 Tahun 11 Bulan 27 Hari </v>
      </c>
      <c r="K149" s="13">
        <f t="shared" ca="1" si="98"/>
        <v>1572480</v>
      </c>
      <c r="L149" s="13">
        <v>171</v>
      </c>
      <c r="M149" s="13">
        <v>4</v>
      </c>
      <c r="N149" s="13">
        <v>1473</v>
      </c>
      <c r="O149" s="22">
        <f t="shared" si="78"/>
        <v>368.25</v>
      </c>
      <c r="P149" s="13">
        <v>393</v>
      </c>
      <c r="Q149" s="23">
        <f t="shared" si="79"/>
        <v>1</v>
      </c>
      <c r="R149" s="24">
        <f t="shared" si="80"/>
        <v>5</v>
      </c>
      <c r="S149" s="25">
        <f t="shared" si="99"/>
        <v>1.0672097759674135</v>
      </c>
      <c r="T149" s="25">
        <f t="shared" si="81"/>
        <v>0.21344195519348272</v>
      </c>
      <c r="U149" s="26">
        <v>6058.2415779320991</v>
      </c>
      <c r="V149" s="26">
        <v>34102.003501157407</v>
      </c>
      <c r="W149" s="26">
        <v>19080.777289814821</v>
      </c>
      <c r="X149" s="27">
        <f t="shared" ref="X149:X184" si="103">IF(U149=TIME(0,0,0), 0, IF(U149&lt;=TIME(1,30,0), 1, 0))</f>
        <v>0</v>
      </c>
      <c r="Y149" s="27">
        <f t="shared" si="82"/>
        <v>0</v>
      </c>
      <c r="Z149" s="27">
        <f t="shared" si="71"/>
        <v>1</v>
      </c>
      <c r="AA149" s="23">
        <f t="shared" si="102"/>
        <v>0.4</v>
      </c>
      <c r="AB149" s="24">
        <f t="shared" si="83"/>
        <v>1</v>
      </c>
      <c r="AC149" s="28">
        <f t="shared" si="84"/>
        <v>0.33333333333333331</v>
      </c>
      <c r="AD149" s="29">
        <f t="shared" si="85"/>
        <v>8.3333333333333329E-2</v>
      </c>
      <c r="AE149" s="30">
        <v>4.0661140613652863E-2</v>
      </c>
      <c r="AF149" s="23">
        <f t="shared" si="86"/>
        <v>1.25</v>
      </c>
      <c r="AG149" s="24">
        <f t="shared" si="87"/>
        <v>5</v>
      </c>
      <c r="AH149" s="28">
        <f t="shared" si="88"/>
        <v>1</v>
      </c>
      <c r="AI149" s="29">
        <f t="shared" si="89"/>
        <v>0.25</v>
      </c>
      <c r="AJ149" s="31">
        <v>1</v>
      </c>
      <c r="AK149" s="31">
        <v>1</v>
      </c>
      <c r="AL149" s="31">
        <v>1</v>
      </c>
      <c r="AM149" s="31">
        <v>0</v>
      </c>
      <c r="AN149" s="31">
        <v>0</v>
      </c>
      <c r="AO149" s="31">
        <v>0</v>
      </c>
      <c r="AP149" s="31">
        <v>0</v>
      </c>
      <c r="AQ149" s="31">
        <v>0</v>
      </c>
      <c r="AR149" s="23">
        <f t="shared" si="90"/>
        <v>0.6</v>
      </c>
      <c r="AS149" s="24">
        <f t="shared" si="91"/>
        <v>3</v>
      </c>
      <c r="AT149" s="28">
        <f t="shared" si="92"/>
        <v>0.375</v>
      </c>
      <c r="AU149" s="28">
        <f t="shared" si="93"/>
        <v>5.6249999999999994E-2</v>
      </c>
      <c r="AV149" s="32">
        <v>75</v>
      </c>
      <c r="AW149" s="32">
        <v>75</v>
      </c>
      <c r="AX149" s="32">
        <v>85</v>
      </c>
      <c r="AY149" s="32">
        <v>85</v>
      </c>
      <c r="AZ149" s="32">
        <v>85</v>
      </c>
      <c r="BA149" s="32">
        <v>100</v>
      </c>
      <c r="BB149" s="23">
        <f t="shared" ca="1" si="94"/>
        <v>0.8</v>
      </c>
      <c r="BC149" s="33">
        <f t="shared" si="100"/>
        <v>84.166666666666671</v>
      </c>
      <c r="BD149" s="28">
        <f t="shared" si="95"/>
        <v>0.94059405940594054</v>
      </c>
      <c r="BE149" s="28">
        <f t="shared" si="96"/>
        <v>0.18811881188118812</v>
      </c>
      <c r="BF149" s="34">
        <f ca="1">Q149+AA149+AF149+AR149+BB149</f>
        <v>4.05</v>
      </c>
      <c r="BG149" s="34">
        <f>AVERAGE(AV149:AZ149)</f>
        <v>81</v>
      </c>
      <c r="BH149" s="35">
        <f>T149+AD149+AI149+AU149+BE149</f>
        <v>0.7911441004080042</v>
      </c>
      <c r="BI149" s="36" t="str">
        <f ca="1">IF(K149&lt;365,"New CE",(IF(BH149&gt;=100%,"Promote",IF(BH149&gt;=90%,"Sangat Baik",IF(BH149&gt;=80%,"Baik",IF(BH149&gt;=70%,"Lebih Dari Cukup",IF(BH149&gt;=60%,"Cukup","Kurang")))))))</f>
        <v>Lebih Dari Cukup</v>
      </c>
      <c r="BJ149" s="36" t="s">
        <v>860</v>
      </c>
      <c r="BK149" s="58" t="s">
        <v>48</v>
      </c>
      <c r="BL149" s="59" t="str">
        <v>Muh Fadly Jashar</v>
      </c>
    </row>
    <row r="150" spans="1:64" x14ac:dyDescent="0.35">
      <c r="A150" s="19">
        <v>146</v>
      </c>
      <c r="B150" s="13" t="s">
        <v>408</v>
      </c>
      <c r="C150" s="20" t="s">
        <v>409</v>
      </c>
      <c r="D150" s="76" t="s">
        <v>54</v>
      </c>
      <c r="E150" s="13" t="s">
        <v>287</v>
      </c>
      <c r="F150" s="13" t="s">
        <v>74</v>
      </c>
      <c r="G150" s="13" t="s">
        <v>55</v>
      </c>
      <c r="H150" s="65">
        <v>44837</v>
      </c>
      <c r="I150" s="21">
        <f t="shared" ca="1" si="97"/>
        <v>45974</v>
      </c>
      <c r="J150" s="13" t="str">
        <f t="shared" ca="1" si="77"/>
        <v xml:space="preserve">3 Tahun 1 Bulan 10 Hari </v>
      </c>
      <c r="K150" s="13">
        <f t="shared" ca="1" si="98"/>
        <v>1637280</v>
      </c>
      <c r="L150" s="13">
        <v>295</v>
      </c>
      <c r="M150" s="13">
        <v>5</v>
      </c>
      <c r="N150" s="13">
        <v>2105</v>
      </c>
      <c r="O150" s="22">
        <f t="shared" si="78"/>
        <v>421</v>
      </c>
      <c r="P150" s="13">
        <v>414</v>
      </c>
      <c r="Q150" s="23">
        <f t="shared" si="79"/>
        <v>0.8</v>
      </c>
      <c r="R150" s="24">
        <f t="shared" si="80"/>
        <v>4</v>
      </c>
      <c r="S150" s="25">
        <f t="shared" si="99"/>
        <v>0.98337292161520184</v>
      </c>
      <c r="T150" s="25">
        <f t="shared" si="81"/>
        <v>0.19667458432304039</v>
      </c>
      <c r="U150" s="26">
        <v>6.25E-2</v>
      </c>
      <c r="V150" s="26">
        <v>4.5138888888888888E-2</v>
      </c>
      <c r="W150" s="26">
        <v>9073.6284606481477</v>
      </c>
      <c r="X150" s="27">
        <f t="shared" si="103"/>
        <v>1</v>
      </c>
      <c r="Y150" s="27">
        <f t="shared" si="82"/>
        <v>1</v>
      </c>
      <c r="Z150" s="27">
        <f t="shared" si="71"/>
        <v>1</v>
      </c>
      <c r="AA150" s="23">
        <f t="shared" si="102"/>
        <v>1.25</v>
      </c>
      <c r="AB150" s="24">
        <f t="shared" si="83"/>
        <v>3</v>
      </c>
      <c r="AC150" s="28">
        <f t="shared" si="84"/>
        <v>1</v>
      </c>
      <c r="AD150" s="29">
        <f t="shared" si="85"/>
        <v>0.25</v>
      </c>
      <c r="AE150" s="30">
        <v>0.14085231343694884</v>
      </c>
      <c r="AF150" s="23">
        <f t="shared" si="86"/>
        <v>0.5</v>
      </c>
      <c r="AG150" s="24">
        <f t="shared" si="87"/>
        <v>2</v>
      </c>
      <c r="AH150" s="28">
        <f t="shared" si="88"/>
        <v>0.4</v>
      </c>
      <c r="AI150" s="29">
        <f t="shared" si="89"/>
        <v>0.1</v>
      </c>
      <c r="AJ150" s="31">
        <v>1</v>
      </c>
      <c r="AK150" s="31">
        <v>1</v>
      </c>
      <c r="AL150" s="31">
        <v>0</v>
      </c>
      <c r="AM150" s="31">
        <v>0</v>
      </c>
      <c r="AN150" s="31">
        <v>0</v>
      </c>
      <c r="AO150" s="31">
        <v>1</v>
      </c>
      <c r="AP150" s="31">
        <v>0</v>
      </c>
      <c r="AQ150" s="31">
        <v>0</v>
      </c>
      <c r="AR150" s="23">
        <f t="shared" si="90"/>
        <v>0.6</v>
      </c>
      <c r="AS150" s="24">
        <f t="shared" si="91"/>
        <v>3</v>
      </c>
      <c r="AT150" s="28">
        <f t="shared" si="92"/>
        <v>0.375</v>
      </c>
      <c r="AU150" s="28">
        <f t="shared" si="93"/>
        <v>5.6249999999999994E-2</v>
      </c>
      <c r="AV150" s="32">
        <v>75</v>
      </c>
      <c r="AW150" s="32">
        <v>75</v>
      </c>
      <c r="AX150" s="32">
        <v>85</v>
      </c>
      <c r="AY150" s="32">
        <v>85</v>
      </c>
      <c r="AZ150" s="32">
        <v>85</v>
      </c>
      <c r="BA150" s="32">
        <v>100</v>
      </c>
      <c r="BB150" s="23">
        <f t="shared" ca="1" si="94"/>
        <v>0.8</v>
      </c>
      <c r="BC150" s="33">
        <f t="shared" si="100"/>
        <v>84.166666666666671</v>
      </c>
      <c r="BD150" s="28">
        <f t="shared" si="95"/>
        <v>0.94059405940594054</v>
      </c>
      <c r="BE150" s="28">
        <f t="shared" si="96"/>
        <v>0.18811881188118812</v>
      </c>
      <c r="BF150" s="34">
        <f ca="1">Q150+AA150+AF150+AR150+BB150</f>
        <v>3.95</v>
      </c>
      <c r="BG150" s="34">
        <f>AVERAGE(AV150:AZ150)</f>
        <v>81</v>
      </c>
      <c r="BH150" s="35">
        <f>T150+AD150+AI150+AU150+BE150</f>
        <v>0.79104339620422848</v>
      </c>
      <c r="BI150" s="36" t="str">
        <f ca="1">IF(K150&lt;365,"New CE",(IF(BH150&gt;=100%,"Promote",IF(BH150&gt;=90%,"Sangat Baik",IF(BH150&gt;=80%,"Baik",IF(BH150&gt;=70%,"Lebih Dari Cukup",IF(BH150&gt;=60%,"Cukup","Kurang")))))))</f>
        <v>Lebih Dari Cukup</v>
      </c>
      <c r="BJ150" s="36" t="s">
        <v>855</v>
      </c>
      <c r="BK150" s="58" t="s">
        <v>48</v>
      </c>
      <c r="BL150" s="59" t="str">
        <v>Fahri</v>
      </c>
    </row>
    <row r="151" spans="1:64" x14ac:dyDescent="0.35">
      <c r="A151" s="19">
        <v>147</v>
      </c>
      <c r="B151" s="13" t="s">
        <v>410</v>
      </c>
      <c r="C151" s="20" t="s">
        <v>411</v>
      </c>
      <c r="D151" s="76" t="s">
        <v>54</v>
      </c>
      <c r="E151" s="13" t="s">
        <v>300</v>
      </c>
      <c r="F151" s="13" t="s">
        <v>74</v>
      </c>
      <c r="G151" s="13" t="s">
        <v>61</v>
      </c>
      <c r="H151" s="65">
        <v>45323</v>
      </c>
      <c r="I151" s="21">
        <f t="shared" ca="1" si="97"/>
        <v>45974</v>
      </c>
      <c r="J151" s="13" t="str">
        <f t="shared" ca="1" si="77"/>
        <v xml:space="preserve">1 Tahun 9 Bulan 12 Hari </v>
      </c>
      <c r="K151" s="13">
        <f t="shared" ca="1" si="98"/>
        <v>937440</v>
      </c>
      <c r="L151" s="13">
        <v>156</v>
      </c>
      <c r="M151" s="13">
        <v>4</v>
      </c>
      <c r="N151" s="13">
        <v>1290</v>
      </c>
      <c r="O151" s="22">
        <f t="shared" si="78"/>
        <v>322.5</v>
      </c>
      <c r="P151" s="13">
        <v>226</v>
      </c>
      <c r="Q151" s="23">
        <f t="shared" si="79"/>
        <v>0.6</v>
      </c>
      <c r="R151" s="24">
        <f t="shared" si="80"/>
        <v>3</v>
      </c>
      <c r="S151" s="25">
        <f t="shared" si="99"/>
        <v>0.70077519379844966</v>
      </c>
      <c r="T151" s="25">
        <f t="shared" si="81"/>
        <v>0.14015503875968993</v>
      </c>
      <c r="U151" s="26">
        <v>5.2391873781676403E-2</v>
      </c>
      <c r="V151" s="26">
        <v>0</v>
      </c>
      <c r="W151" s="26">
        <v>0.40301311728395062</v>
      </c>
      <c r="X151" s="27">
        <f t="shared" si="103"/>
        <v>1</v>
      </c>
      <c r="Y151" s="27">
        <f t="shared" si="82"/>
        <v>0</v>
      </c>
      <c r="Z151" s="27">
        <f t="shared" si="71"/>
        <v>1</v>
      </c>
      <c r="AA151" s="23">
        <f t="shared" si="102"/>
        <v>0.8</v>
      </c>
      <c r="AB151" s="24">
        <f t="shared" si="83"/>
        <v>2</v>
      </c>
      <c r="AC151" s="28">
        <f t="shared" si="84"/>
        <v>0.66666666666666663</v>
      </c>
      <c r="AD151" s="29">
        <f t="shared" si="85"/>
        <v>0.16666666666666666</v>
      </c>
      <c r="AE151" s="30">
        <v>6.6301031144781142E-2</v>
      </c>
      <c r="AF151" s="23">
        <f t="shared" si="86"/>
        <v>1</v>
      </c>
      <c r="AG151" s="24">
        <f t="shared" si="87"/>
        <v>4</v>
      </c>
      <c r="AH151" s="28">
        <f t="shared" si="88"/>
        <v>0.8</v>
      </c>
      <c r="AI151" s="29">
        <f t="shared" si="89"/>
        <v>0.2</v>
      </c>
      <c r="AJ151" s="31">
        <v>1</v>
      </c>
      <c r="AK151" s="31">
        <v>1</v>
      </c>
      <c r="AL151" s="31">
        <v>1</v>
      </c>
      <c r="AM151" s="31">
        <v>0</v>
      </c>
      <c r="AN151" s="31">
        <v>0</v>
      </c>
      <c r="AO151" s="31">
        <v>1</v>
      </c>
      <c r="AP151" s="31">
        <v>0</v>
      </c>
      <c r="AQ151" s="31">
        <v>1</v>
      </c>
      <c r="AR151" s="23">
        <f t="shared" si="90"/>
        <v>1</v>
      </c>
      <c r="AS151" s="24">
        <f t="shared" si="91"/>
        <v>5</v>
      </c>
      <c r="AT151" s="28">
        <f t="shared" si="92"/>
        <v>0.625</v>
      </c>
      <c r="AU151" s="28">
        <f t="shared" si="93"/>
        <v>9.375E-2</v>
      </c>
      <c r="AV151" s="32">
        <v>75</v>
      </c>
      <c r="AW151" s="32">
        <v>75</v>
      </c>
      <c r="AX151" s="32">
        <v>80</v>
      </c>
      <c r="AY151" s="32">
        <v>85</v>
      </c>
      <c r="AZ151" s="32">
        <v>80</v>
      </c>
      <c r="BA151" s="32">
        <v>100</v>
      </c>
      <c r="BB151" s="23">
        <f t="shared" ca="1" si="94"/>
        <v>0.8</v>
      </c>
      <c r="BC151" s="33">
        <f t="shared" si="100"/>
        <v>82.5</v>
      </c>
      <c r="BD151" s="28">
        <f t="shared" si="95"/>
        <v>0.93939393939393945</v>
      </c>
      <c r="BE151" s="28">
        <f t="shared" si="96"/>
        <v>0.1878787878787879</v>
      </c>
      <c r="BF151" s="34">
        <f ca="1">Q151+AA151+AF151+AR151+BB151</f>
        <v>4.2</v>
      </c>
      <c r="BG151" s="34">
        <f>AVERAGE(AV151:AZ151)</f>
        <v>79</v>
      </c>
      <c r="BH151" s="35">
        <f>T151+AD151+AI151+AU151+BE151</f>
        <v>0.7884504933051445</v>
      </c>
      <c r="BI151" s="36" t="str">
        <f ca="1">IF(K151&lt;365,"New CE",(IF(BH151&gt;=100%,"Promote",IF(BH151&gt;=90%,"Sangat Baik",IF(BH151&gt;=80%,"Baik",IF(BH151&gt;=70%,"Lebih Dari Cukup",IF(BH151&gt;=60%,"Cukup","Kurang")))))))</f>
        <v>Lebih Dari Cukup</v>
      </c>
      <c r="BJ151" s="36" t="s">
        <v>860</v>
      </c>
      <c r="BK151" s="58" t="s">
        <v>54</v>
      </c>
      <c r="BL151" s="59" t="str">
        <v>Wiranto Biki</v>
      </c>
    </row>
    <row r="152" spans="1:64" x14ac:dyDescent="0.35">
      <c r="A152" s="19">
        <v>148</v>
      </c>
      <c r="B152" s="13" t="s">
        <v>412</v>
      </c>
      <c r="C152" s="20" t="s">
        <v>413</v>
      </c>
      <c r="D152" s="76" t="s">
        <v>54</v>
      </c>
      <c r="E152" s="13" t="s">
        <v>182</v>
      </c>
      <c r="F152" s="13" t="s">
        <v>74</v>
      </c>
      <c r="G152" s="13" t="s">
        <v>75</v>
      </c>
      <c r="H152" s="65">
        <v>45243</v>
      </c>
      <c r="I152" s="21">
        <f t="shared" ca="1" si="97"/>
        <v>45974</v>
      </c>
      <c r="J152" s="13" t="str">
        <f t="shared" ca="1" si="77"/>
        <v xml:space="preserve">2 Tahun 0 Bulan 0 Hari </v>
      </c>
      <c r="K152" s="13">
        <f t="shared" ca="1" si="98"/>
        <v>1052640</v>
      </c>
      <c r="L152" s="13">
        <v>612</v>
      </c>
      <c r="M152" s="13">
        <v>11</v>
      </c>
      <c r="N152" s="13">
        <v>5254</v>
      </c>
      <c r="O152" s="22">
        <f t="shared" si="78"/>
        <v>477.63636363636363</v>
      </c>
      <c r="P152" s="13">
        <v>469</v>
      </c>
      <c r="Q152" s="23">
        <f t="shared" si="79"/>
        <v>0.8</v>
      </c>
      <c r="R152" s="24">
        <f t="shared" si="80"/>
        <v>4</v>
      </c>
      <c r="S152" s="25">
        <f t="shared" si="99"/>
        <v>0.9819185382565665</v>
      </c>
      <c r="T152" s="25">
        <f t="shared" si="81"/>
        <v>0.1963837076513133</v>
      </c>
      <c r="U152" s="26">
        <v>459.7553827628131</v>
      </c>
      <c r="V152" s="26">
        <v>0.11263503086419753</v>
      </c>
      <c r="W152" s="26">
        <v>3.8680555555555558E-2</v>
      </c>
      <c r="X152" s="27">
        <f t="shared" si="103"/>
        <v>0</v>
      </c>
      <c r="Y152" s="27">
        <f t="shared" si="82"/>
        <v>1</v>
      </c>
      <c r="Z152" s="27">
        <f t="shared" si="71"/>
        <v>1</v>
      </c>
      <c r="AA152" s="23">
        <f t="shared" si="102"/>
        <v>0.8</v>
      </c>
      <c r="AB152" s="24">
        <f t="shared" si="83"/>
        <v>2</v>
      </c>
      <c r="AC152" s="28">
        <f t="shared" si="84"/>
        <v>0.66666666666666663</v>
      </c>
      <c r="AD152" s="29">
        <f t="shared" si="85"/>
        <v>0.16666666666666666</v>
      </c>
      <c r="AE152" s="30">
        <v>5.2927148370410772E-2</v>
      </c>
      <c r="AF152" s="23">
        <f t="shared" si="86"/>
        <v>1</v>
      </c>
      <c r="AG152" s="24">
        <f t="shared" si="87"/>
        <v>4</v>
      </c>
      <c r="AH152" s="28">
        <f t="shared" si="88"/>
        <v>0.8</v>
      </c>
      <c r="AI152" s="29">
        <f t="shared" si="89"/>
        <v>0.2</v>
      </c>
      <c r="AJ152" s="31">
        <v>1</v>
      </c>
      <c r="AK152" s="31">
        <v>1</v>
      </c>
      <c r="AL152" s="31">
        <v>0</v>
      </c>
      <c r="AM152" s="31">
        <v>0</v>
      </c>
      <c r="AN152" s="31">
        <v>0</v>
      </c>
      <c r="AO152" s="31">
        <v>0</v>
      </c>
      <c r="AP152" s="31">
        <v>0</v>
      </c>
      <c r="AQ152" s="31">
        <v>0</v>
      </c>
      <c r="AR152" s="23">
        <f t="shared" si="90"/>
        <v>0.4</v>
      </c>
      <c r="AS152" s="24">
        <f t="shared" si="91"/>
        <v>2</v>
      </c>
      <c r="AT152" s="28">
        <f t="shared" si="92"/>
        <v>0.25</v>
      </c>
      <c r="AU152" s="28">
        <f t="shared" si="93"/>
        <v>3.7499999999999999E-2</v>
      </c>
      <c r="AV152" s="32">
        <v>75</v>
      </c>
      <c r="AW152" s="32">
        <v>75</v>
      </c>
      <c r="AX152" s="32">
        <v>85</v>
      </c>
      <c r="AY152" s="32">
        <v>80</v>
      </c>
      <c r="AZ152" s="32">
        <v>80</v>
      </c>
      <c r="BA152" s="32">
        <v>100</v>
      </c>
      <c r="BB152" s="23">
        <f t="shared" si="94"/>
        <v>0.8</v>
      </c>
      <c r="BC152" s="33">
        <f t="shared" si="100"/>
        <v>82.5</v>
      </c>
      <c r="BD152" s="28">
        <f t="shared" si="95"/>
        <v>0.93939393939393945</v>
      </c>
      <c r="BE152" s="28">
        <f t="shared" si="96"/>
        <v>0.1878787878787879</v>
      </c>
      <c r="BF152" s="34">
        <f>Q152+AA152+AF152+AR152+BB152</f>
        <v>3.8</v>
      </c>
      <c r="BG152" s="34">
        <f>AVERAGE(AV152:AZ152)</f>
        <v>79</v>
      </c>
      <c r="BH152" s="35">
        <f>T152+AD152+AI152+AU152+BE152</f>
        <v>0.78842916219676784</v>
      </c>
      <c r="BI152" s="36" t="s">
        <v>856</v>
      </c>
      <c r="BJ152" s="36" t="s">
        <v>860</v>
      </c>
      <c r="BK152" s="58" t="s">
        <v>54</v>
      </c>
      <c r="BL152" s="59" t="str">
        <v>Muhammad Tri Prijaya</v>
      </c>
    </row>
    <row r="153" spans="1:64" x14ac:dyDescent="0.35">
      <c r="A153" s="19">
        <v>149</v>
      </c>
      <c r="B153" s="13" t="s">
        <v>414</v>
      </c>
      <c r="C153" s="20" t="s">
        <v>415</v>
      </c>
      <c r="D153" s="76" t="s">
        <v>54</v>
      </c>
      <c r="E153" s="13" t="s">
        <v>328</v>
      </c>
      <c r="F153" s="13" t="s">
        <v>74</v>
      </c>
      <c r="G153" s="13" t="s">
        <v>61</v>
      </c>
      <c r="H153" s="65">
        <v>45306</v>
      </c>
      <c r="I153" s="21">
        <f t="shared" ca="1" si="97"/>
        <v>45974</v>
      </c>
      <c r="J153" s="13" t="str">
        <f t="shared" ca="1" si="77"/>
        <v xml:space="preserve">1 Tahun 9 Bulan 29 Hari </v>
      </c>
      <c r="K153" s="13">
        <f t="shared" ca="1" si="98"/>
        <v>961920</v>
      </c>
      <c r="L153" s="13">
        <v>69</v>
      </c>
      <c r="M153" s="13">
        <v>2</v>
      </c>
      <c r="N153" s="13">
        <v>514</v>
      </c>
      <c r="O153" s="22">
        <f t="shared" si="78"/>
        <v>257</v>
      </c>
      <c r="P153" s="13">
        <v>204</v>
      </c>
      <c r="Q153" s="23">
        <f t="shared" si="79"/>
        <v>0.6</v>
      </c>
      <c r="R153" s="24">
        <f t="shared" si="80"/>
        <v>3</v>
      </c>
      <c r="S153" s="25">
        <f t="shared" si="99"/>
        <v>0.79377431906614782</v>
      </c>
      <c r="T153" s="25">
        <f t="shared" si="81"/>
        <v>0.15875486381322956</v>
      </c>
      <c r="U153" s="26">
        <v>9108.9604259259249</v>
      </c>
      <c r="V153" s="26">
        <v>9.2592592592592588E-5</v>
      </c>
      <c r="W153" s="26">
        <v>1.5819187242798356E-2</v>
      </c>
      <c r="X153" s="27">
        <f t="shared" si="103"/>
        <v>0</v>
      </c>
      <c r="Y153" s="27">
        <f t="shared" si="82"/>
        <v>1</v>
      </c>
      <c r="Z153" s="27">
        <f t="shared" si="71"/>
        <v>1</v>
      </c>
      <c r="AA153" s="23">
        <f t="shared" si="102"/>
        <v>0.8</v>
      </c>
      <c r="AB153" s="24">
        <f t="shared" si="83"/>
        <v>2</v>
      </c>
      <c r="AC153" s="28">
        <f t="shared" si="84"/>
        <v>0.66666666666666663</v>
      </c>
      <c r="AD153" s="29">
        <f t="shared" si="85"/>
        <v>0.16666666666666666</v>
      </c>
      <c r="AE153" s="30">
        <v>6.2559317129629616E-2</v>
      </c>
      <c r="AF153" s="23">
        <f t="shared" si="86"/>
        <v>1</v>
      </c>
      <c r="AG153" s="24">
        <f t="shared" si="87"/>
        <v>4</v>
      </c>
      <c r="AH153" s="28">
        <f t="shared" si="88"/>
        <v>0.8</v>
      </c>
      <c r="AI153" s="29">
        <f t="shared" si="89"/>
        <v>0.2</v>
      </c>
      <c r="AJ153" s="31">
        <v>1</v>
      </c>
      <c r="AK153" s="31">
        <v>1</v>
      </c>
      <c r="AL153" s="31">
        <v>1</v>
      </c>
      <c r="AM153" s="31">
        <v>0</v>
      </c>
      <c r="AN153" s="31">
        <v>1</v>
      </c>
      <c r="AO153" s="31">
        <v>0</v>
      </c>
      <c r="AP153" s="31">
        <v>0</v>
      </c>
      <c r="AQ153" s="31">
        <v>0</v>
      </c>
      <c r="AR153" s="23">
        <f t="shared" si="90"/>
        <v>0.8</v>
      </c>
      <c r="AS153" s="24">
        <f t="shared" si="91"/>
        <v>4</v>
      </c>
      <c r="AT153" s="28">
        <f t="shared" si="92"/>
        <v>0.5</v>
      </c>
      <c r="AU153" s="28">
        <f t="shared" si="93"/>
        <v>7.4999999999999997E-2</v>
      </c>
      <c r="AV153" s="32">
        <v>75</v>
      </c>
      <c r="AW153" s="32">
        <v>75</v>
      </c>
      <c r="AX153" s="32">
        <v>80</v>
      </c>
      <c r="AY153" s="32">
        <v>80</v>
      </c>
      <c r="AZ153" s="32">
        <v>80</v>
      </c>
      <c r="BA153" s="32">
        <v>100</v>
      </c>
      <c r="BB153" s="23">
        <f t="shared" ca="1" si="94"/>
        <v>0.8</v>
      </c>
      <c r="BC153" s="33">
        <f t="shared" si="100"/>
        <v>81.666666666666671</v>
      </c>
      <c r="BD153" s="28">
        <f t="shared" si="95"/>
        <v>0.93877551020408168</v>
      </c>
      <c r="BE153" s="28">
        <f t="shared" si="96"/>
        <v>0.18775510204081636</v>
      </c>
      <c r="BF153" s="34">
        <f ca="1">Q153+AA153+AF153+AR153+BB153</f>
        <v>4</v>
      </c>
      <c r="BG153" s="34">
        <f>AVERAGE(AV153:AZ153)</f>
        <v>78</v>
      </c>
      <c r="BH153" s="35">
        <f>T153+AD153+AI153+AU153+BE153</f>
        <v>0.78817663252071246</v>
      </c>
      <c r="BI153" s="36" t="str">
        <f ca="1">IF(K153&lt;365,"New CE",(IF(BH153&gt;=100%,"Promote",IF(BH153&gt;=90%,"Sangat Baik",IF(BH153&gt;=80%,"Baik",IF(BH153&gt;=70%,"Lebih Dari Cukup",IF(BH153&gt;=60%,"Cukup","Kurang")))))))</f>
        <v>Lebih Dari Cukup</v>
      </c>
      <c r="BJ153" s="36" t="s">
        <v>860</v>
      </c>
      <c r="BK153" s="58" t="s">
        <v>54</v>
      </c>
      <c r="BL153" s="59" t="str">
        <v>Dicky Raychan</v>
      </c>
    </row>
    <row r="154" spans="1:64" x14ac:dyDescent="0.35">
      <c r="A154" s="19">
        <v>150</v>
      </c>
      <c r="B154" s="13" t="s">
        <v>416</v>
      </c>
      <c r="C154" s="20" t="s">
        <v>417</v>
      </c>
      <c r="D154" s="76" t="s">
        <v>54</v>
      </c>
      <c r="E154" s="13" t="s">
        <v>418</v>
      </c>
      <c r="F154" s="13" t="s">
        <v>44</v>
      </c>
      <c r="G154" s="13" t="s">
        <v>55</v>
      </c>
      <c r="H154" s="65">
        <v>44837</v>
      </c>
      <c r="I154" s="21">
        <f t="shared" ca="1" si="97"/>
        <v>45974</v>
      </c>
      <c r="J154" s="13" t="str">
        <f t="shared" ca="1" si="77"/>
        <v xml:space="preserve">3 Tahun 1 Bulan 10 Hari </v>
      </c>
      <c r="K154" s="13">
        <f t="shared" ca="1" si="98"/>
        <v>1637280</v>
      </c>
      <c r="L154" s="13">
        <v>173</v>
      </c>
      <c r="M154" s="13">
        <v>3</v>
      </c>
      <c r="N154" s="13">
        <v>1310</v>
      </c>
      <c r="O154" s="22">
        <f t="shared" si="78"/>
        <v>436.66666666666669</v>
      </c>
      <c r="P154" s="13">
        <v>483</v>
      </c>
      <c r="Q154" s="23">
        <f t="shared" si="79"/>
        <v>1</v>
      </c>
      <c r="R154" s="24">
        <f t="shared" si="80"/>
        <v>5</v>
      </c>
      <c r="S154" s="25">
        <f t="shared" si="99"/>
        <v>1.1061068702290076</v>
      </c>
      <c r="T154" s="25">
        <f t="shared" si="81"/>
        <v>0.22122137404580153</v>
      </c>
      <c r="U154" s="26">
        <v>8895.5009649255262</v>
      </c>
      <c r="V154" s="26">
        <v>7820.7901249201786</v>
      </c>
      <c r="W154" s="26">
        <v>0</v>
      </c>
      <c r="X154" s="27">
        <f t="shared" si="103"/>
        <v>0</v>
      </c>
      <c r="Y154" s="27">
        <f t="shared" si="82"/>
        <v>0</v>
      </c>
      <c r="Z154" s="27">
        <f t="shared" si="71"/>
        <v>0</v>
      </c>
      <c r="AA154" s="23">
        <f t="shared" si="102"/>
        <v>0.8</v>
      </c>
      <c r="AB154" s="24">
        <v>2</v>
      </c>
      <c r="AC154" s="28">
        <f t="shared" si="84"/>
        <v>0.66666666666666663</v>
      </c>
      <c r="AD154" s="29">
        <f t="shared" si="85"/>
        <v>0.16666666666666666</v>
      </c>
      <c r="AE154" s="30">
        <v>3.8757482229704446E-2</v>
      </c>
      <c r="AF154" s="23">
        <f t="shared" si="86"/>
        <v>0.5</v>
      </c>
      <c r="AG154" s="24">
        <v>2</v>
      </c>
      <c r="AH154" s="28">
        <f t="shared" si="88"/>
        <v>0.4</v>
      </c>
      <c r="AI154" s="29">
        <f t="shared" si="89"/>
        <v>0.1</v>
      </c>
      <c r="AJ154" s="31">
        <v>1</v>
      </c>
      <c r="AK154" s="31">
        <v>1</v>
      </c>
      <c r="AL154" s="31">
        <v>1</v>
      </c>
      <c r="AM154" s="31">
        <v>0</v>
      </c>
      <c r="AN154" s="31">
        <v>1</v>
      </c>
      <c r="AO154" s="31">
        <v>1</v>
      </c>
      <c r="AP154" s="31">
        <v>0</v>
      </c>
      <c r="AQ154" s="31">
        <v>1</v>
      </c>
      <c r="AR154" s="23">
        <f t="shared" si="90"/>
        <v>1</v>
      </c>
      <c r="AS154" s="24">
        <f t="shared" si="91"/>
        <v>6</v>
      </c>
      <c r="AT154" s="28">
        <f t="shared" si="92"/>
        <v>0.75</v>
      </c>
      <c r="AU154" s="28">
        <f t="shared" si="93"/>
        <v>0.11249999999999999</v>
      </c>
      <c r="AV154" s="32">
        <v>75</v>
      </c>
      <c r="AW154" s="32">
        <v>75</v>
      </c>
      <c r="AX154" s="32">
        <v>80</v>
      </c>
      <c r="AY154" s="32">
        <v>80</v>
      </c>
      <c r="AZ154" s="32">
        <v>80</v>
      </c>
      <c r="BA154" s="32">
        <v>100</v>
      </c>
      <c r="BB154" s="23">
        <f t="shared" ca="1" si="94"/>
        <v>0.8</v>
      </c>
      <c r="BC154" s="33">
        <f t="shared" si="100"/>
        <v>81.666666666666671</v>
      </c>
      <c r="BD154" s="28">
        <f t="shared" si="95"/>
        <v>0.93877551020408168</v>
      </c>
      <c r="BE154" s="28">
        <f t="shared" si="96"/>
        <v>0.18775510204081636</v>
      </c>
      <c r="BF154" s="34">
        <f ca="1">Q154+AA154+AF154+AR154+BB154</f>
        <v>4.0999999999999996</v>
      </c>
      <c r="BG154" s="34">
        <f>AVERAGE(AV154:AZ154)</f>
        <v>78</v>
      </c>
      <c r="BH154" s="35">
        <f>T154+AD154+AI154+AU154+BE154</f>
        <v>0.78814314275328456</v>
      </c>
      <c r="BI154" s="36" t="str">
        <f ca="1">IF(K154&lt;365,"New CE",(IF(BH154&gt;=100%,"Promote",IF(BH154&gt;=90%,"Sangat Baik",IF(BH154&gt;=80%,"Baik",IF(BH154&gt;=70%,"Lebih Dari Cukup",IF(BH154&gt;=60%,"Cukup","Kurang")))))))</f>
        <v>Lebih Dari Cukup</v>
      </c>
      <c r="BJ154" s="36" t="s">
        <v>860</v>
      </c>
      <c r="BK154" s="58" t="s">
        <v>54</v>
      </c>
      <c r="BL154" s="59" t="e">
        <v>#N/A</v>
      </c>
    </row>
    <row r="155" spans="1:64" x14ac:dyDescent="0.35">
      <c r="A155" s="19">
        <v>151</v>
      </c>
      <c r="B155" s="13" t="s">
        <v>419</v>
      </c>
      <c r="C155" s="20" t="s">
        <v>420</v>
      </c>
      <c r="D155" s="76" t="s">
        <v>54</v>
      </c>
      <c r="E155" s="13" t="s">
        <v>43</v>
      </c>
      <c r="F155" s="13" t="s">
        <v>44</v>
      </c>
      <c r="G155" s="13" t="s">
        <v>61</v>
      </c>
      <c r="H155" s="65">
        <v>45131</v>
      </c>
      <c r="I155" s="21">
        <f t="shared" ca="1" si="97"/>
        <v>45974</v>
      </c>
      <c r="J155" s="13" t="str">
        <f t="shared" ca="1" si="77"/>
        <v xml:space="preserve">2 Tahun 3 Bulan 20 Hari </v>
      </c>
      <c r="K155" s="13">
        <f t="shared" ca="1" si="98"/>
        <v>1213920</v>
      </c>
      <c r="L155" s="13">
        <v>1384</v>
      </c>
      <c r="M155" s="13">
        <v>22</v>
      </c>
      <c r="N155" s="13">
        <v>6775</v>
      </c>
      <c r="O155" s="22">
        <f t="shared" si="78"/>
        <v>307.95454545454544</v>
      </c>
      <c r="P155" s="13">
        <v>365</v>
      </c>
      <c r="Q155" s="23">
        <f t="shared" si="79"/>
        <v>1</v>
      </c>
      <c r="R155" s="24">
        <f t="shared" si="80"/>
        <v>5</v>
      </c>
      <c r="S155" s="25">
        <f t="shared" si="99"/>
        <v>1.1852398523985241</v>
      </c>
      <c r="T155" s="25">
        <f t="shared" si="81"/>
        <v>0.23704797047970483</v>
      </c>
      <c r="U155" s="26">
        <v>866.10251940035278</v>
      </c>
      <c r="V155" s="26">
        <v>0</v>
      </c>
      <c r="W155" s="26">
        <v>0</v>
      </c>
      <c r="X155" s="27">
        <f t="shared" si="103"/>
        <v>0</v>
      </c>
      <c r="Y155" s="27">
        <f t="shared" si="82"/>
        <v>0</v>
      </c>
      <c r="Z155" s="27">
        <f t="shared" si="71"/>
        <v>0</v>
      </c>
      <c r="AA155" s="23">
        <f t="shared" si="102"/>
        <v>0</v>
      </c>
      <c r="AB155" s="24">
        <f t="shared" ref="AB155:AB216" si="104">X155+Y155+Z155</f>
        <v>0</v>
      </c>
      <c r="AC155" s="28">
        <f t="shared" si="84"/>
        <v>0</v>
      </c>
      <c r="AD155" s="29">
        <f t="shared" si="85"/>
        <v>0</v>
      </c>
      <c r="AE155" s="30">
        <v>2.7308951010959946E-2</v>
      </c>
      <c r="AF155" s="23">
        <f t="shared" si="86"/>
        <v>1.25</v>
      </c>
      <c r="AG155" s="24">
        <f t="shared" ref="AG155:AG191" si="105">IF(AE155="",0,IF(AE155&lt;=TIME(1,0,0),5,IF(AE155&lt;=TIME(2,0,0),4,IF(AE155&lt;=TIME(3,0,0),3,IF(AE155&lt;=TIME(4,0,0),2,IF(AE155&lt;TIME(8,0,0),1,0))))))</f>
        <v>5</v>
      </c>
      <c r="AH155" s="28">
        <f t="shared" si="88"/>
        <v>1</v>
      </c>
      <c r="AI155" s="29">
        <f t="shared" si="89"/>
        <v>0.25</v>
      </c>
      <c r="AJ155" s="31">
        <v>1</v>
      </c>
      <c r="AK155" s="31">
        <v>1</v>
      </c>
      <c r="AL155" s="31">
        <v>1</v>
      </c>
      <c r="AM155" s="31">
        <v>0</v>
      </c>
      <c r="AN155" s="31">
        <v>1</v>
      </c>
      <c r="AO155" s="31">
        <v>0</v>
      </c>
      <c r="AP155" s="31">
        <v>1</v>
      </c>
      <c r="AQ155" s="31">
        <v>1</v>
      </c>
      <c r="AR155" s="23">
        <f t="shared" si="90"/>
        <v>1</v>
      </c>
      <c r="AS155" s="24">
        <f t="shared" si="91"/>
        <v>6</v>
      </c>
      <c r="AT155" s="28">
        <f t="shared" si="92"/>
        <v>0.75</v>
      </c>
      <c r="AU155" s="28">
        <f t="shared" si="93"/>
        <v>0.11249999999999999</v>
      </c>
      <c r="AV155" s="32">
        <v>75</v>
      </c>
      <c r="AW155" s="32">
        <v>75</v>
      </c>
      <c r="AX155" s="32">
        <v>70</v>
      </c>
      <c r="AY155" s="32">
        <v>70</v>
      </c>
      <c r="AZ155" s="32">
        <v>75</v>
      </c>
      <c r="BA155" s="32">
        <v>100</v>
      </c>
      <c r="BB155" s="23">
        <f t="shared" ca="1" si="94"/>
        <v>0.8</v>
      </c>
      <c r="BC155" s="33">
        <f t="shared" si="100"/>
        <v>77.5</v>
      </c>
      <c r="BD155" s="28">
        <f t="shared" si="95"/>
        <v>0.93548387096774199</v>
      </c>
      <c r="BE155" s="28">
        <f t="shared" si="96"/>
        <v>0.18709677419354842</v>
      </c>
      <c r="BF155" s="34">
        <f ca="1">Q155+AA155+AF155+AR155+BB155</f>
        <v>4.05</v>
      </c>
      <c r="BG155" s="34">
        <f>AVERAGE(AV155:AZ155)</f>
        <v>73</v>
      </c>
      <c r="BH155" s="35">
        <f>T155+AD155+AI155+AU155+BE155</f>
        <v>0.78664474467325329</v>
      </c>
      <c r="BI155" s="36" t="str">
        <f ca="1">IF(K155&lt;365,"New CE",(IF(BH155&gt;=100%,"Promote",IF(BH155&gt;=90%,"Sangat Baik",IF(BH155&gt;=80%,"Baik",IF(BH155&gt;=70%,"Lebih Dari Cukup",IF(BH155&gt;=60%,"Cukup","Kurang")))))))</f>
        <v>Lebih Dari Cukup</v>
      </c>
      <c r="BJ155" s="36" t="s">
        <v>860</v>
      </c>
      <c r="BK155" s="58" t="s">
        <v>54</v>
      </c>
      <c r="BL155" s="59" t="e">
        <v>#N/A</v>
      </c>
    </row>
    <row r="156" spans="1:64" x14ac:dyDescent="0.35">
      <c r="A156" s="19">
        <v>152</v>
      </c>
      <c r="B156" s="13" t="s">
        <v>421</v>
      </c>
      <c r="C156" s="20" t="s">
        <v>422</v>
      </c>
      <c r="D156" s="76" t="s">
        <v>54</v>
      </c>
      <c r="E156" s="13" t="s">
        <v>423</v>
      </c>
      <c r="F156" s="13" t="s">
        <v>74</v>
      </c>
      <c r="G156" s="13" t="s">
        <v>61</v>
      </c>
      <c r="H156" s="65">
        <v>45131</v>
      </c>
      <c r="I156" s="21">
        <f t="shared" ca="1" si="97"/>
        <v>45974</v>
      </c>
      <c r="J156" s="13" t="str">
        <f t="shared" ca="1" si="77"/>
        <v xml:space="preserve">2 Tahun 3 Bulan 20 Hari </v>
      </c>
      <c r="K156" s="13">
        <f t="shared" ca="1" si="98"/>
        <v>1213920</v>
      </c>
      <c r="L156" s="13">
        <v>47</v>
      </c>
      <c r="M156" s="13">
        <v>1</v>
      </c>
      <c r="N156" s="13">
        <v>298</v>
      </c>
      <c r="O156" s="22">
        <f t="shared" si="78"/>
        <v>298</v>
      </c>
      <c r="P156" s="13">
        <v>386</v>
      </c>
      <c r="Q156" s="23">
        <f t="shared" si="79"/>
        <v>1</v>
      </c>
      <c r="R156" s="24">
        <f t="shared" si="80"/>
        <v>5</v>
      </c>
      <c r="S156" s="25">
        <f t="shared" si="99"/>
        <v>1.2953020134228188</v>
      </c>
      <c r="T156" s="25">
        <f t="shared" si="81"/>
        <v>0.25906040268456376</v>
      </c>
      <c r="U156" s="26">
        <v>1624.9928017526454</v>
      </c>
      <c r="V156" s="26">
        <v>0</v>
      </c>
      <c r="W156" s="26">
        <v>3791.3600356867282</v>
      </c>
      <c r="X156" s="27">
        <f t="shared" si="103"/>
        <v>0</v>
      </c>
      <c r="Y156" s="27">
        <f t="shared" si="82"/>
        <v>0</v>
      </c>
      <c r="Z156" s="27">
        <f t="shared" si="71"/>
        <v>1</v>
      </c>
      <c r="AA156" s="23">
        <f t="shared" si="102"/>
        <v>0.4</v>
      </c>
      <c r="AB156" s="24">
        <f t="shared" si="104"/>
        <v>1</v>
      </c>
      <c r="AC156" s="28">
        <f t="shared" si="84"/>
        <v>0.33333333333333331</v>
      </c>
      <c r="AD156" s="29">
        <f t="shared" si="85"/>
        <v>8.3333333333333329E-2</v>
      </c>
      <c r="AE156" s="30">
        <v>4.7642425411522624E-2</v>
      </c>
      <c r="AF156" s="23">
        <f t="shared" si="86"/>
        <v>1</v>
      </c>
      <c r="AG156" s="24">
        <f t="shared" si="105"/>
        <v>4</v>
      </c>
      <c r="AH156" s="28">
        <f t="shared" si="88"/>
        <v>0.8</v>
      </c>
      <c r="AI156" s="29">
        <f t="shared" si="89"/>
        <v>0.2</v>
      </c>
      <c r="AJ156" s="31">
        <v>1</v>
      </c>
      <c r="AK156" s="31">
        <v>1</v>
      </c>
      <c r="AL156" s="31">
        <v>0</v>
      </c>
      <c r="AM156" s="31">
        <v>0</v>
      </c>
      <c r="AN156" s="31">
        <v>0</v>
      </c>
      <c r="AO156" s="31">
        <v>1</v>
      </c>
      <c r="AP156" s="31">
        <v>0</v>
      </c>
      <c r="AQ156" s="31">
        <v>0</v>
      </c>
      <c r="AR156" s="23">
        <f t="shared" si="90"/>
        <v>0.6</v>
      </c>
      <c r="AS156" s="24">
        <f t="shared" si="91"/>
        <v>3</v>
      </c>
      <c r="AT156" s="28">
        <f t="shared" si="92"/>
        <v>0.375</v>
      </c>
      <c r="AU156" s="28">
        <f t="shared" si="93"/>
        <v>5.6249999999999994E-2</v>
      </c>
      <c r="AV156" s="32">
        <v>75</v>
      </c>
      <c r="AW156" s="32">
        <v>75</v>
      </c>
      <c r="AX156" s="32">
        <v>85</v>
      </c>
      <c r="AY156" s="32">
        <v>85</v>
      </c>
      <c r="AZ156" s="32">
        <v>85</v>
      </c>
      <c r="BA156" s="32">
        <v>100</v>
      </c>
      <c r="BB156" s="23">
        <f t="shared" ca="1" si="94"/>
        <v>0.8</v>
      </c>
      <c r="BC156" s="33">
        <f t="shared" si="100"/>
        <v>84.166666666666671</v>
      </c>
      <c r="BD156" s="28">
        <f t="shared" si="95"/>
        <v>0.94059405940594054</v>
      </c>
      <c r="BE156" s="28">
        <f t="shared" si="96"/>
        <v>0.18811881188118812</v>
      </c>
      <c r="BF156" s="34">
        <f ca="1">Q156+AA156+AF156+AR156+BB156</f>
        <v>3.8</v>
      </c>
      <c r="BG156" s="34">
        <f>AVERAGE(AV156:AZ156)</f>
        <v>81</v>
      </c>
      <c r="BH156" s="35">
        <f>T156+AD156+AI156+AU156+BE156</f>
        <v>0.78676254789908517</v>
      </c>
      <c r="BI156" s="36" t="str">
        <f ca="1">IF(K156&lt;365,"New CE",(IF(BH156&gt;=100%,"Promote",IF(BH156&gt;=90%,"Sangat Baik",IF(BH156&gt;=80%,"Baik",IF(BH156&gt;=70%,"Lebih Dari Cukup",IF(BH156&gt;=60%,"Cukup","Kurang")))))))</f>
        <v>Lebih Dari Cukup</v>
      </c>
      <c r="BJ156" s="36" t="s">
        <v>860</v>
      </c>
      <c r="BK156" s="58" t="s">
        <v>54</v>
      </c>
      <c r="BL156" s="59" t="str">
        <v>Reza Digusli A Siregar</v>
      </c>
    </row>
    <row r="157" spans="1:64" x14ac:dyDescent="0.35">
      <c r="A157" s="19">
        <v>153</v>
      </c>
      <c r="B157" s="13" t="s">
        <v>424</v>
      </c>
      <c r="C157" s="20" t="s">
        <v>425</v>
      </c>
      <c r="D157" s="76" t="s">
        <v>48</v>
      </c>
      <c r="E157" s="13" t="s">
        <v>123</v>
      </c>
      <c r="F157" s="13" t="s">
        <v>44</v>
      </c>
      <c r="G157" s="13" t="s">
        <v>55</v>
      </c>
      <c r="H157" s="65">
        <v>44228</v>
      </c>
      <c r="I157" s="21">
        <f t="shared" ca="1" si="97"/>
        <v>45974</v>
      </c>
      <c r="J157" s="13" t="str">
        <f t="shared" ca="1" si="77"/>
        <v xml:space="preserve">4 Tahun 9 Bulan 12 Hari </v>
      </c>
      <c r="K157" s="13">
        <f t="shared" ca="1" si="98"/>
        <v>2514240</v>
      </c>
      <c r="L157" s="13">
        <v>213</v>
      </c>
      <c r="M157" s="13">
        <v>3</v>
      </c>
      <c r="N157" s="13">
        <v>1330</v>
      </c>
      <c r="O157" s="22">
        <f t="shared" si="78"/>
        <v>443.33333333333331</v>
      </c>
      <c r="P157" s="13">
        <v>385</v>
      </c>
      <c r="Q157" s="23">
        <f t="shared" si="79"/>
        <v>0.8</v>
      </c>
      <c r="R157" s="24">
        <f t="shared" si="80"/>
        <v>4</v>
      </c>
      <c r="S157" s="25">
        <f t="shared" si="99"/>
        <v>0.86842105263157898</v>
      </c>
      <c r="T157" s="25">
        <f t="shared" si="81"/>
        <v>0.1736842105263158</v>
      </c>
      <c r="U157" s="26">
        <v>2061.2640611847642</v>
      </c>
      <c r="V157" s="26">
        <v>6.699999999999999E-2</v>
      </c>
      <c r="W157" s="26">
        <v>7555.662907021605</v>
      </c>
      <c r="X157" s="27">
        <f t="shared" si="103"/>
        <v>0</v>
      </c>
      <c r="Y157" s="27">
        <f t="shared" si="82"/>
        <v>1</v>
      </c>
      <c r="Z157" s="27">
        <f t="shared" si="71"/>
        <v>1</v>
      </c>
      <c r="AA157" s="23">
        <f t="shared" si="102"/>
        <v>0.8</v>
      </c>
      <c r="AB157" s="24">
        <f t="shared" si="104"/>
        <v>2</v>
      </c>
      <c r="AC157" s="28">
        <f t="shared" si="84"/>
        <v>0.66666666666666663</v>
      </c>
      <c r="AD157" s="29">
        <f t="shared" si="85"/>
        <v>0.16666666666666666</v>
      </c>
      <c r="AE157" s="30">
        <v>4.9913493980522979E-2</v>
      </c>
      <c r="AF157" s="23">
        <f t="shared" si="86"/>
        <v>1</v>
      </c>
      <c r="AG157" s="24">
        <f t="shared" si="105"/>
        <v>4</v>
      </c>
      <c r="AH157" s="28">
        <f t="shared" si="88"/>
        <v>0.8</v>
      </c>
      <c r="AI157" s="29">
        <f t="shared" si="89"/>
        <v>0.2</v>
      </c>
      <c r="AJ157" s="31">
        <v>1</v>
      </c>
      <c r="AK157" s="31">
        <v>1</v>
      </c>
      <c r="AL157" s="31">
        <v>1</v>
      </c>
      <c r="AM157" s="31">
        <v>0</v>
      </c>
      <c r="AN157" s="31">
        <v>0</v>
      </c>
      <c r="AO157" s="31">
        <v>0</v>
      </c>
      <c r="AP157" s="31">
        <v>0</v>
      </c>
      <c r="AQ157" s="31">
        <v>0</v>
      </c>
      <c r="AR157" s="23">
        <f t="shared" si="90"/>
        <v>0.6</v>
      </c>
      <c r="AS157" s="24">
        <f t="shared" si="91"/>
        <v>3</v>
      </c>
      <c r="AT157" s="28">
        <f t="shared" si="92"/>
        <v>0.375</v>
      </c>
      <c r="AU157" s="28">
        <f t="shared" si="93"/>
        <v>5.6249999999999994E-2</v>
      </c>
      <c r="AV157" s="32">
        <v>75</v>
      </c>
      <c r="AW157" s="32">
        <v>75</v>
      </c>
      <c r="AX157" s="32">
        <v>80</v>
      </c>
      <c r="AY157" s="32">
        <v>80</v>
      </c>
      <c r="AZ157" s="32">
        <v>80</v>
      </c>
      <c r="BA157" s="32">
        <v>100</v>
      </c>
      <c r="BB157" s="23">
        <f t="shared" ca="1" si="94"/>
        <v>0.8</v>
      </c>
      <c r="BC157" s="33">
        <f t="shared" si="100"/>
        <v>81.666666666666671</v>
      </c>
      <c r="BD157" s="28">
        <f t="shared" si="95"/>
        <v>0.93877551020408168</v>
      </c>
      <c r="BE157" s="28">
        <f t="shared" si="96"/>
        <v>0.18775510204081636</v>
      </c>
      <c r="BF157" s="34">
        <f ca="1">Q157+AA157+AF157+AR157+BB157</f>
        <v>4</v>
      </c>
      <c r="BG157" s="34">
        <f>AVERAGE(AV157:AZ157)</f>
        <v>78</v>
      </c>
      <c r="BH157" s="35">
        <f>T157+AD157+AI157+AU157+BE157</f>
        <v>0.78435597923379885</v>
      </c>
      <c r="BI157" s="36" t="str">
        <f ca="1">IF(K157&lt;365,"New CE",(IF(BH157&gt;=100%,"Promote",IF(BH157&gt;=90%,"Sangat Baik",IF(BH157&gt;=80%,"Baik",IF(BH157&gt;=70%,"Lebih Dari Cukup",IF(BH157&gt;=60%,"Cukup","Kurang")))))))</f>
        <v>Lebih Dari Cukup</v>
      </c>
      <c r="BJ157" s="36" t="s">
        <v>860</v>
      </c>
      <c r="BK157" s="58" t="s">
        <v>48</v>
      </c>
      <c r="BL157" s="59" t="e">
        <v>#N/A</v>
      </c>
    </row>
    <row r="158" spans="1:64" x14ac:dyDescent="0.35">
      <c r="A158" s="19">
        <v>154</v>
      </c>
      <c r="B158" s="13" t="s">
        <v>426</v>
      </c>
      <c r="C158" s="20" t="s">
        <v>427</v>
      </c>
      <c r="D158" s="76" t="s">
        <v>42</v>
      </c>
      <c r="E158" s="13" t="s">
        <v>257</v>
      </c>
      <c r="F158" s="13" t="s">
        <v>44</v>
      </c>
      <c r="G158" s="13" t="s">
        <v>55</v>
      </c>
      <c r="H158" s="65">
        <v>44837</v>
      </c>
      <c r="I158" s="21">
        <f t="shared" ca="1" si="97"/>
        <v>45974</v>
      </c>
      <c r="J158" s="13" t="str">
        <f t="shared" ca="1" si="77"/>
        <v xml:space="preserve">3 Tahun 1 Bulan 10 Hari </v>
      </c>
      <c r="K158" s="13">
        <f t="shared" ca="1" si="98"/>
        <v>1637280</v>
      </c>
      <c r="L158" s="13">
        <v>507</v>
      </c>
      <c r="M158" s="13">
        <v>10</v>
      </c>
      <c r="N158" s="13">
        <v>3304</v>
      </c>
      <c r="O158" s="22">
        <f t="shared" si="78"/>
        <v>330.4</v>
      </c>
      <c r="P158" s="13">
        <v>499</v>
      </c>
      <c r="Q158" s="23">
        <f t="shared" si="79"/>
        <v>1</v>
      </c>
      <c r="R158" s="24">
        <f t="shared" si="80"/>
        <v>5</v>
      </c>
      <c r="S158" s="25">
        <f t="shared" si="99"/>
        <v>1.5102905569007266</v>
      </c>
      <c r="T158" s="25">
        <f t="shared" si="81"/>
        <v>0.30205811138014532</v>
      </c>
      <c r="U158" s="26">
        <v>16190.131518199232</v>
      </c>
      <c r="V158" s="26">
        <v>16650.66524652778</v>
      </c>
      <c r="W158" s="26">
        <v>0</v>
      </c>
      <c r="X158" s="27">
        <f t="shared" si="103"/>
        <v>0</v>
      </c>
      <c r="Y158" s="27">
        <f t="shared" si="82"/>
        <v>0</v>
      </c>
      <c r="Z158" s="27">
        <f t="shared" si="71"/>
        <v>0</v>
      </c>
      <c r="AA158" s="23">
        <f t="shared" si="102"/>
        <v>0</v>
      </c>
      <c r="AB158" s="24">
        <f t="shared" si="104"/>
        <v>0</v>
      </c>
      <c r="AC158" s="28">
        <f t="shared" si="84"/>
        <v>0</v>
      </c>
      <c r="AD158" s="29">
        <f t="shared" si="85"/>
        <v>0</v>
      </c>
      <c r="AE158" s="30">
        <v>7.2477865709842243E-2</v>
      </c>
      <c r="AF158" s="23">
        <f t="shared" si="86"/>
        <v>1</v>
      </c>
      <c r="AG158" s="24">
        <f t="shared" si="105"/>
        <v>4</v>
      </c>
      <c r="AH158" s="28">
        <f t="shared" si="88"/>
        <v>0.8</v>
      </c>
      <c r="AI158" s="29">
        <f t="shared" si="89"/>
        <v>0.2</v>
      </c>
      <c r="AJ158" s="31">
        <v>1</v>
      </c>
      <c r="AK158" s="31">
        <v>1</v>
      </c>
      <c r="AL158" s="31">
        <v>1</v>
      </c>
      <c r="AM158" s="31">
        <v>0</v>
      </c>
      <c r="AN158" s="31">
        <v>0</v>
      </c>
      <c r="AO158" s="31">
        <v>1</v>
      </c>
      <c r="AP158" s="31">
        <v>0</v>
      </c>
      <c r="AQ158" s="31">
        <v>1</v>
      </c>
      <c r="AR158" s="23">
        <f t="shared" si="90"/>
        <v>1</v>
      </c>
      <c r="AS158" s="24">
        <f t="shared" si="91"/>
        <v>5</v>
      </c>
      <c r="AT158" s="28">
        <f t="shared" si="92"/>
        <v>0.625</v>
      </c>
      <c r="AU158" s="28">
        <f t="shared" si="93"/>
        <v>9.375E-2</v>
      </c>
      <c r="AV158" s="32">
        <v>75</v>
      </c>
      <c r="AW158" s="32">
        <v>75</v>
      </c>
      <c r="AX158" s="32">
        <v>90</v>
      </c>
      <c r="AY158" s="32">
        <v>90</v>
      </c>
      <c r="AZ158" s="32">
        <v>85</v>
      </c>
      <c r="BA158" s="32">
        <v>100</v>
      </c>
      <c r="BB158" s="23">
        <f t="shared" ca="1" si="94"/>
        <v>0.8</v>
      </c>
      <c r="BC158" s="33">
        <f t="shared" si="100"/>
        <v>85.833333333333329</v>
      </c>
      <c r="BD158" s="28">
        <f t="shared" si="95"/>
        <v>0.94174757281553401</v>
      </c>
      <c r="BE158" s="28">
        <f t="shared" si="96"/>
        <v>0.18834951456310681</v>
      </c>
      <c r="BF158" s="34">
        <f ca="1">Q158+AA158+AF158+AR158+BB158</f>
        <v>3.8</v>
      </c>
      <c r="BG158" s="34">
        <f>AVERAGE(AV158:AZ158)</f>
        <v>83</v>
      </c>
      <c r="BH158" s="35">
        <f>T158+AD158+AI158+AU158+BE158</f>
        <v>0.78415762594325211</v>
      </c>
      <c r="BI158" s="36" t="str">
        <f ca="1">IF(K158&lt;365,"New CE",(IF(BH158&gt;=100%,"Promote",IF(BH158&gt;=90%,"Sangat Baik",IF(BH158&gt;=80%,"Baik",IF(BH158&gt;=70%,"Lebih Dari Cukup",IF(BH158&gt;=60%,"Cukup","Kurang")))))))</f>
        <v>Lebih Dari Cukup</v>
      </c>
      <c r="BJ158" s="36" t="s">
        <v>860</v>
      </c>
      <c r="BK158" s="58" t="s">
        <v>42</v>
      </c>
      <c r="BL158" s="59" t="e">
        <v>#N/A</v>
      </c>
    </row>
    <row r="159" spans="1:64" x14ac:dyDescent="0.35">
      <c r="A159" s="19">
        <v>155</v>
      </c>
      <c r="B159" s="13" t="s">
        <v>428</v>
      </c>
      <c r="C159" s="20" t="s">
        <v>429</v>
      </c>
      <c r="D159" s="76" t="s">
        <v>48</v>
      </c>
      <c r="E159" s="13" t="s">
        <v>230</v>
      </c>
      <c r="F159" s="13" t="s">
        <v>44</v>
      </c>
      <c r="G159" s="13" t="s">
        <v>51</v>
      </c>
      <c r="H159" s="65">
        <v>44585</v>
      </c>
      <c r="I159" s="21">
        <f t="shared" ca="1" si="97"/>
        <v>45974</v>
      </c>
      <c r="J159" s="13" t="str">
        <f t="shared" ca="1" si="77"/>
        <v xml:space="preserve">3 Tahun 9 Bulan 20 Hari </v>
      </c>
      <c r="K159" s="13">
        <f t="shared" ca="1" si="98"/>
        <v>2000160</v>
      </c>
      <c r="L159" s="13">
        <v>332</v>
      </c>
      <c r="M159" s="13">
        <v>6</v>
      </c>
      <c r="N159" s="13">
        <v>2281</v>
      </c>
      <c r="O159" s="22">
        <f t="shared" si="78"/>
        <v>380.16666666666669</v>
      </c>
      <c r="P159" s="13">
        <v>416</v>
      </c>
      <c r="Q159" s="23">
        <f t="shared" si="79"/>
        <v>1</v>
      </c>
      <c r="R159" s="24">
        <f t="shared" si="80"/>
        <v>5</v>
      </c>
      <c r="S159" s="25">
        <f t="shared" si="99"/>
        <v>1.0942569048662867</v>
      </c>
      <c r="T159" s="25">
        <f t="shared" si="81"/>
        <v>0.21885138097325735</v>
      </c>
      <c r="U159" s="26">
        <v>999.85323221916997</v>
      </c>
      <c r="V159" s="26">
        <v>5.7918595679012343E-2</v>
      </c>
      <c r="W159" s="26">
        <v>0</v>
      </c>
      <c r="X159" s="27">
        <f t="shared" si="103"/>
        <v>0</v>
      </c>
      <c r="Y159" s="27">
        <f t="shared" si="82"/>
        <v>1</v>
      </c>
      <c r="Z159" s="27">
        <f t="shared" si="71"/>
        <v>0</v>
      </c>
      <c r="AA159" s="23">
        <f t="shared" si="102"/>
        <v>0.4</v>
      </c>
      <c r="AB159" s="24">
        <f t="shared" si="104"/>
        <v>1</v>
      </c>
      <c r="AC159" s="28">
        <f t="shared" si="84"/>
        <v>0.33333333333333331</v>
      </c>
      <c r="AD159" s="29">
        <f t="shared" si="85"/>
        <v>8.3333333333333329E-2</v>
      </c>
      <c r="AE159" s="30">
        <v>7.5825455182072815E-2</v>
      </c>
      <c r="AF159" s="23">
        <f t="shared" si="86"/>
        <v>1</v>
      </c>
      <c r="AG159" s="24">
        <f t="shared" si="105"/>
        <v>4</v>
      </c>
      <c r="AH159" s="28">
        <f t="shared" si="88"/>
        <v>0.8</v>
      </c>
      <c r="AI159" s="29">
        <f t="shared" si="89"/>
        <v>0.2</v>
      </c>
      <c r="AJ159" s="31">
        <v>1</v>
      </c>
      <c r="AK159" s="31">
        <v>1</v>
      </c>
      <c r="AL159" s="31">
        <v>1</v>
      </c>
      <c r="AM159" s="31">
        <v>0</v>
      </c>
      <c r="AN159" s="31">
        <v>0</v>
      </c>
      <c r="AO159" s="31">
        <v>1</v>
      </c>
      <c r="AP159" s="31">
        <v>0</v>
      </c>
      <c r="AQ159" s="31">
        <v>1</v>
      </c>
      <c r="AR159" s="23">
        <f t="shared" si="90"/>
        <v>1</v>
      </c>
      <c r="AS159" s="24">
        <f t="shared" si="91"/>
        <v>5</v>
      </c>
      <c r="AT159" s="28">
        <f t="shared" si="92"/>
        <v>0.625</v>
      </c>
      <c r="AU159" s="28">
        <f t="shared" si="93"/>
        <v>9.375E-2</v>
      </c>
      <c r="AV159" s="32">
        <v>75</v>
      </c>
      <c r="AW159" s="32">
        <v>75</v>
      </c>
      <c r="AX159" s="32">
        <v>80</v>
      </c>
      <c r="AY159" s="32">
        <v>80</v>
      </c>
      <c r="AZ159" s="32">
        <v>80</v>
      </c>
      <c r="BA159" s="32">
        <v>100</v>
      </c>
      <c r="BB159" s="23">
        <f t="shared" ca="1" si="94"/>
        <v>0.8</v>
      </c>
      <c r="BC159" s="33">
        <f t="shared" si="100"/>
        <v>81.666666666666671</v>
      </c>
      <c r="BD159" s="28">
        <f t="shared" si="95"/>
        <v>0.93877551020408168</v>
      </c>
      <c r="BE159" s="28">
        <f t="shared" si="96"/>
        <v>0.18775510204081636</v>
      </c>
      <c r="BF159" s="34">
        <f ca="1">Q159+AA159+AF159+AR159+BB159</f>
        <v>4.2</v>
      </c>
      <c r="BG159" s="34">
        <f>AVERAGE(AV159:AZ159)</f>
        <v>78</v>
      </c>
      <c r="BH159" s="35">
        <f>T159+AD159+AI159+AU159+BE159</f>
        <v>0.78368981634740709</v>
      </c>
      <c r="BI159" s="36" t="str">
        <f ca="1">IF(K159&lt;365,"New CE",(IF(BH159&gt;=100%,"Promote",IF(BH159&gt;=90%,"Sangat Baik",IF(BH159&gt;=80%,"Baik",IF(BH159&gt;=70%,"Lebih Dari Cukup",IF(BH159&gt;=60%,"Cukup","Kurang")))))))</f>
        <v>Lebih Dari Cukup</v>
      </c>
      <c r="BJ159" s="36" t="s">
        <v>860</v>
      </c>
      <c r="BK159" s="58" t="s">
        <v>48</v>
      </c>
      <c r="BL159" s="59" t="e">
        <v>#N/A</v>
      </c>
    </row>
    <row r="160" spans="1:64" x14ac:dyDescent="0.35">
      <c r="A160" s="19">
        <v>156</v>
      </c>
      <c r="B160" s="13" t="s">
        <v>430</v>
      </c>
      <c r="C160" s="20" t="s">
        <v>431</v>
      </c>
      <c r="D160" s="76" t="s">
        <v>54</v>
      </c>
      <c r="E160" s="13" t="s">
        <v>391</v>
      </c>
      <c r="F160" s="13" t="s">
        <v>74</v>
      </c>
      <c r="G160" s="13" t="s">
        <v>51</v>
      </c>
      <c r="H160" s="65">
        <v>44746</v>
      </c>
      <c r="I160" s="21">
        <f t="shared" ca="1" si="97"/>
        <v>45974</v>
      </c>
      <c r="J160" s="13" t="str">
        <f t="shared" ca="1" si="77"/>
        <v xml:space="preserve">3 Tahun 4 Bulan 9 Hari </v>
      </c>
      <c r="K160" s="13">
        <f t="shared" ca="1" si="98"/>
        <v>1768320</v>
      </c>
      <c r="L160" s="13">
        <v>113</v>
      </c>
      <c r="M160" s="13">
        <v>2</v>
      </c>
      <c r="N160" s="13">
        <v>829</v>
      </c>
      <c r="O160" s="22">
        <f t="shared" si="78"/>
        <v>414.5</v>
      </c>
      <c r="P160" s="13">
        <v>375</v>
      </c>
      <c r="Q160" s="23">
        <f t="shared" si="79"/>
        <v>0.8</v>
      </c>
      <c r="R160" s="24">
        <f t="shared" si="80"/>
        <v>4</v>
      </c>
      <c r="S160" s="25">
        <f t="shared" si="99"/>
        <v>0.90470446320868514</v>
      </c>
      <c r="T160" s="25">
        <f t="shared" si="81"/>
        <v>0.18094089264173704</v>
      </c>
      <c r="U160" s="26">
        <v>5355.8563432734218</v>
      </c>
      <c r="V160" s="26">
        <v>10500.139540598291</v>
      </c>
      <c r="W160" s="26">
        <v>9100.3187206790135</v>
      </c>
      <c r="X160" s="27">
        <f t="shared" si="103"/>
        <v>0</v>
      </c>
      <c r="Y160" s="27">
        <f t="shared" si="82"/>
        <v>0</v>
      </c>
      <c r="Z160" s="27">
        <f t="shared" si="71"/>
        <v>1</v>
      </c>
      <c r="AA160" s="23">
        <f t="shared" si="102"/>
        <v>0.4</v>
      </c>
      <c r="AB160" s="24">
        <f t="shared" si="104"/>
        <v>1</v>
      </c>
      <c r="AC160" s="28">
        <f t="shared" si="84"/>
        <v>0.33333333333333331</v>
      </c>
      <c r="AD160" s="29">
        <f t="shared" si="85"/>
        <v>8.3333333333333329E-2</v>
      </c>
      <c r="AE160" s="30">
        <v>7.9173238168724278E-2</v>
      </c>
      <c r="AF160" s="23">
        <f t="shared" si="86"/>
        <v>1</v>
      </c>
      <c r="AG160" s="24">
        <f t="shared" si="105"/>
        <v>4</v>
      </c>
      <c r="AH160" s="28">
        <f t="shared" si="88"/>
        <v>0.8</v>
      </c>
      <c r="AI160" s="29">
        <f t="shared" si="89"/>
        <v>0.2</v>
      </c>
      <c r="AJ160" s="31">
        <v>1</v>
      </c>
      <c r="AK160" s="31">
        <v>1</v>
      </c>
      <c r="AL160" s="31">
        <v>1</v>
      </c>
      <c r="AM160" s="31">
        <v>1</v>
      </c>
      <c r="AN160" s="31">
        <v>1</v>
      </c>
      <c r="AO160" s="31">
        <v>1</v>
      </c>
      <c r="AP160" s="31">
        <v>0</v>
      </c>
      <c r="AQ160" s="31">
        <v>1</v>
      </c>
      <c r="AR160" s="23">
        <f t="shared" si="90"/>
        <v>1</v>
      </c>
      <c r="AS160" s="24">
        <f t="shared" si="91"/>
        <v>7</v>
      </c>
      <c r="AT160" s="28">
        <f t="shared" si="92"/>
        <v>0.875</v>
      </c>
      <c r="AU160" s="28">
        <f t="shared" si="93"/>
        <v>0.13125000000000001</v>
      </c>
      <c r="AV160" s="32">
        <v>75</v>
      </c>
      <c r="AW160" s="32">
        <v>75</v>
      </c>
      <c r="AX160" s="32">
        <v>65</v>
      </c>
      <c r="AY160" s="32">
        <v>80</v>
      </c>
      <c r="AZ160" s="32">
        <v>65</v>
      </c>
      <c r="BA160" s="32">
        <v>100</v>
      </c>
      <c r="BB160" s="23">
        <f t="shared" ca="1" si="94"/>
        <v>0.8</v>
      </c>
      <c r="BC160" s="33">
        <f t="shared" si="100"/>
        <v>76.666666666666671</v>
      </c>
      <c r="BD160" s="28">
        <f t="shared" si="95"/>
        <v>0.93478260869565222</v>
      </c>
      <c r="BE160" s="28">
        <f t="shared" si="96"/>
        <v>0.18695652173913047</v>
      </c>
      <c r="BF160" s="34">
        <f ca="1">Q160+AA160+AF160+AR160+BB160</f>
        <v>4</v>
      </c>
      <c r="BG160" s="34">
        <f>AVERAGE(AV160:AZ160)</f>
        <v>72</v>
      </c>
      <c r="BH160" s="35">
        <f>T160+AD160+AI160+AU160+BE160</f>
        <v>0.78248074771420084</v>
      </c>
      <c r="BI160" s="36" t="str">
        <f ca="1">IF(K160&lt;365,"New CE",(IF(BH160&gt;=100%,"Promote",IF(BH160&gt;=90%,"Sangat Baik",IF(BH160&gt;=80%,"Baik",IF(BH160&gt;=70%,"Lebih Dari Cukup",IF(BH160&gt;=60%,"Cukup","Kurang")))))))</f>
        <v>Lebih Dari Cukup</v>
      </c>
      <c r="BJ160" s="36" t="s">
        <v>860</v>
      </c>
      <c r="BK160" s="58" t="s">
        <v>54</v>
      </c>
      <c r="BL160" s="59" t="str">
        <v>Rifqy Adrian</v>
      </c>
    </row>
    <row r="161" spans="1:64" x14ac:dyDescent="0.35">
      <c r="A161" s="19">
        <v>157</v>
      </c>
      <c r="B161" s="13" t="s">
        <v>432</v>
      </c>
      <c r="C161" s="20" t="s">
        <v>433</v>
      </c>
      <c r="D161" s="76" t="s">
        <v>48</v>
      </c>
      <c r="E161" s="13" t="s">
        <v>43</v>
      </c>
      <c r="F161" s="13" t="s">
        <v>44</v>
      </c>
      <c r="G161" s="13" t="s">
        <v>45</v>
      </c>
      <c r="H161" s="65">
        <v>44291</v>
      </c>
      <c r="I161" s="21">
        <f t="shared" ca="1" si="97"/>
        <v>45974</v>
      </c>
      <c r="J161" s="13" t="str">
        <f t="shared" ca="1" si="77"/>
        <v xml:space="preserve">4 Tahun 7 Bulan 8 Hari </v>
      </c>
      <c r="K161" s="13">
        <f t="shared" ca="1" si="98"/>
        <v>2423520</v>
      </c>
      <c r="L161" s="13">
        <v>1384</v>
      </c>
      <c r="M161" s="13">
        <v>22</v>
      </c>
      <c r="N161" s="13">
        <v>6775</v>
      </c>
      <c r="O161" s="22">
        <f t="shared" si="78"/>
        <v>307.95454545454544</v>
      </c>
      <c r="P161" s="13">
        <v>521</v>
      </c>
      <c r="Q161" s="23">
        <f t="shared" si="79"/>
        <v>1</v>
      </c>
      <c r="R161" s="24">
        <f t="shared" si="80"/>
        <v>5</v>
      </c>
      <c r="S161" s="25">
        <f t="shared" si="99"/>
        <v>1.6918081180811808</v>
      </c>
      <c r="T161" s="25">
        <f t="shared" si="81"/>
        <v>0.33836162361623617</v>
      </c>
      <c r="U161" s="26">
        <v>1033.8921609322394</v>
      </c>
      <c r="V161" s="26">
        <v>0.1461574074074074</v>
      </c>
      <c r="W161" s="26">
        <v>0</v>
      </c>
      <c r="X161" s="27">
        <f t="shared" si="103"/>
        <v>0</v>
      </c>
      <c r="Y161" s="27">
        <f t="shared" si="82"/>
        <v>0</v>
      </c>
      <c r="Z161" s="27">
        <f t="shared" si="71"/>
        <v>0</v>
      </c>
      <c r="AA161" s="23">
        <f t="shared" si="102"/>
        <v>0</v>
      </c>
      <c r="AB161" s="24">
        <f t="shared" si="104"/>
        <v>0</v>
      </c>
      <c r="AC161" s="28">
        <f t="shared" si="84"/>
        <v>0</v>
      </c>
      <c r="AD161" s="29">
        <f t="shared" si="85"/>
        <v>0</v>
      </c>
      <c r="AE161" s="30">
        <v>5.6284458675943491E-2</v>
      </c>
      <c r="AF161" s="23">
        <f t="shared" si="86"/>
        <v>1</v>
      </c>
      <c r="AG161" s="24">
        <f t="shared" si="105"/>
        <v>4</v>
      </c>
      <c r="AH161" s="28">
        <f t="shared" si="88"/>
        <v>0.8</v>
      </c>
      <c r="AI161" s="29">
        <f t="shared" si="89"/>
        <v>0.2</v>
      </c>
      <c r="AJ161" s="31">
        <v>1</v>
      </c>
      <c r="AK161" s="31">
        <v>1</v>
      </c>
      <c r="AL161" s="31">
        <v>1</v>
      </c>
      <c r="AM161" s="31">
        <v>0</v>
      </c>
      <c r="AN161" s="31">
        <v>0</v>
      </c>
      <c r="AO161" s="31">
        <v>0</v>
      </c>
      <c r="AP161" s="31">
        <v>0</v>
      </c>
      <c r="AQ161" s="31">
        <v>0</v>
      </c>
      <c r="AR161" s="23">
        <f t="shared" si="90"/>
        <v>0.6</v>
      </c>
      <c r="AS161" s="24">
        <f t="shared" si="91"/>
        <v>3</v>
      </c>
      <c r="AT161" s="28">
        <f t="shared" si="92"/>
        <v>0.375</v>
      </c>
      <c r="AU161" s="28">
        <f t="shared" si="93"/>
        <v>5.6249999999999994E-2</v>
      </c>
      <c r="AV161" s="32">
        <v>75</v>
      </c>
      <c r="AW161" s="32">
        <v>75</v>
      </c>
      <c r="AX161" s="32">
        <v>90</v>
      </c>
      <c r="AY161" s="32">
        <v>90</v>
      </c>
      <c r="AZ161" s="32">
        <v>90</v>
      </c>
      <c r="BA161" s="32">
        <v>100</v>
      </c>
      <c r="BB161" s="23">
        <f t="shared" ca="1" si="94"/>
        <v>0.8</v>
      </c>
      <c r="BC161" s="33">
        <f t="shared" si="100"/>
        <v>86.666666666666671</v>
      </c>
      <c r="BD161" s="28">
        <f t="shared" si="95"/>
        <v>0.94230769230769229</v>
      </c>
      <c r="BE161" s="28">
        <f t="shared" si="96"/>
        <v>0.18846153846153846</v>
      </c>
      <c r="BF161" s="34">
        <f ca="1">Q161+AA161+AF161+AR161+BB161</f>
        <v>3.4000000000000004</v>
      </c>
      <c r="BG161" s="34">
        <f>AVERAGE(AV161:AZ161)</f>
        <v>84</v>
      </c>
      <c r="BH161" s="35">
        <f>T161+AD161+AI161+AU161+BE161</f>
        <v>0.78307316207777466</v>
      </c>
      <c r="BI161" s="36" t="str">
        <f ca="1">IF(K161&lt;365,"New CE",(IF(BH161&gt;=100%,"Promote",IF(BH161&gt;=90%,"Sangat Baik",IF(BH161&gt;=80%,"Baik",IF(BH161&gt;=70%,"Lebih Dari Cukup",IF(BH161&gt;=60%,"Cukup","Kurang")))))))</f>
        <v>Lebih Dari Cukup</v>
      </c>
      <c r="BJ161" s="36" t="s">
        <v>860</v>
      </c>
      <c r="BK161" s="58" t="s">
        <v>48</v>
      </c>
      <c r="BL161" s="59" t="e">
        <v>#N/A</v>
      </c>
    </row>
    <row r="162" spans="1:64" x14ac:dyDescent="0.35">
      <c r="A162" s="19">
        <v>158</v>
      </c>
      <c r="B162" s="13" t="s">
        <v>434</v>
      </c>
      <c r="C162" s="20" t="s">
        <v>435</v>
      </c>
      <c r="D162" s="76" t="s">
        <v>42</v>
      </c>
      <c r="E162" s="13" t="s">
        <v>141</v>
      </c>
      <c r="F162" s="13" t="s">
        <v>44</v>
      </c>
      <c r="G162" s="13" t="s">
        <v>45</v>
      </c>
      <c r="H162" s="65">
        <v>42968</v>
      </c>
      <c r="I162" s="21">
        <f t="shared" ca="1" si="97"/>
        <v>45974</v>
      </c>
      <c r="J162" s="13" t="str">
        <f t="shared" ca="1" si="77"/>
        <v xml:space="preserve">8 Tahun 2 Bulan 23 Hari </v>
      </c>
      <c r="K162" s="13">
        <f t="shared" ca="1" si="98"/>
        <v>4328640</v>
      </c>
      <c r="L162" s="13">
        <v>358</v>
      </c>
      <c r="M162" s="13">
        <v>7</v>
      </c>
      <c r="N162" s="13">
        <v>2648</v>
      </c>
      <c r="O162" s="22">
        <f t="shared" si="78"/>
        <v>378.28571428571428</v>
      </c>
      <c r="P162" s="13">
        <v>386</v>
      </c>
      <c r="Q162" s="23">
        <f t="shared" si="79"/>
        <v>1</v>
      </c>
      <c r="R162" s="24">
        <f t="shared" si="80"/>
        <v>5</v>
      </c>
      <c r="S162" s="25">
        <f t="shared" si="99"/>
        <v>1.0203927492447129</v>
      </c>
      <c r="T162" s="25">
        <f t="shared" si="81"/>
        <v>0.20407854984894258</v>
      </c>
      <c r="U162" s="26">
        <v>5861.8245575716828</v>
      </c>
      <c r="V162" s="26">
        <v>0</v>
      </c>
      <c r="W162" s="26">
        <v>8.9120370370370378E-3</v>
      </c>
      <c r="X162" s="27">
        <f t="shared" si="103"/>
        <v>0</v>
      </c>
      <c r="Y162" s="27">
        <f t="shared" si="82"/>
        <v>0</v>
      </c>
      <c r="Z162" s="27">
        <f t="shared" ref="Z162:Z223" si="106">IF(W162=TIME(0,0,0),0, IF(W162&gt;=TIME(24,0,0), 1, 0))</f>
        <v>1</v>
      </c>
      <c r="AA162" s="23">
        <f t="shared" si="102"/>
        <v>0.4</v>
      </c>
      <c r="AB162" s="24">
        <f t="shared" si="104"/>
        <v>1</v>
      </c>
      <c r="AC162" s="28">
        <f t="shared" si="84"/>
        <v>0.33333333333333331</v>
      </c>
      <c r="AD162" s="29">
        <f t="shared" si="85"/>
        <v>8.3333333333333329E-2</v>
      </c>
      <c r="AE162" s="30">
        <v>3.1698591820987651E-2</v>
      </c>
      <c r="AF162" s="23">
        <f t="shared" si="86"/>
        <v>1.25</v>
      </c>
      <c r="AG162" s="24">
        <f t="shared" si="105"/>
        <v>5</v>
      </c>
      <c r="AH162" s="28">
        <f t="shared" si="88"/>
        <v>1</v>
      </c>
      <c r="AI162" s="29">
        <f t="shared" si="89"/>
        <v>0.25</v>
      </c>
      <c r="AJ162" s="31">
        <v>1</v>
      </c>
      <c r="AK162" s="31">
        <v>1</v>
      </c>
      <c r="AL162" s="31">
        <v>1</v>
      </c>
      <c r="AM162" s="31">
        <v>0</v>
      </c>
      <c r="AN162" s="31">
        <v>0</v>
      </c>
      <c r="AO162" s="31">
        <v>0</v>
      </c>
      <c r="AP162" s="31">
        <v>0</v>
      </c>
      <c r="AQ162" s="31">
        <v>0</v>
      </c>
      <c r="AR162" s="23">
        <f t="shared" si="90"/>
        <v>0.6</v>
      </c>
      <c r="AS162" s="24">
        <f t="shared" si="91"/>
        <v>3</v>
      </c>
      <c r="AT162" s="28">
        <f t="shared" si="92"/>
        <v>0.375</v>
      </c>
      <c r="AU162" s="28">
        <f t="shared" si="93"/>
        <v>5.6249999999999994E-2</v>
      </c>
      <c r="AV162" s="32">
        <v>75</v>
      </c>
      <c r="AW162" s="32">
        <v>75</v>
      </c>
      <c r="AX162" s="32">
        <v>90</v>
      </c>
      <c r="AY162" s="32">
        <v>85</v>
      </c>
      <c r="AZ162" s="32">
        <v>85</v>
      </c>
      <c r="BA162" s="32">
        <v>100</v>
      </c>
      <c r="BB162" s="23">
        <f t="shared" ca="1" si="94"/>
        <v>0.8</v>
      </c>
      <c r="BC162" s="33">
        <f t="shared" si="100"/>
        <v>85</v>
      </c>
      <c r="BD162" s="28">
        <f t="shared" si="95"/>
        <v>0.94117647058823528</v>
      </c>
      <c r="BE162" s="28">
        <f t="shared" si="96"/>
        <v>0.18823529411764706</v>
      </c>
      <c r="BF162" s="34">
        <f ca="1">Q162+AA162+AF162+AR162+BB162</f>
        <v>4.05</v>
      </c>
      <c r="BG162" s="34">
        <f>AVERAGE(AV162:AZ162)</f>
        <v>82</v>
      </c>
      <c r="BH162" s="35">
        <f>T162+AD162+AI162+AU162+BE162</f>
        <v>0.78189717729992292</v>
      </c>
      <c r="BI162" s="36" t="str">
        <f ca="1">IF(K162&lt;365,"New CE",(IF(BH162&gt;=100%,"Promote",IF(BH162&gt;=90%,"Sangat Baik",IF(BH162&gt;=80%,"Baik",IF(BH162&gt;=70%,"Lebih Dari Cukup",IF(BH162&gt;=60%,"Cukup","Kurang")))))))</f>
        <v>Lebih Dari Cukup</v>
      </c>
      <c r="BJ162" s="36" t="s">
        <v>860</v>
      </c>
      <c r="BK162" s="58" t="s">
        <v>42</v>
      </c>
      <c r="BL162" s="59" t="e">
        <v>#N/A</v>
      </c>
    </row>
    <row r="163" spans="1:64" x14ac:dyDescent="0.35">
      <c r="A163" s="19">
        <v>159</v>
      </c>
      <c r="B163" s="13" t="s">
        <v>436</v>
      </c>
      <c r="C163" s="20" t="s">
        <v>437</v>
      </c>
      <c r="D163" s="76" t="s">
        <v>54</v>
      </c>
      <c r="E163" s="13" t="s">
        <v>70</v>
      </c>
      <c r="F163" s="13" t="s">
        <v>50</v>
      </c>
      <c r="G163" s="13" t="s">
        <v>61</v>
      </c>
      <c r="H163" s="65">
        <v>45173</v>
      </c>
      <c r="I163" s="21">
        <f t="shared" ca="1" si="97"/>
        <v>45974</v>
      </c>
      <c r="J163" s="13" t="str">
        <f t="shared" ca="1" si="77"/>
        <v xml:space="preserve">2 Tahun 2 Bulan 9 Hari </v>
      </c>
      <c r="K163" s="13">
        <f t="shared" ca="1" si="98"/>
        <v>1153440</v>
      </c>
      <c r="L163" s="13">
        <v>329</v>
      </c>
      <c r="M163" s="13">
        <v>6</v>
      </c>
      <c r="N163" s="13">
        <v>1945</v>
      </c>
      <c r="O163" s="22">
        <f t="shared" si="78"/>
        <v>324.16666666666669</v>
      </c>
      <c r="P163" s="13">
        <v>242</v>
      </c>
      <c r="Q163" s="23">
        <f t="shared" si="79"/>
        <v>0.6</v>
      </c>
      <c r="R163" s="24">
        <f t="shared" si="80"/>
        <v>3</v>
      </c>
      <c r="S163" s="25">
        <f t="shared" si="99"/>
        <v>0.74652956298200512</v>
      </c>
      <c r="T163" s="25">
        <f t="shared" si="81"/>
        <v>0.14930591259640102</v>
      </c>
      <c r="U163" s="26">
        <v>4.4209656084656081E-2</v>
      </c>
      <c r="V163" s="26">
        <v>3.452329282407407E-2</v>
      </c>
      <c r="W163" s="26">
        <v>4.8130063657407414E-2</v>
      </c>
      <c r="X163" s="27">
        <f t="shared" si="103"/>
        <v>1</v>
      </c>
      <c r="Y163" s="27">
        <f t="shared" si="82"/>
        <v>1</v>
      </c>
      <c r="Z163" s="27">
        <f t="shared" si="106"/>
        <v>1</v>
      </c>
      <c r="AA163" s="23">
        <f t="shared" si="102"/>
        <v>1.25</v>
      </c>
      <c r="AB163" s="24">
        <f t="shared" si="104"/>
        <v>3</v>
      </c>
      <c r="AC163" s="28">
        <f t="shared" si="84"/>
        <v>1</v>
      </c>
      <c r="AD163" s="29">
        <f t="shared" si="85"/>
        <v>0.25</v>
      </c>
      <c r="AE163" s="30">
        <v>0.14198748553240742</v>
      </c>
      <c r="AF163" s="23">
        <f t="shared" si="86"/>
        <v>0.5</v>
      </c>
      <c r="AG163" s="24">
        <f t="shared" si="105"/>
        <v>2</v>
      </c>
      <c r="AH163" s="28">
        <f t="shared" si="88"/>
        <v>0.4</v>
      </c>
      <c r="AI163" s="29">
        <f t="shared" si="89"/>
        <v>0.1</v>
      </c>
      <c r="AJ163" s="31">
        <v>1</v>
      </c>
      <c r="AK163" s="31">
        <v>1</v>
      </c>
      <c r="AL163" s="31">
        <v>1</v>
      </c>
      <c r="AM163" s="31">
        <v>0</v>
      </c>
      <c r="AN163" s="31">
        <v>0</v>
      </c>
      <c r="AO163" s="31">
        <v>1</v>
      </c>
      <c r="AP163" s="31">
        <v>0</v>
      </c>
      <c r="AQ163" s="31">
        <v>1</v>
      </c>
      <c r="AR163" s="23">
        <f t="shared" si="90"/>
        <v>1</v>
      </c>
      <c r="AS163" s="24">
        <f t="shared" si="91"/>
        <v>5</v>
      </c>
      <c r="AT163" s="28">
        <f t="shared" si="92"/>
        <v>0.625</v>
      </c>
      <c r="AU163" s="28">
        <f t="shared" si="93"/>
        <v>9.375E-2</v>
      </c>
      <c r="AV163" s="32">
        <v>75</v>
      </c>
      <c r="AW163" s="32">
        <v>75</v>
      </c>
      <c r="AX163" s="32">
        <v>90</v>
      </c>
      <c r="AY163" s="32">
        <v>85</v>
      </c>
      <c r="AZ163" s="32">
        <v>80</v>
      </c>
      <c r="BA163" s="32">
        <v>100</v>
      </c>
      <c r="BB163" s="23">
        <f t="shared" ca="1" si="94"/>
        <v>0.8</v>
      </c>
      <c r="BC163" s="33">
        <f t="shared" si="100"/>
        <v>84.166666666666671</v>
      </c>
      <c r="BD163" s="28">
        <f t="shared" si="95"/>
        <v>0.94059405940594054</v>
      </c>
      <c r="BE163" s="28">
        <f t="shared" si="96"/>
        <v>0.18811881188118812</v>
      </c>
      <c r="BF163" s="34">
        <f ca="1">Q163+AA163+AF163+AR163+BB163</f>
        <v>4.1500000000000004</v>
      </c>
      <c r="BG163" s="34">
        <f>AVERAGE(AV163:AZ163)</f>
        <v>81</v>
      </c>
      <c r="BH163" s="35">
        <f>T163+AD163+AI163+AU163+BE163</f>
        <v>0.78117472447758907</v>
      </c>
      <c r="BI163" s="36" t="str">
        <f ca="1">IF(K163&lt;365,"New CE",(IF(BH163&gt;=100%,"Promote",IF(BH163&gt;=90%,"Sangat Baik",IF(BH163&gt;=80%,"Baik",IF(BH163&gt;=70%,"Lebih Dari Cukup",IF(BH163&gt;=60%,"Cukup","Kurang")))))))</f>
        <v>Lebih Dari Cukup</v>
      </c>
      <c r="BJ163" s="36" t="s">
        <v>860</v>
      </c>
      <c r="BK163" s="58" t="s">
        <v>54</v>
      </c>
      <c r="BL163" s="59" t="e">
        <v>#N/A</v>
      </c>
    </row>
    <row r="164" spans="1:64" x14ac:dyDescent="0.35">
      <c r="A164" s="19">
        <v>160</v>
      </c>
      <c r="B164" s="13" t="s">
        <v>438</v>
      </c>
      <c r="C164" s="20" t="s">
        <v>439</v>
      </c>
      <c r="D164" s="76" t="s">
        <v>48</v>
      </c>
      <c r="E164" s="13" t="s">
        <v>67</v>
      </c>
      <c r="F164" s="13" t="s">
        <v>44</v>
      </c>
      <c r="G164" s="13" t="s">
        <v>45</v>
      </c>
      <c r="H164" s="65">
        <v>43740</v>
      </c>
      <c r="I164" s="21">
        <f t="shared" ca="1" si="97"/>
        <v>45974</v>
      </c>
      <c r="J164" s="13" t="str">
        <f t="shared" ca="1" si="77"/>
        <v xml:space="preserve">6 Tahun 1 Bulan 11 Hari </v>
      </c>
      <c r="K164" s="13">
        <f t="shared" ca="1" si="98"/>
        <v>3216960</v>
      </c>
      <c r="L164" s="13">
        <v>625</v>
      </c>
      <c r="M164" s="13">
        <v>10</v>
      </c>
      <c r="N164" s="13">
        <v>4149</v>
      </c>
      <c r="O164" s="22">
        <f t="shared" si="78"/>
        <v>414.9</v>
      </c>
      <c r="P164" s="13">
        <v>351</v>
      </c>
      <c r="Q164" s="23">
        <f t="shared" si="79"/>
        <v>0.8</v>
      </c>
      <c r="R164" s="24">
        <f t="shared" si="80"/>
        <v>4</v>
      </c>
      <c r="S164" s="25">
        <f t="shared" si="99"/>
        <v>0.84598698481561829</v>
      </c>
      <c r="T164" s="25">
        <f t="shared" si="81"/>
        <v>0.16919739696312366</v>
      </c>
      <c r="U164" s="26">
        <v>2216.2667948283652</v>
      </c>
      <c r="V164" s="26">
        <v>6.5736882716049397E-2</v>
      </c>
      <c r="W164" s="26">
        <v>9.2592592592592588E-5</v>
      </c>
      <c r="X164" s="27">
        <f t="shared" si="103"/>
        <v>0</v>
      </c>
      <c r="Y164" s="27">
        <f t="shared" ref="Y164:Y184" si="107">IF(V164=TIME(0,0,0), 0, IF(V164&lt;=TIME(3,0,0), 1, 0))</f>
        <v>1</v>
      </c>
      <c r="Z164" s="27">
        <f t="shared" si="106"/>
        <v>1</v>
      </c>
      <c r="AA164" s="23">
        <f t="shared" si="102"/>
        <v>0.8</v>
      </c>
      <c r="AB164" s="24">
        <f t="shared" si="104"/>
        <v>2</v>
      </c>
      <c r="AC164" s="28">
        <f t="shared" si="84"/>
        <v>0.66666666666666663</v>
      </c>
      <c r="AD164" s="29">
        <f t="shared" si="85"/>
        <v>0.16666666666666666</v>
      </c>
      <c r="AE164" s="30">
        <v>4.3248870149911821E-2</v>
      </c>
      <c r="AF164" s="23">
        <f t="shared" si="86"/>
        <v>1</v>
      </c>
      <c r="AG164" s="24">
        <f t="shared" si="105"/>
        <v>4</v>
      </c>
      <c r="AH164" s="28">
        <f t="shared" si="88"/>
        <v>0.8</v>
      </c>
      <c r="AI164" s="29">
        <f t="shared" si="89"/>
        <v>0.2</v>
      </c>
      <c r="AJ164" s="31">
        <v>1</v>
      </c>
      <c r="AK164" s="31">
        <v>1</v>
      </c>
      <c r="AL164" s="31">
        <v>1</v>
      </c>
      <c r="AM164" s="31">
        <v>0</v>
      </c>
      <c r="AN164" s="31">
        <v>0</v>
      </c>
      <c r="AO164" s="31">
        <v>0</v>
      </c>
      <c r="AP164" s="31">
        <v>0</v>
      </c>
      <c r="AQ164" s="31">
        <v>0</v>
      </c>
      <c r="AR164" s="23">
        <f t="shared" si="90"/>
        <v>0.6</v>
      </c>
      <c r="AS164" s="24">
        <f t="shared" si="91"/>
        <v>3</v>
      </c>
      <c r="AT164" s="28">
        <f t="shared" si="92"/>
        <v>0.375</v>
      </c>
      <c r="AU164" s="28">
        <f t="shared" si="93"/>
        <v>5.6249999999999994E-2</v>
      </c>
      <c r="AV164" s="32">
        <v>75</v>
      </c>
      <c r="AW164" s="32">
        <v>75</v>
      </c>
      <c r="AX164" s="32">
        <v>75</v>
      </c>
      <c r="AY164" s="32">
        <v>70</v>
      </c>
      <c r="AZ164" s="32">
        <v>70</v>
      </c>
      <c r="BA164" s="32">
        <v>100</v>
      </c>
      <c r="BB164" s="23">
        <f t="shared" ca="1" si="94"/>
        <v>0.8</v>
      </c>
      <c r="BC164" s="33">
        <f t="shared" si="100"/>
        <v>77.5</v>
      </c>
      <c r="BD164" s="28">
        <f t="shared" si="95"/>
        <v>0.93548387096774199</v>
      </c>
      <c r="BE164" s="28">
        <f t="shared" si="96"/>
        <v>0.18709677419354842</v>
      </c>
      <c r="BF164" s="34">
        <f ca="1">Q164+AA164+AF164+AR164+BB164</f>
        <v>4</v>
      </c>
      <c r="BG164" s="34">
        <f>AVERAGE(AV164:AZ164)</f>
        <v>73</v>
      </c>
      <c r="BH164" s="35">
        <f>T164+AD164+AI164+AU164+BE164</f>
        <v>0.77921083782333878</v>
      </c>
      <c r="BI164" s="36" t="str">
        <f ca="1">IF(K164&lt;365,"New CE",(IF(BH164&gt;=100%,"Promote",IF(BH164&gt;=90%,"Sangat Baik",IF(BH164&gt;=80%,"Baik",IF(BH164&gt;=70%,"Lebih Dari Cukup",IF(BH164&gt;=60%,"Cukup","Kurang")))))))</f>
        <v>Lebih Dari Cukup</v>
      </c>
      <c r="BJ164" s="36" t="s">
        <v>860</v>
      </c>
      <c r="BK164" s="58" t="s">
        <v>48</v>
      </c>
      <c r="BL164" s="59" t="e">
        <v>#N/A</v>
      </c>
    </row>
    <row r="165" spans="1:64" x14ac:dyDescent="0.35">
      <c r="A165" s="19">
        <v>161</v>
      </c>
      <c r="B165" s="13" t="s">
        <v>180</v>
      </c>
      <c r="C165" s="20" t="s">
        <v>181</v>
      </c>
      <c r="D165" s="76" t="s">
        <v>54</v>
      </c>
      <c r="E165" s="13" t="s">
        <v>182</v>
      </c>
      <c r="F165" s="13" t="s">
        <v>74</v>
      </c>
      <c r="G165" s="13" t="s">
        <v>61</v>
      </c>
      <c r="H165" s="65">
        <v>44935</v>
      </c>
      <c r="I165" s="21">
        <f t="shared" ca="1" si="97"/>
        <v>45974</v>
      </c>
      <c r="J165" s="13" t="str">
        <f t="shared" ca="1" si="77"/>
        <v xml:space="preserve">2 Tahun 10 Bulan 4 Hari </v>
      </c>
      <c r="K165" s="13">
        <f t="shared" ca="1" si="98"/>
        <v>1496160</v>
      </c>
      <c r="L165" s="13">
        <v>612</v>
      </c>
      <c r="M165" s="13">
        <v>11</v>
      </c>
      <c r="N165" s="13">
        <v>5254</v>
      </c>
      <c r="O165" s="22">
        <f t="shared" si="78"/>
        <v>477.63636363636363</v>
      </c>
      <c r="P165" s="13">
        <v>433</v>
      </c>
      <c r="Q165" s="23">
        <f t="shared" si="79"/>
        <v>0.8</v>
      </c>
      <c r="R165" s="24">
        <f t="shared" si="80"/>
        <v>4</v>
      </c>
      <c r="S165" s="25">
        <f t="shared" si="99"/>
        <v>0.9065473924628854</v>
      </c>
      <c r="T165" s="25">
        <f t="shared" si="81"/>
        <v>0.18130947849257709</v>
      </c>
      <c r="U165" s="26">
        <v>727.78947268518505</v>
      </c>
      <c r="V165" s="26">
        <v>9.5447530864197529E-3</v>
      </c>
      <c r="W165" s="26">
        <v>0.10061342592592593</v>
      </c>
      <c r="X165" s="27">
        <f t="shared" si="103"/>
        <v>0</v>
      </c>
      <c r="Y165" s="27">
        <f t="shared" si="107"/>
        <v>1</v>
      </c>
      <c r="Z165" s="27">
        <f t="shared" si="106"/>
        <v>1</v>
      </c>
      <c r="AA165" s="23">
        <f t="shared" si="102"/>
        <v>0.8</v>
      </c>
      <c r="AB165" s="24">
        <f t="shared" si="104"/>
        <v>2</v>
      </c>
      <c r="AC165" s="28">
        <f t="shared" si="84"/>
        <v>0.66666666666666663</v>
      </c>
      <c r="AD165" s="29">
        <f t="shared" si="85"/>
        <v>0.16666666666666666</v>
      </c>
      <c r="AE165" s="30">
        <v>0.10817129629629629</v>
      </c>
      <c r="AF165" s="23">
        <f t="shared" si="86"/>
        <v>0.75</v>
      </c>
      <c r="AG165" s="24">
        <f t="shared" si="105"/>
        <v>3</v>
      </c>
      <c r="AH165" s="28">
        <f t="shared" si="88"/>
        <v>0.6</v>
      </c>
      <c r="AI165" s="29">
        <f t="shared" si="89"/>
        <v>0.15</v>
      </c>
      <c r="AJ165" s="31">
        <v>1</v>
      </c>
      <c r="AK165" s="31">
        <v>1</v>
      </c>
      <c r="AL165" s="31">
        <v>1</v>
      </c>
      <c r="AM165" s="31">
        <v>1</v>
      </c>
      <c r="AN165" s="31">
        <v>1</v>
      </c>
      <c r="AO165" s="31">
        <v>0</v>
      </c>
      <c r="AP165" s="31">
        <v>0</v>
      </c>
      <c r="AQ165" s="31">
        <v>0</v>
      </c>
      <c r="AR165" s="23">
        <f t="shared" si="90"/>
        <v>1</v>
      </c>
      <c r="AS165" s="24">
        <f t="shared" si="91"/>
        <v>5</v>
      </c>
      <c r="AT165" s="28">
        <f t="shared" si="92"/>
        <v>0.625</v>
      </c>
      <c r="AU165" s="28">
        <f t="shared" si="93"/>
        <v>9.375E-2</v>
      </c>
      <c r="AV165" s="32">
        <v>75</v>
      </c>
      <c r="AW165" s="32">
        <v>60</v>
      </c>
      <c r="AX165" s="32">
        <v>75</v>
      </c>
      <c r="AY165" s="32">
        <v>80</v>
      </c>
      <c r="AZ165" s="32">
        <v>75</v>
      </c>
      <c r="BA165" s="32">
        <v>100</v>
      </c>
      <c r="BB165" s="23">
        <f t="shared" ca="1" si="94"/>
        <v>0.8</v>
      </c>
      <c r="BC165" s="33">
        <f t="shared" si="100"/>
        <v>77.5</v>
      </c>
      <c r="BD165" s="28">
        <f t="shared" si="95"/>
        <v>0.93548387096774199</v>
      </c>
      <c r="BE165" s="28">
        <f t="shared" si="96"/>
        <v>0.18709677419354842</v>
      </c>
      <c r="BF165" s="34">
        <f ca="1">Q165+AA165+AF165+AR165+BB165</f>
        <v>4.1500000000000004</v>
      </c>
      <c r="BG165" s="34">
        <f>AVERAGE(AV165:AZ165)</f>
        <v>73</v>
      </c>
      <c r="BH165" s="35">
        <f>T165+AD165+AI165+AU165+BE165</f>
        <v>0.77882291935279213</v>
      </c>
      <c r="BI165" s="36" t="str">
        <f ca="1">IF(K165&lt;365,"New CE",(IF(BH165&gt;=100%,"Promote",IF(BH165&gt;=90%,"Sangat Baik",IF(BH165&gt;=80%,"Baik",IF(BH165&gt;=70%,"Lebih Dari Cukup",IF(BH165&gt;=60%,"Cukup","Kurang")))))))</f>
        <v>Lebih Dari Cukup</v>
      </c>
      <c r="BJ165" s="36" t="s">
        <v>860</v>
      </c>
      <c r="BK165" s="58" t="s">
        <v>54</v>
      </c>
      <c r="BL165" s="59" t="str">
        <v>Munawir Usman</v>
      </c>
    </row>
    <row r="166" spans="1:64" x14ac:dyDescent="0.35">
      <c r="A166" s="19">
        <v>162</v>
      </c>
      <c r="B166" s="13" t="s">
        <v>440</v>
      </c>
      <c r="C166" s="20" t="s">
        <v>441</v>
      </c>
      <c r="D166" s="76" t="s">
        <v>42</v>
      </c>
      <c r="E166" s="13" t="s">
        <v>117</v>
      </c>
      <c r="F166" s="13" t="s">
        <v>74</v>
      </c>
      <c r="G166" s="13" t="s">
        <v>61</v>
      </c>
      <c r="H166" s="65">
        <v>43627</v>
      </c>
      <c r="I166" s="21">
        <f t="shared" ca="1" si="97"/>
        <v>45974</v>
      </c>
      <c r="J166" s="13" t="str">
        <f t="shared" ca="1" si="77"/>
        <v xml:space="preserve">6 Tahun 5 Bulan 2 Hari </v>
      </c>
      <c r="K166" s="13">
        <f t="shared" ca="1" si="98"/>
        <v>3379680</v>
      </c>
      <c r="L166" s="13">
        <v>401</v>
      </c>
      <c r="M166" s="13">
        <v>7</v>
      </c>
      <c r="N166" s="13">
        <v>2754</v>
      </c>
      <c r="O166" s="22">
        <f t="shared" si="78"/>
        <v>393.42857142857144</v>
      </c>
      <c r="P166" s="13">
        <v>284</v>
      </c>
      <c r="Q166" s="23">
        <f t="shared" si="79"/>
        <v>0.6</v>
      </c>
      <c r="R166" s="24">
        <f t="shared" si="80"/>
        <v>3</v>
      </c>
      <c r="S166" s="25">
        <f t="shared" si="99"/>
        <v>0.72185911401597669</v>
      </c>
      <c r="T166" s="25">
        <f t="shared" si="81"/>
        <v>0.14437182280319535</v>
      </c>
      <c r="U166" s="26">
        <v>27046.411994047619</v>
      </c>
      <c r="V166" s="26">
        <v>45589.914583333331</v>
      </c>
      <c r="W166" s="26">
        <v>45299.424664351849</v>
      </c>
      <c r="X166" s="27">
        <f t="shared" si="103"/>
        <v>0</v>
      </c>
      <c r="Y166" s="27">
        <f t="shared" si="107"/>
        <v>0</v>
      </c>
      <c r="Z166" s="27">
        <f t="shared" si="106"/>
        <v>1</v>
      </c>
      <c r="AA166" s="23">
        <f t="shared" si="102"/>
        <v>0.4</v>
      </c>
      <c r="AB166" s="24">
        <f t="shared" si="104"/>
        <v>1</v>
      </c>
      <c r="AC166" s="28">
        <f t="shared" si="84"/>
        <v>0.33333333333333331</v>
      </c>
      <c r="AD166" s="29">
        <f t="shared" si="85"/>
        <v>8.3333333333333329E-2</v>
      </c>
      <c r="AE166" s="30">
        <v>2.0579861111111111E-2</v>
      </c>
      <c r="AF166" s="23">
        <f t="shared" si="86"/>
        <v>1.25</v>
      </c>
      <c r="AG166" s="24">
        <f t="shared" si="105"/>
        <v>5</v>
      </c>
      <c r="AH166" s="28">
        <f t="shared" si="88"/>
        <v>1</v>
      </c>
      <c r="AI166" s="29">
        <f t="shared" si="89"/>
        <v>0.25</v>
      </c>
      <c r="AJ166" s="31">
        <v>1</v>
      </c>
      <c r="AK166" s="31">
        <v>1</v>
      </c>
      <c r="AL166" s="31">
        <v>1</v>
      </c>
      <c r="AM166" s="31">
        <v>0</v>
      </c>
      <c r="AN166" s="31">
        <v>1</v>
      </c>
      <c r="AO166" s="31">
        <v>1</v>
      </c>
      <c r="AP166" s="31">
        <v>0</v>
      </c>
      <c r="AQ166" s="31">
        <v>1</v>
      </c>
      <c r="AR166" s="23">
        <f t="shared" si="90"/>
        <v>1</v>
      </c>
      <c r="AS166" s="24">
        <f t="shared" si="91"/>
        <v>6</v>
      </c>
      <c r="AT166" s="28">
        <f t="shared" si="92"/>
        <v>0.75</v>
      </c>
      <c r="AU166" s="28">
        <f t="shared" si="93"/>
        <v>0.11249999999999999</v>
      </c>
      <c r="AV166" s="32">
        <v>75</v>
      </c>
      <c r="AW166" s="32">
        <v>75</v>
      </c>
      <c r="AX166" s="32">
        <v>90</v>
      </c>
      <c r="AY166" s="32">
        <v>90</v>
      </c>
      <c r="AZ166" s="32">
        <v>85</v>
      </c>
      <c r="BA166" s="32">
        <v>100</v>
      </c>
      <c r="BB166" s="23">
        <f t="shared" ca="1" si="94"/>
        <v>0.8</v>
      </c>
      <c r="BC166" s="33">
        <f t="shared" si="100"/>
        <v>85.833333333333329</v>
      </c>
      <c r="BD166" s="28">
        <f t="shared" si="95"/>
        <v>0.94174757281553401</v>
      </c>
      <c r="BE166" s="28">
        <f t="shared" si="96"/>
        <v>0.18834951456310681</v>
      </c>
      <c r="BF166" s="34">
        <f ca="1">Q166+AA166+AF166+AR166+BB166</f>
        <v>4.05</v>
      </c>
      <c r="BG166" s="34">
        <f>AVERAGE(AV166:AZ166)</f>
        <v>83</v>
      </c>
      <c r="BH166" s="35">
        <f>T166+AD166+AI166+AU166+BE166</f>
        <v>0.77855467069963546</v>
      </c>
      <c r="BI166" s="36" t="str">
        <f ca="1">IF(K166&lt;365,"New CE",(IF(BH166&gt;=100%,"Promote",IF(BH166&gt;=90%,"Sangat Baik",IF(BH166&gt;=80%,"Baik",IF(BH166&gt;=70%,"Lebih Dari Cukup",IF(BH166&gt;=60%,"Cukup","Kurang")))))))</f>
        <v>Lebih Dari Cukup</v>
      </c>
      <c r="BJ166" s="36" t="s">
        <v>860</v>
      </c>
      <c r="BK166" s="58" t="s">
        <v>42</v>
      </c>
      <c r="BL166" s="59" t="str">
        <v>Galih Syahri Romadoni</v>
      </c>
    </row>
    <row r="167" spans="1:64" x14ac:dyDescent="0.35">
      <c r="A167" s="19">
        <v>163</v>
      </c>
      <c r="B167" s="13" t="s">
        <v>442</v>
      </c>
      <c r="C167" s="20" t="s">
        <v>443</v>
      </c>
      <c r="D167" s="76" t="s">
        <v>48</v>
      </c>
      <c r="E167" s="13" t="s">
        <v>223</v>
      </c>
      <c r="F167" s="13" t="s">
        <v>74</v>
      </c>
      <c r="G167" s="13" t="s">
        <v>61</v>
      </c>
      <c r="H167" s="65">
        <v>43627</v>
      </c>
      <c r="I167" s="21">
        <f t="shared" ca="1" si="97"/>
        <v>45974</v>
      </c>
      <c r="J167" s="13" t="str">
        <f t="shared" ca="1" si="77"/>
        <v xml:space="preserve">6 Tahun 5 Bulan 2 Hari </v>
      </c>
      <c r="K167" s="13">
        <f t="shared" ca="1" si="98"/>
        <v>3379680</v>
      </c>
      <c r="L167" s="13">
        <v>426</v>
      </c>
      <c r="M167" s="13">
        <v>6</v>
      </c>
      <c r="N167" s="13">
        <v>3000</v>
      </c>
      <c r="O167" s="22">
        <f t="shared" si="78"/>
        <v>500</v>
      </c>
      <c r="P167" s="13">
        <v>361</v>
      </c>
      <c r="Q167" s="23">
        <f t="shared" si="79"/>
        <v>0.6</v>
      </c>
      <c r="R167" s="24">
        <f t="shared" si="80"/>
        <v>3</v>
      </c>
      <c r="S167" s="25">
        <f t="shared" si="99"/>
        <v>0.72199999999999998</v>
      </c>
      <c r="T167" s="25">
        <f t="shared" si="81"/>
        <v>0.1444</v>
      </c>
      <c r="U167" s="26">
        <v>8737.7691395121092</v>
      </c>
      <c r="V167" s="26">
        <v>10111.341589506172</v>
      </c>
      <c r="W167" s="26">
        <v>14187.923859230326</v>
      </c>
      <c r="X167" s="27">
        <f t="shared" si="103"/>
        <v>0</v>
      </c>
      <c r="Y167" s="27">
        <f t="shared" si="107"/>
        <v>0</v>
      </c>
      <c r="Z167" s="27">
        <f t="shared" si="106"/>
        <v>1</v>
      </c>
      <c r="AA167" s="23">
        <f t="shared" si="102"/>
        <v>0.4</v>
      </c>
      <c r="AB167" s="24">
        <f t="shared" si="104"/>
        <v>1</v>
      </c>
      <c r="AC167" s="28">
        <f t="shared" si="84"/>
        <v>0.33333333333333331</v>
      </c>
      <c r="AD167" s="29">
        <f t="shared" si="85"/>
        <v>8.3333333333333329E-2</v>
      </c>
      <c r="AE167" s="30">
        <v>3.8246328224776499E-2</v>
      </c>
      <c r="AF167" s="23">
        <f t="shared" si="86"/>
        <v>1.25</v>
      </c>
      <c r="AG167" s="24">
        <f t="shared" si="105"/>
        <v>5</v>
      </c>
      <c r="AH167" s="28">
        <f t="shared" si="88"/>
        <v>1</v>
      </c>
      <c r="AI167" s="29">
        <f t="shared" si="89"/>
        <v>0.25</v>
      </c>
      <c r="AJ167" s="31">
        <v>1</v>
      </c>
      <c r="AK167" s="31">
        <v>1</v>
      </c>
      <c r="AL167" s="31">
        <v>1</v>
      </c>
      <c r="AM167" s="31">
        <v>1</v>
      </c>
      <c r="AN167" s="31">
        <v>0</v>
      </c>
      <c r="AO167" s="31">
        <v>1</v>
      </c>
      <c r="AP167" s="31">
        <v>0</v>
      </c>
      <c r="AQ167" s="31">
        <v>1</v>
      </c>
      <c r="AR167" s="23">
        <f t="shared" si="90"/>
        <v>1</v>
      </c>
      <c r="AS167" s="24">
        <f t="shared" si="91"/>
        <v>6</v>
      </c>
      <c r="AT167" s="28">
        <f t="shared" si="92"/>
        <v>0.75</v>
      </c>
      <c r="AU167" s="28">
        <f t="shared" si="93"/>
        <v>0.11249999999999999</v>
      </c>
      <c r="AV167" s="32">
        <v>75</v>
      </c>
      <c r="AW167" s="32">
        <v>75</v>
      </c>
      <c r="AX167" s="32">
        <v>80</v>
      </c>
      <c r="AY167" s="32">
        <v>85</v>
      </c>
      <c r="AZ167" s="32">
        <v>85</v>
      </c>
      <c r="BA167" s="32">
        <v>100</v>
      </c>
      <c r="BB167" s="23">
        <f t="shared" ca="1" si="94"/>
        <v>0.8</v>
      </c>
      <c r="BC167" s="33">
        <f t="shared" si="100"/>
        <v>83.333333333333329</v>
      </c>
      <c r="BD167" s="28">
        <f t="shared" si="95"/>
        <v>0.94</v>
      </c>
      <c r="BE167" s="28">
        <f t="shared" si="96"/>
        <v>0.188</v>
      </c>
      <c r="BF167" s="34">
        <f ca="1">Q167+AA167+AF167+AR167+BB167</f>
        <v>4.05</v>
      </c>
      <c r="BG167" s="34">
        <f>AVERAGE(AV167:AZ167)</f>
        <v>80</v>
      </c>
      <c r="BH167" s="35">
        <f>T167+AD167+AI167+AU167+BE167</f>
        <v>0.77823333333333333</v>
      </c>
      <c r="BI167" s="36" t="str">
        <f ca="1">IF(K167&lt;365,"New CE",(IF(BH167&gt;=100%,"Promote",IF(BH167&gt;=90%,"Sangat Baik",IF(BH167&gt;=80%,"Baik",IF(BH167&gt;=70%,"Lebih Dari Cukup",IF(BH167&gt;=60%,"Cukup","Kurang")))))))</f>
        <v>Lebih Dari Cukup</v>
      </c>
      <c r="BJ167" s="36" t="s">
        <v>860</v>
      </c>
      <c r="BK167" s="58" t="s">
        <v>48</v>
      </c>
      <c r="BL167" s="59" t="str">
        <v>Muhammad Ilham PLG</v>
      </c>
    </row>
    <row r="168" spans="1:64" x14ac:dyDescent="0.35">
      <c r="A168" s="19">
        <v>164</v>
      </c>
      <c r="B168" s="13" t="s">
        <v>444</v>
      </c>
      <c r="C168" s="20" t="s">
        <v>445</v>
      </c>
      <c r="D168" s="76" t="s">
        <v>54</v>
      </c>
      <c r="E168" s="13" t="s">
        <v>446</v>
      </c>
      <c r="F168" s="13" t="s">
        <v>44</v>
      </c>
      <c r="G168" s="13" t="s">
        <v>45</v>
      </c>
      <c r="H168" s="65">
        <v>45180</v>
      </c>
      <c r="I168" s="21">
        <f t="shared" ca="1" si="97"/>
        <v>45974</v>
      </c>
      <c r="J168" s="13" t="str">
        <f t="shared" ca="1" si="77"/>
        <v xml:space="preserve">2 Tahun 2 Bulan 2 Hari </v>
      </c>
      <c r="K168" s="13">
        <f t="shared" ca="1" si="98"/>
        <v>1143360</v>
      </c>
      <c r="L168" s="13">
        <v>305</v>
      </c>
      <c r="M168" s="13">
        <v>6</v>
      </c>
      <c r="N168" s="13">
        <v>2018</v>
      </c>
      <c r="O168" s="22">
        <f t="shared" si="78"/>
        <v>336.33333333333331</v>
      </c>
      <c r="P168" s="13">
        <v>301</v>
      </c>
      <c r="Q168" s="23">
        <f t="shared" si="79"/>
        <v>0.8</v>
      </c>
      <c r="R168" s="24">
        <f t="shared" si="80"/>
        <v>4</v>
      </c>
      <c r="S168" s="25">
        <f t="shared" si="99"/>
        <v>0.89494549058473738</v>
      </c>
      <c r="T168" s="25">
        <f t="shared" si="81"/>
        <v>0.17898909811694749</v>
      </c>
      <c r="U168" s="26">
        <v>1.8403191137566138E-2</v>
      </c>
      <c r="V168" s="26">
        <v>2.7167755991285403E-2</v>
      </c>
      <c r="W168" s="26">
        <v>0</v>
      </c>
      <c r="X168" s="27">
        <f t="shared" si="103"/>
        <v>1</v>
      </c>
      <c r="Y168" s="27">
        <f t="shared" si="107"/>
        <v>1</v>
      </c>
      <c r="Z168" s="27">
        <f t="shared" si="106"/>
        <v>0</v>
      </c>
      <c r="AA168" s="23">
        <f t="shared" si="102"/>
        <v>0.8</v>
      </c>
      <c r="AB168" s="24">
        <f t="shared" si="104"/>
        <v>2</v>
      </c>
      <c r="AC168" s="28">
        <f t="shared" si="84"/>
        <v>0.66666666666666663</v>
      </c>
      <c r="AD168" s="29">
        <f t="shared" si="85"/>
        <v>0.16666666666666666</v>
      </c>
      <c r="AE168" s="30">
        <v>9.6430373677248687E-2</v>
      </c>
      <c r="AF168" s="23">
        <f t="shared" si="86"/>
        <v>0.75</v>
      </c>
      <c r="AG168" s="24">
        <f t="shared" si="105"/>
        <v>3</v>
      </c>
      <c r="AH168" s="28">
        <f t="shared" si="88"/>
        <v>0.6</v>
      </c>
      <c r="AI168" s="29">
        <f t="shared" si="89"/>
        <v>0.15</v>
      </c>
      <c r="AJ168" s="31">
        <v>1</v>
      </c>
      <c r="AK168" s="31">
        <v>1</v>
      </c>
      <c r="AL168" s="31">
        <v>1</v>
      </c>
      <c r="AM168" s="31">
        <v>0</v>
      </c>
      <c r="AN168" s="31">
        <v>0</v>
      </c>
      <c r="AO168" s="31">
        <v>1</v>
      </c>
      <c r="AP168" s="31">
        <v>0</v>
      </c>
      <c r="AQ168" s="31">
        <v>1</v>
      </c>
      <c r="AR168" s="23">
        <f t="shared" si="90"/>
        <v>1</v>
      </c>
      <c r="AS168" s="24">
        <f t="shared" si="91"/>
        <v>5</v>
      </c>
      <c r="AT168" s="28">
        <f t="shared" si="92"/>
        <v>0.625</v>
      </c>
      <c r="AU168" s="28">
        <f t="shared" si="93"/>
        <v>9.375E-2</v>
      </c>
      <c r="AV168" s="32">
        <v>75</v>
      </c>
      <c r="AW168" s="32">
        <v>75</v>
      </c>
      <c r="AX168" s="32">
        <v>65</v>
      </c>
      <c r="AY168" s="32">
        <v>70</v>
      </c>
      <c r="AZ168" s="32">
        <v>70</v>
      </c>
      <c r="BA168" s="32">
        <v>100</v>
      </c>
      <c r="BB168" s="23">
        <f t="shared" ca="1" si="94"/>
        <v>0.8</v>
      </c>
      <c r="BC168" s="33">
        <f t="shared" si="100"/>
        <v>75.833333333333329</v>
      </c>
      <c r="BD168" s="28">
        <f t="shared" si="95"/>
        <v>0.93406593406593408</v>
      </c>
      <c r="BE168" s="28">
        <f t="shared" si="96"/>
        <v>0.18681318681318682</v>
      </c>
      <c r="BF168" s="34">
        <f ca="1">Q168+AA168+AF168+AR168+BB168</f>
        <v>4.1500000000000004</v>
      </c>
      <c r="BG168" s="34">
        <f>AVERAGE(AV168:AZ168)</f>
        <v>71</v>
      </c>
      <c r="BH168" s="35">
        <f>T168+AD168+AI168+AU168+BE168</f>
        <v>0.77621895159680099</v>
      </c>
      <c r="BI168" s="36" t="str">
        <f ca="1">IF(K168&lt;365,"New CE",(IF(BH168&gt;=100%,"Promote",IF(BH168&gt;=90%,"Sangat Baik",IF(BH168&gt;=80%,"Baik",IF(BH168&gt;=70%,"Lebih Dari Cukup",IF(BH168&gt;=60%,"Cukup","Kurang")))))))</f>
        <v>Lebih Dari Cukup</v>
      </c>
      <c r="BJ168" s="36" t="s">
        <v>860</v>
      </c>
      <c r="BK168" s="58" t="s">
        <v>54</v>
      </c>
      <c r="BL168" s="59" t="str">
        <v>Arifianto Refani</v>
      </c>
    </row>
    <row r="169" spans="1:64" x14ac:dyDescent="0.35">
      <c r="A169" s="19">
        <v>165</v>
      </c>
      <c r="B169" s="13" t="s">
        <v>447</v>
      </c>
      <c r="C169" s="20" t="s">
        <v>448</v>
      </c>
      <c r="D169" s="76" t="s">
        <v>48</v>
      </c>
      <c r="E169" s="13" t="s">
        <v>70</v>
      </c>
      <c r="F169" s="13" t="s">
        <v>50</v>
      </c>
      <c r="G169" s="13" t="s">
        <v>51</v>
      </c>
      <c r="H169" s="65">
        <v>44502</v>
      </c>
      <c r="I169" s="21">
        <f t="shared" ca="1" si="97"/>
        <v>45974</v>
      </c>
      <c r="J169" s="13" t="str">
        <f t="shared" ca="1" si="77"/>
        <v xml:space="preserve">4 Tahun 0 Bulan 11 Hari </v>
      </c>
      <c r="K169" s="13">
        <f t="shared" ca="1" si="98"/>
        <v>2119680</v>
      </c>
      <c r="L169" s="13">
        <v>329</v>
      </c>
      <c r="M169" s="13">
        <v>6</v>
      </c>
      <c r="N169" s="13">
        <v>1945</v>
      </c>
      <c r="O169" s="22">
        <f t="shared" si="78"/>
        <v>324.16666666666669</v>
      </c>
      <c r="P169" s="13">
        <v>319</v>
      </c>
      <c r="Q169" s="23">
        <f t="shared" si="79"/>
        <v>0.8</v>
      </c>
      <c r="R169" s="24">
        <f t="shared" si="80"/>
        <v>4</v>
      </c>
      <c r="S169" s="25">
        <f t="shared" si="99"/>
        <v>0.98406169665809762</v>
      </c>
      <c r="T169" s="25">
        <f t="shared" si="81"/>
        <v>0.19681233933161954</v>
      </c>
      <c r="U169" s="26">
        <v>3585.1461299951266</v>
      </c>
      <c r="V169" s="26">
        <v>1.5625E-4</v>
      </c>
      <c r="W169" s="26">
        <v>1.5636574074074074E-2</v>
      </c>
      <c r="X169" s="27">
        <f t="shared" si="103"/>
        <v>0</v>
      </c>
      <c r="Y169" s="27">
        <f t="shared" si="107"/>
        <v>1</v>
      </c>
      <c r="Z169" s="27">
        <f t="shared" si="106"/>
        <v>1</v>
      </c>
      <c r="AA169" s="23">
        <f t="shared" si="102"/>
        <v>0.8</v>
      </c>
      <c r="AB169" s="24">
        <f t="shared" si="104"/>
        <v>2</v>
      </c>
      <c r="AC169" s="28">
        <f t="shared" si="84"/>
        <v>0.66666666666666663</v>
      </c>
      <c r="AD169" s="29">
        <f t="shared" si="85"/>
        <v>0.16666666666666666</v>
      </c>
      <c r="AE169" s="30">
        <v>9.5745764941077435E-2</v>
      </c>
      <c r="AF169" s="23">
        <f t="shared" si="86"/>
        <v>0.75</v>
      </c>
      <c r="AG169" s="24">
        <f t="shared" si="105"/>
        <v>3</v>
      </c>
      <c r="AH169" s="28">
        <f t="shared" si="88"/>
        <v>0.6</v>
      </c>
      <c r="AI169" s="29">
        <f t="shared" si="89"/>
        <v>0.15</v>
      </c>
      <c r="AJ169" s="31">
        <v>1</v>
      </c>
      <c r="AK169" s="31">
        <v>1</v>
      </c>
      <c r="AL169" s="31">
        <v>0</v>
      </c>
      <c r="AM169" s="31">
        <v>0</v>
      </c>
      <c r="AN169" s="31">
        <v>1</v>
      </c>
      <c r="AO169" s="31">
        <v>1</v>
      </c>
      <c r="AP169" s="31">
        <v>0</v>
      </c>
      <c r="AQ169" s="31">
        <v>0</v>
      </c>
      <c r="AR169" s="23">
        <f t="shared" si="90"/>
        <v>0.8</v>
      </c>
      <c r="AS169" s="24">
        <f t="shared" si="91"/>
        <v>4</v>
      </c>
      <c r="AT169" s="28">
        <f t="shared" si="92"/>
        <v>0.5</v>
      </c>
      <c r="AU169" s="28">
        <f t="shared" si="93"/>
        <v>7.4999999999999997E-2</v>
      </c>
      <c r="AV169" s="32">
        <v>75</v>
      </c>
      <c r="AW169" s="32">
        <v>75</v>
      </c>
      <c r="AX169" s="32">
        <v>90</v>
      </c>
      <c r="AY169" s="32">
        <v>90</v>
      </c>
      <c r="AZ169" s="32">
        <v>85</v>
      </c>
      <c r="BA169" s="32">
        <v>100</v>
      </c>
      <c r="BB169" s="23">
        <f t="shared" ca="1" si="94"/>
        <v>0.8</v>
      </c>
      <c r="BC169" s="33">
        <f t="shared" si="100"/>
        <v>85.833333333333329</v>
      </c>
      <c r="BD169" s="28">
        <f t="shared" si="95"/>
        <v>0.94174757281553401</v>
      </c>
      <c r="BE169" s="28">
        <f t="shared" si="96"/>
        <v>0.18834951456310681</v>
      </c>
      <c r="BF169" s="34">
        <f ca="1">Q169+AA169+AF169+AR169+BB169</f>
        <v>3.95</v>
      </c>
      <c r="BG169" s="34">
        <f>AVERAGE(AV169:AZ169)</f>
        <v>83</v>
      </c>
      <c r="BH169" s="35">
        <f>T169+AD169+AI169+AU169+BE169</f>
        <v>0.77682852056139295</v>
      </c>
      <c r="BI169" s="36" t="str">
        <f ca="1">IF(K169&lt;365,"New CE",(IF(BH169&gt;=100%,"Promote",IF(BH169&gt;=90%,"Sangat Baik",IF(BH169&gt;=80%,"Baik",IF(BH169&gt;=70%,"Lebih Dari Cukup",IF(BH169&gt;=60%,"Cukup","Kurang")))))))</f>
        <v>Lebih Dari Cukup</v>
      </c>
      <c r="BJ169" s="36" t="s">
        <v>860</v>
      </c>
      <c r="BK169" s="58" t="s">
        <v>48</v>
      </c>
      <c r="BL169" s="59" t="e">
        <v>#N/A</v>
      </c>
    </row>
    <row r="170" spans="1:64" x14ac:dyDescent="0.35">
      <c r="A170" s="19">
        <v>166</v>
      </c>
      <c r="B170" s="13" t="s">
        <v>449</v>
      </c>
      <c r="C170" s="20" t="s">
        <v>450</v>
      </c>
      <c r="D170" s="76" t="s">
        <v>48</v>
      </c>
      <c r="E170" s="13" t="s">
        <v>287</v>
      </c>
      <c r="F170" s="13" t="s">
        <v>74</v>
      </c>
      <c r="G170" s="13" t="s">
        <v>51</v>
      </c>
      <c r="H170" s="65">
        <v>44502</v>
      </c>
      <c r="I170" s="21">
        <f t="shared" ca="1" si="97"/>
        <v>45974</v>
      </c>
      <c r="J170" s="13" t="str">
        <f t="shared" ca="1" si="77"/>
        <v xml:space="preserve">4 Tahun 0 Bulan 11 Hari </v>
      </c>
      <c r="K170" s="13">
        <f t="shared" ca="1" si="98"/>
        <v>2119680</v>
      </c>
      <c r="L170" s="13">
        <v>295</v>
      </c>
      <c r="M170" s="13">
        <v>5</v>
      </c>
      <c r="N170" s="13">
        <v>2105</v>
      </c>
      <c r="O170" s="22">
        <f t="shared" si="78"/>
        <v>421</v>
      </c>
      <c r="P170" s="13">
        <v>379</v>
      </c>
      <c r="Q170" s="23">
        <f t="shared" si="79"/>
        <v>0.8</v>
      </c>
      <c r="R170" s="24">
        <f t="shared" si="80"/>
        <v>4</v>
      </c>
      <c r="S170" s="25">
        <f t="shared" si="99"/>
        <v>0.9002375296912114</v>
      </c>
      <c r="T170" s="25">
        <f t="shared" si="81"/>
        <v>0.18004750593824229</v>
      </c>
      <c r="U170" s="26">
        <v>13508.927789351852</v>
      </c>
      <c r="V170" s="26">
        <v>22745.19720486111</v>
      </c>
      <c r="W170" s="26">
        <v>12105.505187500001</v>
      </c>
      <c r="X170" s="27">
        <f t="shared" si="103"/>
        <v>0</v>
      </c>
      <c r="Y170" s="27">
        <f t="shared" si="107"/>
        <v>0</v>
      </c>
      <c r="Z170" s="27">
        <f t="shared" si="106"/>
        <v>1</v>
      </c>
      <c r="AA170" s="23">
        <f t="shared" si="102"/>
        <v>0.4</v>
      </c>
      <c r="AB170" s="24">
        <f t="shared" si="104"/>
        <v>1</v>
      </c>
      <c r="AC170" s="28">
        <f t="shared" si="84"/>
        <v>0.33333333333333331</v>
      </c>
      <c r="AD170" s="29">
        <f t="shared" si="85"/>
        <v>8.3333333333333329E-2</v>
      </c>
      <c r="AE170" s="30">
        <v>1.9562889584846289E-2</v>
      </c>
      <c r="AF170" s="23">
        <f t="shared" si="86"/>
        <v>1.25</v>
      </c>
      <c r="AG170" s="24">
        <f t="shared" si="105"/>
        <v>5</v>
      </c>
      <c r="AH170" s="28">
        <f t="shared" si="88"/>
        <v>1</v>
      </c>
      <c r="AI170" s="29">
        <f t="shared" si="89"/>
        <v>0.25</v>
      </c>
      <c r="AJ170" s="31">
        <v>1</v>
      </c>
      <c r="AK170" s="31">
        <v>1</v>
      </c>
      <c r="AL170" s="31">
        <v>1</v>
      </c>
      <c r="AM170" s="31">
        <v>0</v>
      </c>
      <c r="AN170" s="31">
        <v>1</v>
      </c>
      <c r="AO170" s="31">
        <v>0</v>
      </c>
      <c r="AP170" s="31">
        <v>0</v>
      </c>
      <c r="AQ170" s="31">
        <v>0</v>
      </c>
      <c r="AR170" s="23">
        <f t="shared" si="90"/>
        <v>0.8</v>
      </c>
      <c r="AS170" s="24">
        <f t="shared" si="91"/>
        <v>4</v>
      </c>
      <c r="AT170" s="28">
        <f t="shared" si="92"/>
        <v>0.5</v>
      </c>
      <c r="AU170" s="28">
        <f t="shared" si="93"/>
        <v>7.4999999999999997E-2</v>
      </c>
      <c r="AV170" s="32">
        <v>75</v>
      </c>
      <c r="AW170" s="32">
        <v>75</v>
      </c>
      <c r="AX170" s="32">
        <v>85</v>
      </c>
      <c r="AY170" s="32">
        <v>85</v>
      </c>
      <c r="AZ170" s="32">
        <v>85</v>
      </c>
      <c r="BA170" s="32">
        <v>100</v>
      </c>
      <c r="BB170" s="23">
        <f t="shared" ca="1" si="94"/>
        <v>0.8</v>
      </c>
      <c r="BC170" s="33">
        <f t="shared" si="100"/>
        <v>84.166666666666671</v>
      </c>
      <c r="BD170" s="28">
        <f t="shared" si="95"/>
        <v>0.94059405940594054</v>
      </c>
      <c r="BE170" s="28">
        <f t="shared" si="96"/>
        <v>0.18811881188118812</v>
      </c>
      <c r="BF170" s="34">
        <f ca="1">Q170+AA170+AF170+AR170+BB170</f>
        <v>4.05</v>
      </c>
      <c r="BG170" s="34">
        <f>AVERAGE(AV170:AZ170)</f>
        <v>81</v>
      </c>
      <c r="BH170" s="35">
        <f>T170+AD170+AI170+AU170+BE170</f>
        <v>0.77649965115276376</v>
      </c>
      <c r="BI170" s="36" t="str">
        <f ca="1">IF(K170&lt;365,"New CE",(IF(BH170&gt;=100%,"Promote",IF(BH170&gt;=90%,"Sangat Baik",IF(BH170&gt;=80%,"Baik",IF(BH170&gt;=70%,"Lebih Dari Cukup",IF(BH170&gt;=60%,"Cukup","Kurang")))))))</f>
        <v>Lebih Dari Cukup</v>
      </c>
      <c r="BJ170" s="36" t="s">
        <v>860</v>
      </c>
      <c r="BK170" s="58" t="s">
        <v>48</v>
      </c>
      <c r="BL170" s="59" t="str">
        <v>Fahri Husaini</v>
      </c>
    </row>
    <row r="171" spans="1:64" x14ac:dyDescent="0.35">
      <c r="A171" s="19">
        <v>167</v>
      </c>
      <c r="B171" s="13" t="s">
        <v>451</v>
      </c>
      <c r="C171" s="20" t="s">
        <v>452</v>
      </c>
      <c r="D171" s="76" t="s">
        <v>48</v>
      </c>
      <c r="E171" s="13" t="s">
        <v>70</v>
      </c>
      <c r="F171" s="13" t="s">
        <v>50</v>
      </c>
      <c r="G171" s="13" t="s">
        <v>45</v>
      </c>
      <c r="H171" s="65">
        <v>44291</v>
      </c>
      <c r="I171" s="21">
        <f t="shared" ca="1" si="97"/>
        <v>45974</v>
      </c>
      <c r="J171" s="13" t="str">
        <f t="shared" ca="1" si="77"/>
        <v xml:space="preserve">4 Tahun 7 Bulan 8 Hari </v>
      </c>
      <c r="K171" s="13">
        <f t="shared" ca="1" si="98"/>
        <v>2423520</v>
      </c>
      <c r="L171" s="13">
        <v>329</v>
      </c>
      <c r="M171" s="13">
        <v>6</v>
      </c>
      <c r="N171" s="13">
        <v>1945</v>
      </c>
      <c r="O171" s="22">
        <f t="shared" si="78"/>
        <v>324.16666666666669</v>
      </c>
      <c r="P171" s="13">
        <v>261</v>
      </c>
      <c r="Q171" s="23">
        <f t="shared" si="79"/>
        <v>0.8</v>
      </c>
      <c r="R171" s="24">
        <f t="shared" si="80"/>
        <v>4</v>
      </c>
      <c r="S171" s="25">
        <f t="shared" si="99"/>
        <v>0.80514138817480718</v>
      </c>
      <c r="T171" s="25">
        <f t="shared" si="81"/>
        <v>0.16102827763496144</v>
      </c>
      <c r="U171" s="26">
        <v>7576.0949164094673</v>
      </c>
      <c r="V171" s="26">
        <v>4532.7209924768522</v>
      </c>
      <c r="W171" s="26">
        <v>1.3503086419753085E-4</v>
      </c>
      <c r="X171" s="27">
        <f t="shared" si="103"/>
        <v>0</v>
      </c>
      <c r="Y171" s="27">
        <f t="shared" si="107"/>
        <v>0</v>
      </c>
      <c r="Z171" s="27">
        <f t="shared" si="106"/>
        <v>1</v>
      </c>
      <c r="AA171" s="23">
        <f t="shared" si="102"/>
        <v>0.4</v>
      </c>
      <c r="AB171" s="24">
        <f t="shared" si="104"/>
        <v>1</v>
      </c>
      <c r="AC171" s="28">
        <f t="shared" si="84"/>
        <v>0.33333333333333331</v>
      </c>
      <c r="AD171" s="29">
        <f t="shared" si="85"/>
        <v>8.3333333333333329E-2</v>
      </c>
      <c r="AE171" s="30">
        <v>3.836556391460906E-2</v>
      </c>
      <c r="AF171" s="23">
        <f t="shared" si="86"/>
        <v>1.25</v>
      </c>
      <c r="AG171" s="24">
        <f t="shared" si="105"/>
        <v>5</v>
      </c>
      <c r="AH171" s="28">
        <f t="shared" si="88"/>
        <v>1</v>
      </c>
      <c r="AI171" s="29">
        <f t="shared" si="89"/>
        <v>0.25</v>
      </c>
      <c r="AJ171" s="31">
        <v>1</v>
      </c>
      <c r="AK171" s="31">
        <v>1</v>
      </c>
      <c r="AL171" s="31">
        <v>1</v>
      </c>
      <c r="AM171" s="31">
        <v>0</v>
      </c>
      <c r="AN171" s="31">
        <v>1</v>
      </c>
      <c r="AO171" s="31">
        <v>0</v>
      </c>
      <c r="AP171" s="31">
        <v>0</v>
      </c>
      <c r="AQ171" s="31">
        <v>1</v>
      </c>
      <c r="AR171" s="23">
        <f t="shared" si="90"/>
        <v>1</v>
      </c>
      <c r="AS171" s="24">
        <f t="shared" si="91"/>
        <v>5</v>
      </c>
      <c r="AT171" s="28">
        <f t="shared" si="92"/>
        <v>0.625</v>
      </c>
      <c r="AU171" s="28">
        <f t="shared" si="93"/>
        <v>9.375E-2</v>
      </c>
      <c r="AV171" s="32">
        <v>75</v>
      </c>
      <c r="AW171" s="32">
        <v>75</v>
      </c>
      <c r="AX171" s="32">
        <v>90</v>
      </c>
      <c r="AY171" s="32">
        <v>90</v>
      </c>
      <c r="AZ171" s="32">
        <v>80</v>
      </c>
      <c r="BA171" s="32">
        <v>100</v>
      </c>
      <c r="BB171" s="23">
        <f t="shared" ca="1" si="94"/>
        <v>0.8</v>
      </c>
      <c r="BC171" s="33">
        <f t="shared" si="100"/>
        <v>85</v>
      </c>
      <c r="BD171" s="28">
        <f t="shared" si="95"/>
        <v>0.94117647058823528</v>
      </c>
      <c r="BE171" s="28">
        <f t="shared" si="96"/>
        <v>0.18823529411764706</v>
      </c>
      <c r="BF171" s="34">
        <f ca="1">Q171+AA171+AF171+AR171+BB171</f>
        <v>4.25</v>
      </c>
      <c r="BG171" s="34">
        <f>AVERAGE(AV171:AZ171)</f>
        <v>82</v>
      </c>
      <c r="BH171" s="35">
        <f>T171+AD171+AI171+AU171+BE171</f>
        <v>0.77634690508594184</v>
      </c>
      <c r="BI171" s="36" t="str">
        <f ca="1">IF(K171&lt;365,"New CE",(IF(BH171&gt;=100%,"Promote",IF(BH171&gt;=90%,"Sangat Baik",IF(BH171&gt;=80%,"Baik",IF(BH171&gt;=70%,"Lebih Dari Cukup",IF(BH171&gt;=60%,"Cukup","Kurang")))))))</f>
        <v>Lebih Dari Cukup</v>
      </c>
      <c r="BJ171" s="36" t="s">
        <v>860</v>
      </c>
      <c r="BK171" s="58" t="s">
        <v>48</v>
      </c>
      <c r="BL171" s="59" t="e">
        <v>#N/A</v>
      </c>
    </row>
    <row r="172" spans="1:64" x14ac:dyDescent="0.35">
      <c r="A172" s="19">
        <v>168</v>
      </c>
      <c r="B172" s="13" t="s">
        <v>453</v>
      </c>
      <c r="C172" s="20" t="s">
        <v>454</v>
      </c>
      <c r="D172" s="76" t="s">
        <v>42</v>
      </c>
      <c r="E172" s="13" t="s">
        <v>136</v>
      </c>
      <c r="F172" s="13" t="s">
        <v>44</v>
      </c>
      <c r="G172" s="13" t="s">
        <v>45</v>
      </c>
      <c r="H172" s="65">
        <v>43472</v>
      </c>
      <c r="I172" s="21">
        <f t="shared" ca="1" si="97"/>
        <v>45974</v>
      </c>
      <c r="J172" s="13" t="str">
        <f t="shared" ca="1" si="77"/>
        <v xml:space="preserve">6 Tahun 10 Bulan 6 Hari </v>
      </c>
      <c r="K172" s="13">
        <f t="shared" ca="1" si="98"/>
        <v>3602880</v>
      </c>
      <c r="L172" s="13">
        <v>305</v>
      </c>
      <c r="M172" s="13">
        <v>6</v>
      </c>
      <c r="N172" s="13">
        <v>2074</v>
      </c>
      <c r="O172" s="22">
        <f t="shared" si="78"/>
        <v>345.66666666666669</v>
      </c>
      <c r="P172" s="13">
        <v>341</v>
      </c>
      <c r="Q172" s="23">
        <f t="shared" si="79"/>
        <v>0.8</v>
      </c>
      <c r="R172" s="24">
        <f t="shared" si="80"/>
        <v>4</v>
      </c>
      <c r="S172" s="25">
        <f t="shared" si="99"/>
        <v>0.98649951783992285</v>
      </c>
      <c r="T172" s="25">
        <f t="shared" si="81"/>
        <v>0.19729990356798457</v>
      </c>
      <c r="U172" s="26">
        <v>8722.9628262937586</v>
      </c>
      <c r="V172" s="26">
        <v>3.4722222222222222E-5</v>
      </c>
      <c r="W172" s="26">
        <v>0</v>
      </c>
      <c r="X172" s="27">
        <f t="shared" si="103"/>
        <v>0</v>
      </c>
      <c r="Y172" s="27">
        <f t="shared" si="107"/>
        <v>1</v>
      </c>
      <c r="Z172" s="27">
        <f t="shared" si="106"/>
        <v>0</v>
      </c>
      <c r="AA172" s="23">
        <f t="shared" si="102"/>
        <v>0.4</v>
      </c>
      <c r="AB172" s="24">
        <f t="shared" si="104"/>
        <v>1</v>
      </c>
      <c r="AC172" s="28">
        <f t="shared" si="84"/>
        <v>0.33333333333333331</v>
      </c>
      <c r="AD172" s="29">
        <f t="shared" si="85"/>
        <v>8.3333333333333329E-2</v>
      </c>
      <c r="AE172" s="30">
        <v>2.9399143767423336E-2</v>
      </c>
      <c r="AF172" s="23">
        <f t="shared" si="86"/>
        <v>1.25</v>
      </c>
      <c r="AG172" s="24">
        <f t="shared" si="105"/>
        <v>5</v>
      </c>
      <c r="AH172" s="28">
        <f t="shared" si="88"/>
        <v>1</v>
      </c>
      <c r="AI172" s="29">
        <f t="shared" si="89"/>
        <v>0.25</v>
      </c>
      <c r="AJ172" s="31">
        <v>1</v>
      </c>
      <c r="AK172" s="31">
        <v>1</v>
      </c>
      <c r="AL172" s="31">
        <v>1</v>
      </c>
      <c r="AM172" s="31">
        <v>0</v>
      </c>
      <c r="AN172" s="31">
        <v>0</v>
      </c>
      <c r="AO172" s="31">
        <v>0</v>
      </c>
      <c r="AP172" s="31">
        <v>0</v>
      </c>
      <c r="AQ172" s="31">
        <v>0</v>
      </c>
      <c r="AR172" s="23">
        <f t="shared" si="90"/>
        <v>0.6</v>
      </c>
      <c r="AS172" s="24">
        <f t="shared" si="91"/>
        <v>3</v>
      </c>
      <c r="AT172" s="28">
        <f t="shared" si="92"/>
        <v>0.375</v>
      </c>
      <c r="AU172" s="28">
        <f t="shared" si="93"/>
        <v>5.6249999999999994E-2</v>
      </c>
      <c r="AV172" s="32">
        <v>75</v>
      </c>
      <c r="AW172" s="32">
        <v>75</v>
      </c>
      <c r="AX172" s="32">
        <v>85</v>
      </c>
      <c r="AY172" s="32">
        <v>85</v>
      </c>
      <c r="AZ172" s="32">
        <v>80</v>
      </c>
      <c r="BA172" s="32">
        <v>100</v>
      </c>
      <c r="BB172" s="23">
        <f t="shared" ca="1" si="94"/>
        <v>0.8</v>
      </c>
      <c r="BC172" s="33">
        <f t="shared" si="100"/>
        <v>83.333333333333329</v>
      </c>
      <c r="BD172" s="28">
        <f t="shared" si="95"/>
        <v>0.94</v>
      </c>
      <c r="BE172" s="28">
        <f t="shared" si="96"/>
        <v>0.188</v>
      </c>
      <c r="BF172" s="34">
        <f ca="1">Q172+AA172+AF172+AR172+BB172</f>
        <v>3.8500000000000005</v>
      </c>
      <c r="BG172" s="34">
        <f>AVERAGE(AV172:AZ172)</f>
        <v>80</v>
      </c>
      <c r="BH172" s="35">
        <f>T172+AD172+AI172+AU172+BE172</f>
        <v>0.77488323690131788</v>
      </c>
      <c r="BI172" s="36" t="str">
        <f ca="1">IF(K172&lt;365,"New CE",(IF(BH172&gt;=100%,"Promote",IF(BH172&gt;=90%,"Sangat Baik",IF(BH172&gt;=80%,"Baik",IF(BH172&gt;=70%,"Lebih Dari Cukup",IF(BH172&gt;=60%,"Cukup","Kurang")))))))</f>
        <v>Lebih Dari Cukup</v>
      </c>
      <c r="BJ172" s="36" t="s">
        <v>860</v>
      </c>
      <c r="BK172" s="58" t="s">
        <v>42</v>
      </c>
      <c r="BL172" s="59" t="e">
        <v>#N/A</v>
      </c>
    </row>
    <row r="173" spans="1:64" x14ac:dyDescent="0.35">
      <c r="A173" s="19">
        <v>169</v>
      </c>
      <c r="B173" s="13" t="s">
        <v>455</v>
      </c>
      <c r="C173" s="20" t="s">
        <v>456</v>
      </c>
      <c r="D173" s="76" t="s">
        <v>48</v>
      </c>
      <c r="E173" s="13" t="s">
        <v>457</v>
      </c>
      <c r="F173" s="13" t="s">
        <v>44</v>
      </c>
      <c r="G173" s="13" t="s">
        <v>45</v>
      </c>
      <c r="H173" s="65">
        <v>43514</v>
      </c>
      <c r="I173" s="21">
        <f t="shared" ca="1" si="97"/>
        <v>45974</v>
      </c>
      <c r="J173" s="13" t="str">
        <f t="shared" ca="1" si="77"/>
        <v xml:space="preserve">6 Tahun 8 Bulan 26 Hari </v>
      </c>
      <c r="K173" s="13">
        <f t="shared" ca="1" si="98"/>
        <v>3542400</v>
      </c>
      <c r="L173" s="13">
        <v>211</v>
      </c>
      <c r="M173" s="13">
        <v>4</v>
      </c>
      <c r="N173" s="13">
        <v>1615</v>
      </c>
      <c r="O173" s="22">
        <f t="shared" si="78"/>
        <v>403.75</v>
      </c>
      <c r="P173" s="13">
        <v>383</v>
      </c>
      <c r="Q173" s="23">
        <f t="shared" si="79"/>
        <v>0.8</v>
      </c>
      <c r="R173" s="24">
        <f t="shared" si="80"/>
        <v>4</v>
      </c>
      <c r="S173" s="25">
        <f t="shared" si="99"/>
        <v>0.94860681114551082</v>
      </c>
      <c r="T173" s="25">
        <f t="shared" si="81"/>
        <v>0.18972136222910219</v>
      </c>
      <c r="U173" s="26">
        <v>11522.717124087118</v>
      </c>
      <c r="V173" s="26">
        <v>1.9621362433862432E-2</v>
      </c>
      <c r="W173" s="26">
        <v>0</v>
      </c>
      <c r="X173" s="27">
        <f t="shared" si="103"/>
        <v>0</v>
      </c>
      <c r="Y173" s="27">
        <f t="shared" si="107"/>
        <v>1</v>
      </c>
      <c r="Z173" s="27">
        <f t="shared" si="106"/>
        <v>0</v>
      </c>
      <c r="AA173" s="23">
        <f t="shared" si="102"/>
        <v>0.4</v>
      </c>
      <c r="AB173" s="24">
        <f t="shared" si="104"/>
        <v>1</v>
      </c>
      <c r="AC173" s="28">
        <f t="shared" si="84"/>
        <v>0.33333333333333331</v>
      </c>
      <c r="AD173" s="29">
        <f t="shared" si="85"/>
        <v>8.3333333333333329E-2</v>
      </c>
      <c r="AE173" s="30">
        <v>8.0167096867039017E-2</v>
      </c>
      <c r="AF173" s="23">
        <f t="shared" si="86"/>
        <v>1</v>
      </c>
      <c r="AG173" s="24">
        <f t="shared" si="105"/>
        <v>4</v>
      </c>
      <c r="AH173" s="28">
        <f t="shared" si="88"/>
        <v>0.8</v>
      </c>
      <c r="AI173" s="29">
        <f t="shared" si="89"/>
        <v>0.2</v>
      </c>
      <c r="AJ173" s="31">
        <v>1</v>
      </c>
      <c r="AK173" s="31">
        <v>1</v>
      </c>
      <c r="AL173" s="31">
        <v>1</v>
      </c>
      <c r="AM173" s="31">
        <v>1</v>
      </c>
      <c r="AN173" s="31">
        <v>0</v>
      </c>
      <c r="AO173" s="31">
        <v>1</v>
      </c>
      <c r="AP173" s="31">
        <v>0</v>
      </c>
      <c r="AQ173" s="31">
        <v>1</v>
      </c>
      <c r="AR173" s="23">
        <f t="shared" si="90"/>
        <v>1</v>
      </c>
      <c r="AS173" s="24">
        <f t="shared" si="91"/>
        <v>6</v>
      </c>
      <c r="AT173" s="28">
        <f t="shared" si="92"/>
        <v>0.75</v>
      </c>
      <c r="AU173" s="28">
        <f t="shared" si="93"/>
        <v>0.11249999999999999</v>
      </c>
      <c r="AV173" s="32">
        <v>75</v>
      </c>
      <c r="AW173" s="32">
        <v>75</v>
      </c>
      <c r="AX173" s="32">
        <v>80</v>
      </c>
      <c r="AY173" s="32">
        <v>80</v>
      </c>
      <c r="AZ173" s="32">
        <v>75</v>
      </c>
      <c r="BA173" s="32">
        <v>100</v>
      </c>
      <c r="BB173" s="23">
        <f t="shared" ca="1" si="94"/>
        <v>0.8</v>
      </c>
      <c r="BC173" s="33">
        <f t="shared" si="100"/>
        <v>80.833333333333329</v>
      </c>
      <c r="BD173" s="28">
        <f t="shared" si="95"/>
        <v>0.93814432989690721</v>
      </c>
      <c r="BE173" s="28">
        <f t="shared" si="96"/>
        <v>0.18762886597938144</v>
      </c>
      <c r="BF173" s="34">
        <f ca="1">Q173+AA173+AF173+AR173+BB173</f>
        <v>4</v>
      </c>
      <c r="BG173" s="34">
        <f>AVERAGE(AV173:AZ173)</f>
        <v>77</v>
      </c>
      <c r="BH173" s="35">
        <f>T173+AD173+AI173+AU173+BE173</f>
        <v>0.773183561541817</v>
      </c>
      <c r="BI173" s="36" t="str">
        <f ca="1">IF(K173&lt;365,"New CE",(IF(BH173&gt;=100%,"Promote",IF(BH173&gt;=90%,"Sangat Baik",IF(BH173&gt;=80%,"Baik",IF(BH173&gt;=70%,"Lebih Dari Cukup",IF(BH173&gt;=60%,"Cukup","Kurang")))))))</f>
        <v>Lebih Dari Cukup</v>
      </c>
      <c r="BJ173" s="36" t="s">
        <v>860</v>
      </c>
      <c r="BK173" s="58" t="s">
        <v>48</v>
      </c>
      <c r="BL173" s="59" t="e">
        <v>#N/A</v>
      </c>
    </row>
    <row r="174" spans="1:64" x14ac:dyDescent="0.35">
      <c r="A174" s="19">
        <v>170</v>
      </c>
      <c r="B174" s="13" t="s">
        <v>458</v>
      </c>
      <c r="C174" s="20" t="s">
        <v>459</v>
      </c>
      <c r="D174" s="76" t="s">
        <v>54</v>
      </c>
      <c r="E174" s="13" t="s">
        <v>244</v>
      </c>
      <c r="F174" s="13" t="s">
        <v>74</v>
      </c>
      <c r="G174" s="13" t="s">
        <v>45</v>
      </c>
      <c r="H174" s="65">
        <v>45173</v>
      </c>
      <c r="I174" s="21">
        <f t="shared" ca="1" si="97"/>
        <v>45974</v>
      </c>
      <c r="J174" s="13" t="str">
        <f t="shared" ca="1" si="77"/>
        <v xml:space="preserve">2 Tahun 2 Bulan 9 Hari </v>
      </c>
      <c r="K174" s="13">
        <f t="shared" ca="1" si="98"/>
        <v>1153440</v>
      </c>
      <c r="L174" s="13">
        <v>134</v>
      </c>
      <c r="M174" s="13">
        <v>3</v>
      </c>
      <c r="N174" s="13">
        <v>1306</v>
      </c>
      <c r="O174" s="22">
        <f t="shared" si="78"/>
        <v>435.33333333333331</v>
      </c>
      <c r="P174" s="13">
        <v>354</v>
      </c>
      <c r="Q174" s="23">
        <f t="shared" si="79"/>
        <v>0.8</v>
      </c>
      <c r="R174" s="24">
        <f t="shared" si="80"/>
        <v>4</v>
      </c>
      <c r="S174" s="25">
        <f t="shared" si="99"/>
        <v>0.81316998468606438</v>
      </c>
      <c r="T174" s="25">
        <f t="shared" si="81"/>
        <v>0.16263399693721289</v>
      </c>
      <c r="U174" s="26">
        <v>1847.8135017830334</v>
      </c>
      <c r="V174" s="26">
        <v>5.7523148148148151E-3</v>
      </c>
      <c r="W174" s="26">
        <v>2392.268583089668</v>
      </c>
      <c r="X174" s="27">
        <f t="shared" si="103"/>
        <v>0</v>
      </c>
      <c r="Y174" s="27">
        <f t="shared" si="107"/>
        <v>1</v>
      </c>
      <c r="Z174" s="27">
        <f t="shared" si="106"/>
        <v>1</v>
      </c>
      <c r="AA174" s="23">
        <f t="shared" si="102"/>
        <v>0.8</v>
      </c>
      <c r="AB174" s="24">
        <f t="shared" si="104"/>
        <v>2</v>
      </c>
      <c r="AC174" s="28">
        <f t="shared" si="84"/>
        <v>0.66666666666666663</v>
      </c>
      <c r="AD174" s="29">
        <f t="shared" si="85"/>
        <v>0.16666666666666666</v>
      </c>
      <c r="AE174" s="30">
        <v>4.946970181530215E-2</v>
      </c>
      <c r="AF174" s="23">
        <f t="shared" si="86"/>
        <v>1</v>
      </c>
      <c r="AG174" s="24">
        <f t="shared" si="105"/>
        <v>4</v>
      </c>
      <c r="AH174" s="28">
        <f t="shared" si="88"/>
        <v>0.8</v>
      </c>
      <c r="AI174" s="29">
        <f t="shared" si="89"/>
        <v>0.2</v>
      </c>
      <c r="AJ174" s="31">
        <v>1</v>
      </c>
      <c r="AK174" s="31">
        <v>1</v>
      </c>
      <c r="AL174" s="31">
        <v>1</v>
      </c>
      <c r="AM174" s="31">
        <v>0</v>
      </c>
      <c r="AN174" s="31">
        <v>0</v>
      </c>
      <c r="AO174" s="31">
        <v>0</v>
      </c>
      <c r="AP174" s="31">
        <v>0</v>
      </c>
      <c r="AQ174" s="31">
        <v>0</v>
      </c>
      <c r="AR174" s="23">
        <f t="shared" si="90"/>
        <v>0.6</v>
      </c>
      <c r="AS174" s="24">
        <f t="shared" si="91"/>
        <v>3</v>
      </c>
      <c r="AT174" s="28">
        <f t="shared" si="92"/>
        <v>0.375</v>
      </c>
      <c r="AU174" s="28">
        <f t="shared" si="93"/>
        <v>5.6249999999999994E-2</v>
      </c>
      <c r="AV174" s="32">
        <v>75</v>
      </c>
      <c r="AW174" s="32">
        <v>75</v>
      </c>
      <c r="AX174" s="32">
        <v>75</v>
      </c>
      <c r="AY174" s="32">
        <v>70</v>
      </c>
      <c r="AZ174" s="32">
        <v>75</v>
      </c>
      <c r="BA174" s="32">
        <v>100</v>
      </c>
      <c r="BB174" s="23">
        <f t="shared" ca="1" si="94"/>
        <v>0.8</v>
      </c>
      <c r="BC174" s="33">
        <f t="shared" si="100"/>
        <v>78.333333333333329</v>
      </c>
      <c r="BD174" s="28">
        <f t="shared" si="95"/>
        <v>0.93617021276595747</v>
      </c>
      <c r="BE174" s="28">
        <f t="shared" si="96"/>
        <v>0.18723404255319151</v>
      </c>
      <c r="BF174" s="34">
        <f ca="1">Q174+AA174+AF174+AR174+BB174</f>
        <v>4</v>
      </c>
      <c r="BG174" s="34">
        <f>AVERAGE(AV174:AZ174)</f>
        <v>74</v>
      </c>
      <c r="BH174" s="35">
        <f>T174+AD174+AI174+AU174+BE174</f>
        <v>0.77278470615707107</v>
      </c>
      <c r="BI174" s="36" t="str">
        <f ca="1">IF(K174&lt;365,"New CE",(IF(BH174&gt;=100%,"Promote",IF(BH174&gt;=90%,"Sangat Baik",IF(BH174&gt;=80%,"Baik",IF(BH174&gt;=70%,"Lebih Dari Cukup",IF(BH174&gt;=60%,"Cukup","Kurang")))))))</f>
        <v>Lebih Dari Cukup</v>
      </c>
      <c r="BJ174" s="36" t="s">
        <v>860</v>
      </c>
      <c r="BK174" s="58" t="s">
        <v>54</v>
      </c>
      <c r="BL174" s="59" t="str">
        <v>Faldy Agung Nugraha Koleba</v>
      </c>
    </row>
    <row r="175" spans="1:64" x14ac:dyDescent="0.35">
      <c r="A175" s="19">
        <v>171</v>
      </c>
      <c r="B175" s="13" t="s">
        <v>460</v>
      </c>
      <c r="C175" s="20" t="s">
        <v>461</v>
      </c>
      <c r="D175" s="76" t="s">
        <v>54</v>
      </c>
      <c r="E175" s="13" t="s">
        <v>462</v>
      </c>
      <c r="F175" s="13" t="s">
        <v>44</v>
      </c>
      <c r="G175" s="13" t="s">
        <v>45</v>
      </c>
      <c r="H175" s="65">
        <v>45173</v>
      </c>
      <c r="I175" s="21">
        <f t="shared" ca="1" si="97"/>
        <v>45974</v>
      </c>
      <c r="J175" s="13" t="str">
        <f t="shared" ca="1" si="77"/>
        <v xml:space="preserve">2 Tahun 2 Bulan 9 Hari </v>
      </c>
      <c r="K175" s="13">
        <f t="shared" ca="1" si="98"/>
        <v>1153440</v>
      </c>
      <c r="L175" s="13">
        <v>104</v>
      </c>
      <c r="M175" s="13">
        <v>2</v>
      </c>
      <c r="N175" s="13">
        <v>763</v>
      </c>
      <c r="O175" s="22">
        <f t="shared" si="78"/>
        <v>381.5</v>
      </c>
      <c r="P175" s="13">
        <v>397</v>
      </c>
      <c r="Q175" s="23">
        <f t="shared" si="79"/>
        <v>1</v>
      </c>
      <c r="R175" s="24">
        <f t="shared" si="80"/>
        <v>5</v>
      </c>
      <c r="S175" s="25">
        <f t="shared" si="99"/>
        <v>1.0406290956749673</v>
      </c>
      <c r="T175" s="25">
        <f t="shared" si="81"/>
        <v>0.20812581913499348</v>
      </c>
      <c r="U175" s="26">
        <v>573.38581868260655</v>
      </c>
      <c r="V175" s="26">
        <v>2.3958333333333331E-3</v>
      </c>
      <c r="W175" s="26">
        <v>0</v>
      </c>
      <c r="X175" s="27">
        <f t="shared" si="103"/>
        <v>0</v>
      </c>
      <c r="Y175" s="27">
        <f t="shared" si="107"/>
        <v>1</v>
      </c>
      <c r="Z175" s="27">
        <f t="shared" si="106"/>
        <v>0</v>
      </c>
      <c r="AA175" s="23">
        <f t="shared" si="102"/>
        <v>0.4</v>
      </c>
      <c r="AB175" s="24">
        <f t="shared" si="104"/>
        <v>1</v>
      </c>
      <c r="AC175" s="28">
        <f t="shared" si="84"/>
        <v>0.33333333333333331</v>
      </c>
      <c r="AD175" s="29">
        <f t="shared" si="85"/>
        <v>8.3333333333333329E-2</v>
      </c>
      <c r="AE175" s="30">
        <v>7.9499274720311291E-2</v>
      </c>
      <c r="AF175" s="23">
        <f t="shared" si="86"/>
        <v>1</v>
      </c>
      <c r="AG175" s="24">
        <f t="shared" si="105"/>
        <v>4</v>
      </c>
      <c r="AH175" s="28">
        <f t="shared" si="88"/>
        <v>0.8</v>
      </c>
      <c r="AI175" s="29">
        <f t="shared" si="89"/>
        <v>0.2</v>
      </c>
      <c r="AJ175" s="31">
        <v>1</v>
      </c>
      <c r="AK175" s="31">
        <v>1</v>
      </c>
      <c r="AL175" s="31">
        <v>1</v>
      </c>
      <c r="AM175" s="31">
        <v>0</v>
      </c>
      <c r="AN175" s="31">
        <v>1</v>
      </c>
      <c r="AO175" s="31">
        <v>0</v>
      </c>
      <c r="AP175" s="31">
        <v>0</v>
      </c>
      <c r="AQ175" s="31">
        <v>1</v>
      </c>
      <c r="AR175" s="23">
        <f t="shared" si="90"/>
        <v>1</v>
      </c>
      <c r="AS175" s="24">
        <f t="shared" si="91"/>
        <v>5</v>
      </c>
      <c r="AT175" s="28">
        <f t="shared" si="92"/>
        <v>0.625</v>
      </c>
      <c r="AU175" s="28">
        <f t="shared" si="93"/>
        <v>9.375E-2</v>
      </c>
      <c r="AV175" s="32">
        <v>75</v>
      </c>
      <c r="AW175" s="32">
        <v>75</v>
      </c>
      <c r="AX175" s="32">
        <v>80</v>
      </c>
      <c r="AY175" s="32">
        <v>80</v>
      </c>
      <c r="AZ175" s="32">
        <v>80</v>
      </c>
      <c r="BA175" s="32">
        <v>100</v>
      </c>
      <c r="BB175" s="23">
        <f t="shared" ca="1" si="94"/>
        <v>0.8</v>
      </c>
      <c r="BC175" s="33">
        <f t="shared" si="100"/>
        <v>81.666666666666671</v>
      </c>
      <c r="BD175" s="28">
        <f t="shared" si="95"/>
        <v>0.93877551020408168</v>
      </c>
      <c r="BE175" s="28">
        <f t="shared" si="96"/>
        <v>0.18775510204081636</v>
      </c>
      <c r="BF175" s="34">
        <f ca="1">Q175+AA175+AF175+AR175+BB175</f>
        <v>4.2</v>
      </c>
      <c r="BG175" s="34">
        <f>AVERAGE(AV175:AZ175)</f>
        <v>78</v>
      </c>
      <c r="BH175" s="35">
        <f>T175+AD175+AI175+AU175+BE175</f>
        <v>0.77296425450914319</v>
      </c>
      <c r="BI175" s="36" t="str">
        <f ca="1">IF(K175&lt;365,"New CE",(IF(BH175&gt;=100%,"Promote",IF(BH175&gt;=90%,"Sangat Baik",IF(BH175&gt;=80%,"Baik",IF(BH175&gt;=70%,"Lebih Dari Cukup",IF(BH175&gt;=60%,"Cukup","Kurang")))))))</f>
        <v>Lebih Dari Cukup</v>
      </c>
      <c r="BJ175" s="36" t="s">
        <v>860</v>
      </c>
      <c r="BK175" s="58" t="s">
        <v>54</v>
      </c>
      <c r="BL175" s="59" t="e">
        <v>#N/A</v>
      </c>
    </row>
    <row r="176" spans="1:64" x14ac:dyDescent="0.35">
      <c r="A176" s="19">
        <v>172</v>
      </c>
      <c r="B176" s="13" t="s">
        <v>463</v>
      </c>
      <c r="C176" s="20" t="s">
        <v>464</v>
      </c>
      <c r="D176" s="76" t="s">
        <v>42</v>
      </c>
      <c r="E176" s="13" t="s">
        <v>43</v>
      </c>
      <c r="F176" s="13" t="s">
        <v>44</v>
      </c>
      <c r="G176" s="13" t="s">
        <v>45</v>
      </c>
      <c r="H176" s="65">
        <v>43418</v>
      </c>
      <c r="I176" s="21">
        <f t="shared" ca="1" si="97"/>
        <v>45974</v>
      </c>
      <c r="J176" s="13" t="str">
        <f t="shared" ca="1" si="77"/>
        <v xml:space="preserve">6 Tahun 11 Bulan 30 Hari </v>
      </c>
      <c r="K176" s="13">
        <f t="shared" ca="1" si="98"/>
        <v>3680640</v>
      </c>
      <c r="L176" s="13">
        <v>1384</v>
      </c>
      <c r="M176" s="13">
        <v>22</v>
      </c>
      <c r="N176" s="13">
        <v>6775</v>
      </c>
      <c r="O176" s="22">
        <f t="shared" si="78"/>
        <v>307.95454545454544</v>
      </c>
      <c r="P176" s="13">
        <v>400</v>
      </c>
      <c r="Q176" s="23">
        <f t="shared" si="79"/>
        <v>1</v>
      </c>
      <c r="R176" s="24">
        <f t="shared" si="80"/>
        <v>5</v>
      </c>
      <c r="S176" s="25">
        <f t="shared" si="99"/>
        <v>1.2988929889298895</v>
      </c>
      <c r="T176" s="25">
        <f t="shared" si="81"/>
        <v>0.25977859778597789</v>
      </c>
      <c r="U176" s="26">
        <v>19013.912489289662</v>
      </c>
      <c r="V176" s="26">
        <v>22713.537748842595</v>
      </c>
      <c r="W176" s="26">
        <v>0</v>
      </c>
      <c r="X176" s="27">
        <f t="shared" si="103"/>
        <v>0</v>
      </c>
      <c r="Y176" s="27">
        <f t="shared" si="107"/>
        <v>0</v>
      </c>
      <c r="Z176" s="27">
        <f t="shared" si="106"/>
        <v>0</v>
      </c>
      <c r="AA176" s="23">
        <f>IF(AB176=3, 1.75, IF(AB176=2, 1, IF(AB176=1, 0.75, IF(AB176=0, 0, 0))))</f>
        <v>0</v>
      </c>
      <c r="AB176" s="24">
        <f t="shared" si="104"/>
        <v>0</v>
      </c>
      <c r="AC176" s="28">
        <f t="shared" si="84"/>
        <v>0</v>
      </c>
      <c r="AD176" s="29">
        <f t="shared" si="85"/>
        <v>0</v>
      </c>
      <c r="AE176" s="30">
        <v>3.0413244225408198E-2</v>
      </c>
      <c r="AF176" s="23">
        <f t="shared" si="86"/>
        <v>1.25</v>
      </c>
      <c r="AG176" s="24">
        <f t="shared" si="105"/>
        <v>5</v>
      </c>
      <c r="AH176" s="28">
        <f t="shared" si="88"/>
        <v>1</v>
      </c>
      <c r="AI176" s="29">
        <f t="shared" si="89"/>
        <v>0.25</v>
      </c>
      <c r="AJ176" s="31">
        <v>1</v>
      </c>
      <c r="AK176" s="31">
        <v>1</v>
      </c>
      <c r="AL176" s="31">
        <v>1</v>
      </c>
      <c r="AM176" s="31">
        <v>1</v>
      </c>
      <c r="AN176" s="31">
        <v>0</v>
      </c>
      <c r="AO176" s="31">
        <v>0</v>
      </c>
      <c r="AP176" s="31">
        <v>0</v>
      </c>
      <c r="AQ176" s="31">
        <v>0</v>
      </c>
      <c r="AR176" s="23">
        <f t="shared" si="90"/>
        <v>0.8</v>
      </c>
      <c r="AS176" s="24">
        <f t="shared" si="91"/>
        <v>4</v>
      </c>
      <c r="AT176" s="28">
        <f t="shared" si="92"/>
        <v>0.5</v>
      </c>
      <c r="AU176" s="28">
        <f t="shared" si="93"/>
        <v>7.4999999999999997E-2</v>
      </c>
      <c r="AV176" s="32">
        <v>75</v>
      </c>
      <c r="AW176" s="32">
        <v>75</v>
      </c>
      <c r="AX176" s="32">
        <v>80</v>
      </c>
      <c r="AY176" s="32">
        <v>85</v>
      </c>
      <c r="AZ176" s="32">
        <v>80</v>
      </c>
      <c r="BA176" s="32">
        <v>100</v>
      </c>
      <c r="BB176" s="23">
        <f t="shared" ca="1" si="94"/>
        <v>0.8</v>
      </c>
      <c r="BC176" s="33">
        <f t="shared" si="100"/>
        <v>82.5</v>
      </c>
      <c r="BD176" s="28">
        <f t="shared" si="95"/>
        <v>0.93939393939393945</v>
      </c>
      <c r="BE176" s="28">
        <f t="shared" si="96"/>
        <v>0.1878787878787879</v>
      </c>
      <c r="BF176" s="34">
        <f ca="1">Q176+AA176+AF176+AR176+BB176</f>
        <v>3.8499999999999996</v>
      </c>
      <c r="BG176" s="34">
        <f>AVERAGE(AV176:AZ176)</f>
        <v>79</v>
      </c>
      <c r="BH176" s="35">
        <f>T176+AD176+AI176+AU176+BE176</f>
        <v>0.77265738566476572</v>
      </c>
      <c r="BI176" s="36" t="str">
        <f ca="1">IF(K176&lt;365,"New CE",(IF(BH176&gt;=100%,"Promote",IF(BH176&gt;=90%,"Sangat Baik",IF(BH176&gt;=80%,"Baik",IF(BH176&gt;=70%,"Lebih Dari Cukup",IF(BH176&gt;=60%,"Cukup","Kurang")))))))</f>
        <v>Lebih Dari Cukup</v>
      </c>
      <c r="BJ176" s="36" t="s">
        <v>860</v>
      </c>
      <c r="BK176" s="58" t="s">
        <v>42</v>
      </c>
      <c r="BL176" s="59" t="e">
        <v>#N/A</v>
      </c>
    </row>
    <row r="177" spans="1:65" x14ac:dyDescent="0.35">
      <c r="A177" s="19">
        <v>173</v>
      </c>
      <c r="B177" s="13" t="s">
        <v>465</v>
      </c>
      <c r="C177" s="20" t="s">
        <v>466</v>
      </c>
      <c r="D177" s="76" t="s">
        <v>54</v>
      </c>
      <c r="E177" s="13" t="s">
        <v>114</v>
      </c>
      <c r="F177" s="13" t="s">
        <v>74</v>
      </c>
      <c r="G177" s="13" t="s">
        <v>61</v>
      </c>
      <c r="H177" s="65">
        <v>45131</v>
      </c>
      <c r="I177" s="21">
        <f t="shared" ca="1" si="97"/>
        <v>45974</v>
      </c>
      <c r="J177" s="13" t="str">
        <f t="shared" ca="1" si="77"/>
        <v xml:space="preserve">2 Tahun 3 Bulan 20 Hari </v>
      </c>
      <c r="K177" s="13">
        <f t="shared" ca="1" si="98"/>
        <v>1213920</v>
      </c>
      <c r="L177" s="13">
        <v>211</v>
      </c>
      <c r="M177" s="13">
        <v>4</v>
      </c>
      <c r="N177" s="13">
        <v>1415</v>
      </c>
      <c r="O177" s="22">
        <f t="shared" si="78"/>
        <v>353.75</v>
      </c>
      <c r="P177" s="13">
        <v>319</v>
      </c>
      <c r="Q177" s="23">
        <f t="shared" si="79"/>
        <v>0.8</v>
      </c>
      <c r="R177" s="24">
        <f t="shared" si="80"/>
        <v>4</v>
      </c>
      <c r="S177" s="25">
        <f t="shared" si="99"/>
        <v>0.90176678445229685</v>
      </c>
      <c r="T177" s="25">
        <f t="shared" si="81"/>
        <v>0.18035335689045939</v>
      </c>
      <c r="U177" s="26">
        <v>1469.465880002987</v>
      </c>
      <c r="V177" s="26">
        <v>0.10223611111111111</v>
      </c>
      <c r="W177" s="26">
        <v>8.1082175925925926E-2</v>
      </c>
      <c r="X177" s="27">
        <f t="shared" si="103"/>
        <v>0</v>
      </c>
      <c r="Y177" s="27">
        <f t="shared" si="107"/>
        <v>1</v>
      </c>
      <c r="Z177" s="27">
        <f t="shared" si="106"/>
        <v>1</v>
      </c>
      <c r="AA177" s="23">
        <f t="shared" ref="AA177:AA208" si="108">IF(AB177=3, 1.25, IF(AB177=2, 0.8, IF(AB177=1, 0.4, IF(AB177=0, 0, 0))))</f>
        <v>0.8</v>
      </c>
      <c r="AB177" s="24">
        <f t="shared" si="104"/>
        <v>2</v>
      </c>
      <c r="AC177" s="28">
        <f t="shared" si="84"/>
        <v>0.66666666666666663</v>
      </c>
      <c r="AD177" s="29">
        <f t="shared" si="85"/>
        <v>0.16666666666666666</v>
      </c>
      <c r="AE177" s="30">
        <v>5.6915822723765427E-2</v>
      </c>
      <c r="AF177" s="23">
        <f t="shared" si="86"/>
        <v>1</v>
      </c>
      <c r="AG177" s="24">
        <f t="shared" si="105"/>
        <v>4</v>
      </c>
      <c r="AH177" s="28">
        <f t="shared" si="88"/>
        <v>0.8</v>
      </c>
      <c r="AI177" s="29">
        <f t="shared" si="89"/>
        <v>0.2</v>
      </c>
      <c r="AJ177" s="31">
        <v>1</v>
      </c>
      <c r="AK177" s="31">
        <v>1</v>
      </c>
      <c r="AL177" s="31">
        <v>0</v>
      </c>
      <c r="AM177" s="31">
        <v>0</v>
      </c>
      <c r="AN177" s="31">
        <v>0</v>
      </c>
      <c r="AO177" s="31">
        <v>0</v>
      </c>
      <c r="AP177" s="31">
        <v>0</v>
      </c>
      <c r="AQ177" s="31">
        <v>0</v>
      </c>
      <c r="AR177" s="23">
        <f t="shared" si="90"/>
        <v>0.4</v>
      </c>
      <c r="AS177" s="24">
        <f t="shared" si="91"/>
        <v>2</v>
      </c>
      <c r="AT177" s="28">
        <f t="shared" si="92"/>
        <v>0.25</v>
      </c>
      <c r="AU177" s="28">
        <f t="shared" si="93"/>
        <v>3.7499999999999999E-2</v>
      </c>
      <c r="AV177" s="32">
        <v>75</v>
      </c>
      <c r="AW177" s="32">
        <v>75</v>
      </c>
      <c r="AX177" s="32">
        <v>80</v>
      </c>
      <c r="AY177" s="32">
        <v>80</v>
      </c>
      <c r="AZ177" s="32">
        <v>80</v>
      </c>
      <c r="BA177" s="32">
        <v>100</v>
      </c>
      <c r="BB177" s="23">
        <f t="shared" ca="1" si="94"/>
        <v>0.8</v>
      </c>
      <c r="BC177" s="33">
        <f t="shared" si="100"/>
        <v>81.666666666666671</v>
      </c>
      <c r="BD177" s="28">
        <f t="shared" si="95"/>
        <v>0.93877551020408168</v>
      </c>
      <c r="BE177" s="28">
        <f t="shared" si="96"/>
        <v>0.18775510204081636</v>
      </c>
      <c r="BF177" s="34">
        <f ca="1">Q177+AA177+AF177+AR177+BB177</f>
        <v>3.8</v>
      </c>
      <c r="BG177" s="34">
        <f>AVERAGE(AV177:AZ177)</f>
        <v>78</v>
      </c>
      <c r="BH177" s="35">
        <f>T177+AD177+AI177+AU177+BE177</f>
        <v>0.77227512559794242</v>
      </c>
      <c r="BI177" s="36" t="str">
        <f ca="1">IF(K177&lt;365,"New CE",(IF(BH177&gt;=100%,"Promote",IF(BH177&gt;=90%,"Sangat Baik",IF(BH177&gt;=80%,"Baik",IF(BH177&gt;=70%,"Lebih Dari Cukup",IF(BH177&gt;=60%,"Cukup","Kurang")))))))</f>
        <v>Lebih Dari Cukup</v>
      </c>
      <c r="BJ177" s="36" t="s">
        <v>860</v>
      </c>
      <c r="BK177" s="58" t="s">
        <v>54</v>
      </c>
      <c r="BL177" s="59" t="str">
        <v>Afri Yunaldo</v>
      </c>
    </row>
    <row r="178" spans="1:65" x14ac:dyDescent="0.35">
      <c r="A178" s="19">
        <v>174</v>
      </c>
      <c r="B178" s="13" t="s">
        <v>467</v>
      </c>
      <c r="C178" s="20" t="s">
        <v>468</v>
      </c>
      <c r="D178" s="76" t="s">
        <v>42</v>
      </c>
      <c r="E178" s="13" t="s">
        <v>252</v>
      </c>
      <c r="F178" s="13" t="s">
        <v>44</v>
      </c>
      <c r="G178" s="13" t="s">
        <v>45</v>
      </c>
      <c r="H178" s="65">
        <v>43640</v>
      </c>
      <c r="I178" s="21">
        <f t="shared" ca="1" si="97"/>
        <v>45974</v>
      </c>
      <c r="J178" s="13" t="str">
        <f t="shared" ca="1" si="77"/>
        <v xml:space="preserve">6 Tahun 4 Bulan 20 Hari </v>
      </c>
      <c r="K178" s="13">
        <f t="shared" ca="1" si="98"/>
        <v>3360960</v>
      </c>
      <c r="L178" s="13">
        <v>313</v>
      </c>
      <c r="M178" s="13">
        <v>6</v>
      </c>
      <c r="N178" s="13">
        <v>2164</v>
      </c>
      <c r="O178" s="22">
        <f t="shared" si="78"/>
        <v>360.66666666666669</v>
      </c>
      <c r="P178" s="13">
        <v>385</v>
      </c>
      <c r="Q178" s="23">
        <f t="shared" si="79"/>
        <v>1</v>
      </c>
      <c r="R178" s="24">
        <f t="shared" si="80"/>
        <v>5</v>
      </c>
      <c r="S178" s="25">
        <f t="shared" si="99"/>
        <v>1.0674676524953788</v>
      </c>
      <c r="T178" s="25">
        <f t="shared" si="81"/>
        <v>0.21349353049907577</v>
      </c>
      <c r="U178" s="26">
        <v>25449.86130138889</v>
      </c>
      <c r="V178" s="26">
        <v>45513.856918981481</v>
      </c>
      <c r="W178" s="26">
        <v>7.4317129629629636E-2</v>
      </c>
      <c r="X178" s="27">
        <f t="shared" si="103"/>
        <v>0</v>
      </c>
      <c r="Y178" s="27">
        <f t="shared" si="107"/>
        <v>0</v>
      </c>
      <c r="Z178" s="27">
        <f t="shared" si="106"/>
        <v>1</v>
      </c>
      <c r="AA178" s="23">
        <f t="shared" si="108"/>
        <v>0.4</v>
      </c>
      <c r="AB178" s="24">
        <f t="shared" si="104"/>
        <v>1</v>
      </c>
      <c r="AC178" s="28">
        <f t="shared" si="84"/>
        <v>0.33333333333333331</v>
      </c>
      <c r="AD178" s="29">
        <f t="shared" si="85"/>
        <v>8.3333333333333329E-2</v>
      </c>
      <c r="AE178" s="30">
        <v>2.0999768518518518E-2</v>
      </c>
      <c r="AF178" s="23">
        <f t="shared" si="86"/>
        <v>1.25</v>
      </c>
      <c r="AG178" s="24">
        <f t="shared" si="105"/>
        <v>5</v>
      </c>
      <c r="AH178" s="28">
        <f t="shared" si="88"/>
        <v>1</v>
      </c>
      <c r="AI178" s="29">
        <f t="shared" si="89"/>
        <v>0.25</v>
      </c>
      <c r="AJ178" s="31">
        <v>1</v>
      </c>
      <c r="AK178" s="31">
        <v>1</v>
      </c>
      <c r="AL178" s="31">
        <v>0</v>
      </c>
      <c r="AM178" s="31">
        <v>0</v>
      </c>
      <c r="AN178" s="31">
        <v>0</v>
      </c>
      <c r="AO178" s="31">
        <v>0</v>
      </c>
      <c r="AP178" s="31">
        <v>0</v>
      </c>
      <c r="AQ178" s="31">
        <v>0</v>
      </c>
      <c r="AR178" s="23">
        <f t="shared" si="90"/>
        <v>0.4</v>
      </c>
      <c r="AS178" s="24">
        <f t="shared" si="91"/>
        <v>2</v>
      </c>
      <c r="AT178" s="28">
        <f t="shared" si="92"/>
        <v>0.25</v>
      </c>
      <c r="AU178" s="28">
        <f t="shared" si="93"/>
        <v>3.7499999999999999E-2</v>
      </c>
      <c r="AV178" s="32">
        <v>75</v>
      </c>
      <c r="AW178" s="32">
        <v>75</v>
      </c>
      <c r="AX178" s="32">
        <v>90</v>
      </c>
      <c r="AY178" s="32">
        <v>80</v>
      </c>
      <c r="AZ178" s="32">
        <v>85</v>
      </c>
      <c r="BA178" s="32">
        <v>100</v>
      </c>
      <c r="BB178" s="23">
        <f t="shared" ca="1" si="94"/>
        <v>0.8</v>
      </c>
      <c r="BC178" s="33">
        <f t="shared" si="100"/>
        <v>84.166666666666671</v>
      </c>
      <c r="BD178" s="28">
        <f t="shared" si="95"/>
        <v>0.94059405940594054</v>
      </c>
      <c r="BE178" s="28">
        <f t="shared" si="96"/>
        <v>0.18811881188118812</v>
      </c>
      <c r="BF178" s="34">
        <f ca="1">Q178+AA178+AF178+AR178+BB178</f>
        <v>3.8499999999999996</v>
      </c>
      <c r="BG178" s="34">
        <f>AVERAGE(AV178:AZ178)</f>
        <v>81</v>
      </c>
      <c r="BH178" s="35">
        <f>T178+AD178+AI178+AU178+BE178</f>
        <v>0.77244567571359712</v>
      </c>
      <c r="BI178" s="36" t="str">
        <f ca="1">IF(K178&lt;365,"New CE",(IF(BH178&gt;=100%,"Promote",IF(BH178&gt;=90%,"Sangat Baik",IF(BH178&gt;=80%,"Baik",IF(BH178&gt;=70%,"Lebih Dari Cukup",IF(BH178&gt;=60%,"Cukup","Kurang")))))))</f>
        <v>Lebih Dari Cukup</v>
      </c>
      <c r="BJ178" s="36" t="s">
        <v>860</v>
      </c>
      <c r="BK178" s="58" t="s">
        <v>42</v>
      </c>
      <c r="BL178" s="59" t="e">
        <v>#N/A</v>
      </c>
    </row>
    <row r="179" spans="1:65" x14ac:dyDescent="0.35">
      <c r="A179" s="19">
        <v>175</v>
      </c>
      <c r="B179" s="13" t="s">
        <v>469</v>
      </c>
      <c r="C179" s="20" t="s">
        <v>470</v>
      </c>
      <c r="D179" s="76" t="s">
        <v>42</v>
      </c>
      <c r="E179" s="13" t="s">
        <v>133</v>
      </c>
      <c r="F179" s="13" t="s">
        <v>50</v>
      </c>
      <c r="G179" s="13" t="s">
        <v>45</v>
      </c>
      <c r="H179" s="65">
        <v>42751</v>
      </c>
      <c r="I179" s="21">
        <f t="shared" ca="1" si="97"/>
        <v>45974</v>
      </c>
      <c r="J179" s="13" t="str">
        <f t="shared" ca="1" si="77"/>
        <v xml:space="preserve">8 Tahun 9 Bulan 28 Hari </v>
      </c>
      <c r="K179" s="13">
        <f t="shared" ca="1" si="98"/>
        <v>4641120</v>
      </c>
      <c r="L179" s="13">
        <v>760</v>
      </c>
      <c r="M179" s="13">
        <v>13</v>
      </c>
      <c r="N179" s="13">
        <v>5863</v>
      </c>
      <c r="O179" s="22">
        <f t="shared" si="78"/>
        <v>451</v>
      </c>
      <c r="P179" s="13">
        <v>396</v>
      </c>
      <c r="Q179" s="23">
        <f t="shared" si="79"/>
        <v>0.8</v>
      </c>
      <c r="R179" s="24">
        <f t="shared" si="80"/>
        <v>4</v>
      </c>
      <c r="S179" s="25">
        <f t="shared" si="99"/>
        <v>0.87804878048780488</v>
      </c>
      <c r="T179" s="25">
        <f t="shared" si="81"/>
        <v>0.17560975609756099</v>
      </c>
      <c r="U179" s="26">
        <v>9861.3342026991595</v>
      </c>
      <c r="V179" s="26">
        <v>1.9942129629629629E-2</v>
      </c>
      <c r="W179" s="26">
        <v>0</v>
      </c>
      <c r="X179" s="27">
        <f t="shared" si="103"/>
        <v>0</v>
      </c>
      <c r="Y179" s="27">
        <f t="shared" si="107"/>
        <v>1</v>
      </c>
      <c r="Z179" s="27">
        <f t="shared" si="106"/>
        <v>0</v>
      </c>
      <c r="AA179" s="23">
        <f t="shared" si="108"/>
        <v>0.4</v>
      </c>
      <c r="AB179" s="24">
        <f t="shared" si="104"/>
        <v>1</v>
      </c>
      <c r="AC179" s="28">
        <f t="shared" si="84"/>
        <v>0.33333333333333331</v>
      </c>
      <c r="AD179" s="29">
        <f t="shared" si="85"/>
        <v>8.3333333333333329E-2</v>
      </c>
      <c r="AE179" s="30">
        <v>2.9598054108796304E-2</v>
      </c>
      <c r="AF179" s="23">
        <f t="shared" si="86"/>
        <v>1.25</v>
      </c>
      <c r="AG179" s="24">
        <f t="shared" si="105"/>
        <v>5</v>
      </c>
      <c r="AH179" s="28">
        <f t="shared" si="88"/>
        <v>1</v>
      </c>
      <c r="AI179" s="29">
        <f t="shared" si="89"/>
        <v>0.25</v>
      </c>
      <c r="AJ179" s="31">
        <v>1</v>
      </c>
      <c r="AK179" s="31">
        <v>1</v>
      </c>
      <c r="AL179" s="31">
        <v>1</v>
      </c>
      <c r="AM179" s="31">
        <v>0</v>
      </c>
      <c r="AN179" s="31">
        <v>0</v>
      </c>
      <c r="AO179" s="31">
        <v>0</v>
      </c>
      <c r="AP179" s="31">
        <v>1</v>
      </c>
      <c r="AQ179" s="31">
        <v>0</v>
      </c>
      <c r="AR179" s="23">
        <f t="shared" si="90"/>
        <v>0.8</v>
      </c>
      <c r="AS179" s="24">
        <f t="shared" si="91"/>
        <v>4</v>
      </c>
      <c r="AT179" s="28">
        <f t="shared" si="92"/>
        <v>0.5</v>
      </c>
      <c r="AU179" s="28">
        <f t="shared" si="93"/>
        <v>7.4999999999999997E-2</v>
      </c>
      <c r="AV179" s="32">
        <v>75</v>
      </c>
      <c r="AW179" s="32">
        <v>75</v>
      </c>
      <c r="AX179" s="32">
        <v>90</v>
      </c>
      <c r="AY179" s="32">
        <v>90</v>
      </c>
      <c r="AZ179" s="32">
        <v>90</v>
      </c>
      <c r="BA179" s="32">
        <v>100</v>
      </c>
      <c r="BB179" s="23">
        <f t="shared" ca="1" si="94"/>
        <v>0.8</v>
      </c>
      <c r="BC179" s="33">
        <f t="shared" si="100"/>
        <v>86.666666666666671</v>
      </c>
      <c r="BD179" s="28">
        <f t="shared" si="95"/>
        <v>0.94230769230769229</v>
      </c>
      <c r="BE179" s="28">
        <f t="shared" si="96"/>
        <v>0.18846153846153846</v>
      </c>
      <c r="BF179" s="34">
        <f ca="1">Q179+AA179+AF179+AR179+BB179</f>
        <v>4.05</v>
      </c>
      <c r="BG179" s="34">
        <f>AVERAGE(AV179:AZ179)</f>
        <v>84</v>
      </c>
      <c r="BH179" s="35">
        <f>T179+AD179+AI179+AU179+BE179</f>
        <v>0.7724046278924328</v>
      </c>
      <c r="BI179" s="36" t="str">
        <f ca="1">IF(K179&lt;365,"New CE",(IF(BH179&gt;=100%,"Promote",IF(BH179&gt;=90%,"Sangat Baik",IF(BH179&gt;=80%,"Baik",IF(BH179&gt;=70%,"Lebih Dari Cukup",IF(BH179&gt;=60%,"Cukup","Kurang")))))))</f>
        <v>Lebih Dari Cukup</v>
      </c>
      <c r="BJ179" s="36" t="s">
        <v>860</v>
      </c>
      <c r="BK179" s="58" t="s">
        <v>42</v>
      </c>
      <c r="BL179" s="59" t="e">
        <v>#N/A</v>
      </c>
    </row>
    <row r="180" spans="1:65" x14ac:dyDescent="0.35">
      <c r="A180" s="19">
        <v>176</v>
      </c>
      <c r="B180" s="13" t="s">
        <v>471</v>
      </c>
      <c r="C180" s="20" t="s">
        <v>472</v>
      </c>
      <c r="D180" s="76" t="s">
        <v>48</v>
      </c>
      <c r="E180" s="13" t="s">
        <v>161</v>
      </c>
      <c r="F180" s="13" t="s">
        <v>74</v>
      </c>
      <c r="G180" s="13" t="s">
        <v>55</v>
      </c>
      <c r="H180" s="65">
        <v>44172</v>
      </c>
      <c r="I180" s="21">
        <f t="shared" ca="1" si="97"/>
        <v>45974</v>
      </c>
      <c r="J180" s="13" t="str">
        <f t="shared" ca="1" si="77"/>
        <v xml:space="preserve">4 Tahun 11 Bulan 6 Hari </v>
      </c>
      <c r="K180" s="13">
        <f t="shared" ca="1" si="98"/>
        <v>2594880</v>
      </c>
      <c r="L180" s="13">
        <v>126</v>
      </c>
      <c r="M180" s="13">
        <v>3</v>
      </c>
      <c r="N180" s="13">
        <v>985</v>
      </c>
      <c r="O180" s="22">
        <f t="shared" si="78"/>
        <v>328.33333333333331</v>
      </c>
      <c r="P180" s="13">
        <v>366</v>
      </c>
      <c r="Q180" s="23">
        <f t="shared" si="79"/>
        <v>1</v>
      </c>
      <c r="R180" s="24">
        <f t="shared" si="80"/>
        <v>5</v>
      </c>
      <c r="S180" s="25">
        <f t="shared" si="99"/>
        <v>1.1147208121827412</v>
      </c>
      <c r="T180" s="25">
        <f t="shared" si="81"/>
        <v>0.22294416243654824</v>
      </c>
      <c r="U180" s="26">
        <v>10750.761878045807</v>
      </c>
      <c r="V180" s="26">
        <v>12614.620859696503</v>
      </c>
      <c r="W180" s="26">
        <v>0.15629074074074073</v>
      </c>
      <c r="X180" s="27">
        <f t="shared" si="103"/>
        <v>0</v>
      </c>
      <c r="Y180" s="27">
        <f t="shared" si="107"/>
        <v>0</v>
      </c>
      <c r="Z180" s="27">
        <f t="shared" si="106"/>
        <v>1</v>
      </c>
      <c r="AA180" s="23">
        <f t="shared" si="108"/>
        <v>0.4</v>
      </c>
      <c r="AB180" s="24">
        <f t="shared" si="104"/>
        <v>1</v>
      </c>
      <c r="AC180" s="28">
        <f t="shared" si="84"/>
        <v>0.33333333333333331</v>
      </c>
      <c r="AD180" s="29">
        <f t="shared" si="85"/>
        <v>8.3333333333333329E-2</v>
      </c>
      <c r="AE180" s="30">
        <v>6.9143518518518507E-2</v>
      </c>
      <c r="AF180" s="23">
        <f t="shared" si="86"/>
        <v>1</v>
      </c>
      <c r="AG180" s="24">
        <f t="shared" si="105"/>
        <v>4</v>
      </c>
      <c r="AH180" s="28">
        <f t="shared" si="88"/>
        <v>0.8</v>
      </c>
      <c r="AI180" s="29">
        <f t="shared" si="89"/>
        <v>0.2</v>
      </c>
      <c r="AJ180" s="31">
        <v>1</v>
      </c>
      <c r="AK180" s="31">
        <v>1</v>
      </c>
      <c r="AL180" s="31">
        <v>1</v>
      </c>
      <c r="AM180" s="31">
        <v>0</v>
      </c>
      <c r="AN180" s="31">
        <v>0</v>
      </c>
      <c r="AO180" s="31">
        <v>1</v>
      </c>
      <c r="AP180" s="31">
        <v>0</v>
      </c>
      <c r="AQ180" s="31">
        <v>0</v>
      </c>
      <c r="AR180" s="23">
        <f t="shared" si="90"/>
        <v>0.8</v>
      </c>
      <c r="AS180" s="24">
        <f t="shared" si="91"/>
        <v>4</v>
      </c>
      <c r="AT180" s="28">
        <f t="shared" si="92"/>
        <v>0.5</v>
      </c>
      <c r="AU180" s="28">
        <f t="shared" si="93"/>
        <v>7.4999999999999997E-2</v>
      </c>
      <c r="AV180" s="32">
        <v>75</v>
      </c>
      <c r="AW180" s="32">
        <v>75</v>
      </c>
      <c r="AX180" s="32">
        <v>85</v>
      </c>
      <c r="AY180" s="32">
        <v>80</v>
      </c>
      <c r="AZ180" s="32">
        <v>80</v>
      </c>
      <c r="BA180" s="32">
        <v>100</v>
      </c>
      <c r="BB180" s="23">
        <f t="shared" ca="1" si="94"/>
        <v>0.8</v>
      </c>
      <c r="BC180" s="33">
        <f t="shared" si="100"/>
        <v>82.5</v>
      </c>
      <c r="BD180" s="28">
        <f t="shared" si="95"/>
        <v>0.93939393939393945</v>
      </c>
      <c r="BE180" s="28">
        <f t="shared" si="96"/>
        <v>0.1878787878787879</v>
      </c>
      <c r="BF180" s="34">
        <f ca="1">Q180+AA180+AF180+AR180+BB180</f>
        <v>4</v>
      </c>
      <c r="BG180" s="34">
        <f>AVERAGE(AV180:AZ180)</f>
        <v>79</v>
      </c>
      <c r="BH180" s="35">
        <f>T180+AD180+AI180+AU180+BE180</f>
        <v>0.76915628364866939</v>
      </c>
      <c r="BI180" s="36" t="str">
        <f ca="1">IF(K180&lt;365,"New CE",(IF(BH180&gt;=100%,"Promote",IF(BH180&gt;=90%,"Sangat Baik",IF(BH180&gt;=80%,"Baik",IF(BH180&gt;=70%,"Lebih Dari Cukup",IF(BH180&gt;=60%,"Cukup","Kurang")))))))</f>
        <v>Lebih Dari Cukup</v>
      </c>
      <c r="BJ180" s="36" t="s">
        <v>860</v>
      </c>
      <c r="BK180" s="58" t="s">
        <v>48</v>
      </c>
      <c r="BL180" s="59" t="str">
        <v>Yogi Duta Hartas</v>
      </c>
    </row>
    <row r="181" spans="1:65" x14ac:dyDescent="0.35">
      <c r="A181" s="19">
        <v>177</v>
      </c>
      <c r="B181" s="13" t="s">
        <v>473</v>
      </c>
      <c r="C181" s="20" t="s">
        <v>474</v>
      </c>
      <c r="D181" s="76" t="s">
        <v>48</v>
      </c>
      <c r="E181" s="13" t="s">
        <v>475</v>
      </c>
      <c r="F181" s="13" t="s">
        <v>74</v>
      </c>
      <c r="G181" s="13" t="s">
        <v>55</v>
      </c>
      <c r="H181" s="65">
        <v>44837</v>
      </c>
      <c r="I181" s="21">
        <f t="shared" ca="1" si="97"/>
        <v>45974</v>
      </c>
      <c r="J181" s="13" t="str">
        <f t="shared" ca="1" si="77"/>
        <v xml:space="preserve">3 Tahun 1 Bulan 10 Hari </v>
      </c>
      <c r="K181" s="13">
        <f t="shared" ca="1" si="98"/>
        <v>1637280</v>
      </c>
      <c r="L181" s="13">
        <v>62</v>
      </c>
      <c r="M181" s="13">
        <v>1</v>
      </c>
      <c r="N181" s="13">
        <v>381</v>
      </c>
      <c r="O181" s="22">
        <f t="shared" si="78"/>
        <v>381</v>
      </c>
      <c r="P181" s="13">
        <v>364</v>
      </c>
      <c r="Q181" s="23">
        <f t="shared" si="79"/>
        <v>0.8</v>
      </c>
      <c r="R181" s="24">
        <f t="shared" si="80"/>
        <v>4</v>
      </c>
      <c r="S181" s="25">
        <f t="shared" si="99"/>
        <v>0.95538057742782156</v>
      </c>
      <c r="T181" s="25">
        <f t="shared" si="81"/>
        <v>0.19107611548556433</v>
      </c>
      <c r="U181" s="26">
        <v>7580.9047014853386</v>
      </c>
      <c r="V181" s="26">
        <v>0</v>
      </c>
      <c r="W181" s="26">
        <v>4862.5290257109791</v>
      </c>
      <c r="X181" s="27">
        <f t="shared" si="103"/>
        <v>0</v>
      </c>
      <c r="Y181" s="27">
        <f t="shared" si="107"/>
        <v>0</v>
      </c>
      <c r="Z181" s="27">
        <f t="shared" si="106"/>
        <v>1</v>
      </c>
      <c r="AA181" s="23">
        <f t="shared" si="108"/>
        <v>0.4</v>
      </c>
      <c r="AB181" s="24">
        <f t="shared" si="104"/>
        <v>1</v>
      </c>
      <c r="AC181" s="28">
        <f t="shared" si="84"/>
        <v>0.33333333333333331</v>
      </c>
      <c r="AD181" s="29">
        <f t="shared" si="85"/>
        <v>8.3333333333333329E-2</v>
      </c>
      <c r="AE181" s="30">
        <v>4.102071986201887E-2</v>
      </c>
      <c r="AF181" s="23">
        <f t="shared" si="86"/>
        <v>1.25</v>
      </c>
      <c r="AG181" s="24">
        <f t="shared" si="105"/>
        <v>5</v>
      </c>
      <c r="AH181" s="28">
        <f t="shared" si="88"/>
        <v>1</v>
      </c>
      <c r="AI181" s="29">
        <f t="shared" si="89"/>
        <v>0.25</v>
      </c>
      <c r="AJ181" s="31">
        <v>1</v>
      </c>
      <c r="AK181" s="31">
        <v>1</v>
      </c>
      <c r="AL181" s="31">
        <v>0</v>
      </c>
      <c r="AM181" s="31">
        <v>0</v>
      </c>
      <c r="AN181" s="31">
        <v>0</v>
      </c>
      <c r="AO181" s="31">
        <v>0</v>
      </c>
      <c r="AP181" s="31">
        <v>0</v>
      </c>
      <c r="AQ181" s="31">
        <v>1</v>
      </c>
      <c r="AR181" s="23">
        <f t="shared" si="90"/>
        <v>0.6</v>
      </c>
      <c r="AS181" s="24">
        <f t="shared" si="91"/>
        <v>3</v>
      </c>
      <c r="AT181" s="28">
        <f t="shared" si="92"/>
        <v>0.375</v>
      </c>
      <c r="AU181" s="28">
        <f t="shared" si="93"/>
        <v>5.6249999999999994E-2</v>
      </c>
      <c r="AV181" s="32">
        <v>75</v>
      </c>
      <c r="AW181" s="32">
        <v>75</v>
      </c>
      <c r="AX181" s="32">
        <v>75</v>
      </c>
      <c r="AY181" s="32">
        <v>85</v>
      </c>
      <c r="AZ181" s="32">
        <v>80</v>
      </c>
      <c r="BA181" s="32">
        <v>100</v>
      </c>
      <c r="BB181" s="23">
        <f t="shared" ca="1" si="94"/>
        <v>0.8</v>
      </c>
      <c r="BC181" s="33">
        <f t="shared" si="100"/>
        <v>81.666666666666671</v>
      </c>
      <c r="BD181" s="28">
        <f t="shared" si="95"/>
        <v>0.93877551020408168</v>
      </c>
      <c r="BE181" s="28">
        <f t="shared" si="96"/>
        <v>0.18775510204081636</v>
      </c>
      <c r="BF181" s="34">
        <f ca="1">Q181+AA181+AF181+AR181+BB181</f>
        <v>3.8500000000000005</v>
      </c>
      <c r="BG181" s="34">
        <f>AVERAGE(AV181:AZ181)</f>
        <v>78</v>
      </c>
      <c r="BH181" s="35">
        <f>T181+AD181+AI181+AU181+BE181</f>
        <v>0.76841455085971411</v>
      </c>
      <c r="BI181" s="36" t="str">
        <f ca="1">IF(K181&lt;365,"New CE",(IF(BH181&gt;=100%,"Promote",IF(BH181&gt;=90%,"Sangat Baik",IF(BH181&gt;=80%,"Baik",IF(BH181&gt;=70%,"Lebih Dari Cukup",IF(BH181&gt;=60%,"Cukup","Kurang")))))))</f>
        <v>Lebih Dari Cukup</v>
      </c>
      <c r="BJ181" s="36" t="s">
        <v>860</v>
      </c>
      <c r="BK181" s="58" t="s">
        <v>48</v>
      </c>
      <c r="BL181" s="59" t="str">
        <v>Achmad Angga Pradana</v>
      </c>
    </row>
    <row r="182" spans="1:65" x14ac:dyDescent="0.35">
      <c r="A182" s="19">
        <v>178</v>
      </c>
      <c r="B182" s="13" t="s">
        <v>476</v>
      </c>
      <c r="C182" s="20" t="s">
        <v>477</v>
      </c>
      <c r="D182" s="76" t="s">
        <v>54</v>
      </c>
      <c r="E182" s="13" t="s">
        <v>187</v>
      </c>
      <c r="F182" s="13" t="s">
        <v>74</v>
      </c>
      <c r="G182" s="13" t="s">
        <v>55</v>
      </c>
      <c r="H182" s="65">
        <v>44837</v>
      </c>
      <c r="I182" s="21">
        <f t="shared" ca="1" si="97"/>
        <v>45974</v>
      </c>
      <c r="J182" s="13" t="str">
        <f t="shared" ca="1" si="77"/>
        <v xml:space="preserve">3 Tahun 1 Bulan 10 Hari </v>
      </c>
      <c r="K182" s="13">
        <f t="shared" ca="1" si="98"/>
        <v>1637280</v>
      </c>
      <c r="L182" s="13">
        <v>684</v>
      </c>
      <c r="M182" s="13">
        <v>10</v>
      </c>
      <c r="N182" s="13">
        <v>4972</v>
      </c>
      <c r="O182" s="22">
        <f t="shared" si="78"/>
        <v>497.2</v>
      </c>
      <c r="P182" s="13">
        <v>437</v>
      </c>
      <c r="Q182" s="23">
        <f t="shared" si="79"/>
        <v>0.8</v>
      </c>
      <c r="R182" s="24">
        <f t="shared" si="80"/>
        <v>4</v>
      </c>
      <c r="S182" s="25">
        <f t="shared" si="99"/>
        <v>0.87892196299275949</v>
      </c>
      <c r="T182" s="25">
        <f t="shared" si="81"/>
        <v>0.17578439259855191</v>
      </c>
      <c r="U182" s="26">
        <v>1011.8510045010289</v>
      </c>
      <c r="V182" s="26">
        <v>1.4178240740740742E-4</v>
      </c>
      <c r="W182" s="26">
        <v>3.4722222222222222E-5</v>
      </c>
      <c r="X182" s="27">
        <f t="shared" si="103"/>
        <v>0</v>
      </c>
      <c r="Y182" s="27">
        <f t="shared" si="107"/>
        <v>1</v>
      </c>
      <c r="Z182" s="27">
        <f t="shared" si="106"/>
        <v>1</v>
      </c>
      <c r="AA182" s="23">
        <f t="shared" si="108"/>
        <v>0.8</v>
      </c>
      <c r="AB182" s="24">
        <f t="shared" si="104"/>
        <v>2</v>
      </c>
      <c r="AC182" s="28">
        <f t="shared" si="84"/>
        <v>0.66666666666666663</v>
      </c>
      <c r="AD182" s="29">
        <f t="shared" si="85"/>
        <v>0.16666666666666666</v>
      </c>
      <c r="AE182" s="30">
        <v>8.2332404361598444E-2</v>
      </c>
      <c r="AF182" s="23">
        <f t="shared" si="86"/>
        <v>1</v>
      </c>
      <c r="AG182" s="24">
        <f t="shared" si="105"/>
        <v>4</v>
      </c>
      <c r="AH182" s="28">
        <f t="shared" si="88"/>
        <v>0.8</v>
      </c>
      <c r="AI182" s="29">
        <f t="shared" si="89"/>
        <v>0.2</v>
      </c>
      <c r="AJ182" s="31">
        <v>1</v>
      </c>
      <c r="AK182" s="31">
        <v>1</v>
      </c>
      <c r="AL182" s="31">
        <v>0</v>
      </c>
      <c r="AM182" s="31">
        <v>0</v>
      </c>
      <c r="AN182" s="31">
        <v>0</v>
      </c>
      <c r="AO182" s="31">
        <v>0</v>
      </c>
      <c r="AP182" s="31">
        <v>0</v>
      </c>
      <c r="AQ182" s="31">
        <v>0</v>
      </c>
      <c r="AR182" s="23">
        <f t="shared" si="90"/>
        <v>0.4</v>
      </c>
      <c r="AS182" s="24">
        <f t="shared" si="91"/>
        <v>2</v>
      </c>
      <c r="AT182" s="28">
        <f t="shared" si="92"/>
        <v>0.25</v>
      </c>
      <c r="AU182" s="28">
        <f t="shared" si="93"/>
        <v>3.7499999999999999E-2</v>
      </c>
      <c r="AV182" s="32">
        <v>75</v>
      </c>
      <c r="AW182" s="32">
        <v>75</v>
      </c>
      <c r="AX182" s="32">
        <v>80</v>
      </c>
      <c r="AY182" s="32">
        <v>80</v>
      </c>
      <c r="AZ182" s="32">
        <v>80</v>
      </c>
      <c r="BA182" s="32">
        <v>100</v>
      </c>
      <c r="BB182" s="23">
        <f t="shared" ca="1" si="94"/>
        <v>0.8</v>
      </c>
      <c r="BC182" s="33">
        <f t="shared" si="100"/>
        <v>81.666666666666671</v>
      </c>
      <c r="BD182" s="28">
        <f t="shared" si="95"/>
        <v>0.93877551020408168</v>
      </c>
      <c r="BE182" s="28">
        <f t="shared" si="96"/>
        <v>0.18775510204081636</v>
      </c>
      <c r="BF182" s="34">
        <f ca="1">Q182+AA182+AF182+AR182+BB182</f>
        <v>3.8</v>
      </c>
      <c r="BG182" s="34">
        <f>AVERAGE(AV182:AZ182)</f>
        <v>78</v>
      </c>
      <c r="BH182" s="35">
        <f>T182+AD182+AI182+AU182+BE182</f>
        <v>0.76770616130603486</v>
      </c>
      <c r="BI182" s="36" t="str">
        <f ca="1">IF(K182&lt;365,"New CE",(IF(BH182&gt;=100%,"Promote",IF(BH182&gt;=90%,"Sangat Baik",IF(BH182&gt;=80%,"Baik",IF(BH182&gt;=70%,"Lebih Dari Cukup",IF(BH182&gt;=60%,"Cukup","Kurang")))))))</f>
        <v>Lebih Dari Cukup</v>
      </c>
      <c r="BJ182" s="36" t="s">
        <v>860</v>
      </c>
      <c r="BK182" s="58" t="s">
        <v>54</v>
      </c>
      <c r="BL182" s="59" t="str">
        <v>Ridho Dwi Prakoso</v>
      </c>
    </row>
    <row r="183" spans="1:65" x14ac:dyDescent="0.35">
      <c r="A183" s="19">
        <v>179</v>
      </c>
      <c r="B183" s="13" t="s">
        <v>478</v>
      </c>
      <c r="C183" s="20" t="s">
        <v>479</v>
      </c>
      <c r="D183" s="76" t="s">
        <v>54</v>
      </c>
      <c r="E183" s="13" t="s">
        <v>480</v>
      </c>
      <c r="F183" s="13" t="s">
        <v>74</v>
      </c>
      <c r="G183" s="13" t="s">
        <v>45</v>
      </c>
      <c r="H183" s="65">
        <v>45292</v>
      </c>
      <c r="I183" s="21">
        <f t="shared" ca="1" si="97"/>
        <v>45974</v>
      </c>
      <c r="J183" s="13" t="str">
        <f t="shared" ca="1" si="77"/>
        <v xml:space="preserve">1 Tahun 10 Bulan 12 Hari </v>
      </c>
      <c r="K183" s="13">
        <f t="shared" ca="1" si="98"/>
        <v>982080</v>
      </c>
      <c r="L183" s="13">
        <v>54</v>
      </c>
      <c r="M183" s="13">
        <v>2</v>
      </c>
      <c r="N183" s="13">
        <v>546</v>
      </c>
      <c r="O183" s="22">
        <f t="shared" si="78"/>
        <v>273</v>
      </c>
      <c r="P183" s="13">
        <v>214</v>
      </c>
      <c r="Q183" s="23">
        <f t="shared" si="79"/>
        <v>0.6</v>
      </c>
      <c r="R183" s="24">
        <f t="shared" si="80"/>
        <v>3</v>
      </c>
      <c r="S183" s="25">
        <f t="shared" si="99"/>
        <v>0.78388278388278387</v>
      </c>
      <c r="T183" s="25">
        <f t="shared" si="81"/>
        <v>0.15677655677655677</v>
      </c>
      <c r="U183" s="26">
        <v>1567.7149189814813</v>
      </c>
      <c r="V183" s="26">
        <v>0.10212962962962963</v>
      </c>
      <c r="W183" s="26">
        <v>8.3492063492063506E-2</v>
      </c>
      <c r="X183" s="27">
        <f t="shared" si="103"/>
        <v>0</v>
      </c>
      <c r="Y183" s="27">
        <f t="shared" si="107"/>
        <v>1</v>
      </c>
      <c r="Z183" s="27">
        <f t="shared" si="106"/>
        <v>1</v>
      </c>
      <c r="AA183" s="23">
        <f t="shared" si="108"/>
        <v>0.8</v>
      </c>
      <c r="AB183" s="24">
        <f t="shared" si="104"/>
        <v>2</v>
      </c>
      <c r="AC183" s="28">
        <f t="shared" si="84"/>
        <v>0.66666666666666663</v>
      </c>
      <c r="AD183" s="29">
        <f t="shared" si="85"/>
        <v>0.16666666666666666</v>
      </c>
      <c r="AE183" s="30">
        <v>5.2100476886661098E-2</v>
      </c>
      <c r="AF183" s="23">
        <f t="shared" si="86"/>
        <v>1</v>
      </c>
      <c r="AG183" s="24">
        <f t="shared" si="105"/>
        <v>4</v>
      </c>
      <c r="AH183" s="28">
        <f t="shared" si="88"/>
        <v>0.8</v>
      </c>
      <c r="AI183" s="29">
        <f t="shared" si="89"/>
        <v>0.2</v>
      </c>
      <c r="AJ183" s="31">
        <v>1</v>
      </c>
      <c r="AK183" s="31">
        <v>1</v>
      </c>
      <c r="AL183" s="31">
        <v>0</v>
      </c>
      <c r="AM183" s="31">
        <v>0</v>
      </c>
      <c r="AN183" s="31">
        <v>0</v>
      </c>
      <c r="AO183" s="31">
        <v>0</v>
      </c>
      <c r="AP183" s="31">
        <v>0</v>
      </c>
      <c r="AQ183" s="31">
        <v>1</v>
      </c>
      <c r="AR183" s="23">
        <f t="shared" si="90"/>
        <v>0.6</v>
      </c>
      <c r="AS183" s="24">
        <f t="shared" si="91"/>
        <v>3</v>
      </c>
      <c r="AT183" s="28">
        <f t="shared" si="92"/>
        <v>0.375</v>
      </c>
      <c r="AU183" s="28">
        <f t="shared" si="93"/>
        <v>5.6249999999999994E-2</v>
      </c>
      <c r="AV183" s="32">
        <v>75</v>
      </c>
      <c r="AW183" s="32">
        <v>75</v>
      </c>
      <c r="AX183" s="32">
        <v>75</v>
      </c>
      <c r="AY183" s="32">
        <v>85</v>
      </c>
      <c r="AZ183" s="32">
        <v>85</v>
      </c>
      <c r="BA183" s="32">
        <v>100</v>
      </c>
      <c r="BB183" s="23">
        <f t="shared" ca="1" si="94"/>
        <v>0.8</v>
      </c>
      <c r="BC183" s="33">
        <f t="shared" si="100"/>
        <v>82.5</v>
      </c>
      <c r="BD183" s="28">
        <f t="shared" si="95"/>
        <v>0.93939393939393945</v>
      </c>
      <c r="BE183" s="28">
        <f t="shared" si="96"/>
        <v>0.1878787878787879</v>
      </c>
      <c r="BF183" s="34">
        <f ca="1">Q183+AA183+AF183+AR183+BB183</f>
        <v>3.8</v>
      </c>
      <c r="BG183" s="34">
        <f>AVERAGE(AV183:AZ183)</f>
        <v>79</v>
      </c>
      <c r="BH183" s="35">
        <f>T183+AD183+AI183+AU183+BE183</f>
        <v>0.76757201132201125</v>
      </c>
      <c r="BI183" s="36" t="str">
        <f ca="1">IF(K183&lt;365,"New CE",(IF(BH183&gt;=100%,"Promote",IF(BH183&gt;=90%,"Sangat Baik",IF(BH183&gt;=80%,"Baik",IF(BH183&gt;=70%,"Lebih Dari Cukup",IF(BH183&gt;=60%,"Cukup","Kurang")))))))</f>
        <v>Lebih Dari Cukup</v>
      </c>
      <c r="BJ183" s="36" t="s">
        <v>860</v>
      </c>
      <c r="BK183" s="58" t="s">
        <v>54</v>
      </c>
      <c r="BL183" s="59" t="str">
        <v>Azkoni Gumlaya</v>
      </c>
    </row>
    <row r="184" spans="1:65" x14ac:dyDescent="0.35">
      <c r="A184" s="19">
        <v>180</v>
      </c>
      <c r="B184" s="13" t="s">
        <v>481</v>
      </c>
      <c r="C184" s="20" t="s">
        <v>482</v>
      </c>
      <c r="D184" s="76" t="s">
        <v>48</v>
      </c>
      <c r="E184" s="13" t="s">
        <v>64</v>
      </c>
      <c r="F184" s="13" t="s">
        <v>44</v>
      </c>
      <c r="G184" s="13" t="s">
        <v>45</v>
      </c>
      <c r="H184" s="65">
        <v>44291</v>
      </c>
      <c r="I184" s="21">
        <f t="shared" ca="1" si="97"/>
        <v>45974</v>
      </c>
      <c r="J184" s="13" t="str">
        <f t="shared" ca="1" si="77"/>
        <v xml:space="preserve">4 Tahun 7 Bulan 8 Hari </v>
      </c>
      <c r="K184" s="13">
        <f t="shared" ca="1" si="98"/>
        <v>2423520</v>
      </c>
      <c r="L184" s="13">
        <v>313</v>
      </c>
      <c r="M184" s="13">
        <v>6</v>
      </c>
      <c r="N184" s="13">
        <v>2164</v>
      </c>
      <c r="O184" s="22">
        <f t="shared" si="78"/>
        <v>360.66666666666669</v>
      </c>
      <c r="P184" s="13">
        <v>307</v>
      </c>
      <c r="Q184" s="23">
        <f t="shared" si="79"/>
        <v>0.8</v>
      </c>
      <c r="R184" s="24">
        <f t="shared" si="80"/>
        <v>4</v>
      </c>
      <c r="S184" s="25">
        <f t="shared" si="99"/>
        <v>0.8512014787430684</v>
      </c>
      <c r="T184" s="25">
        <f t="shared" si="81"/>
        <v>0.17024029574861368</v>
      </c>
      <c r="U184" s="26">
        <v>8035.0083626089308</v>
      </c>
      <c r="V184" s="26">
        <v>6.7743055555555556E-2</v>
      </c>
      <c r="W184" s="26">
        <v>0</v>
      </c>
      <c r="X184" s="27">
        <f t="shared" si="103"/>
        <v>0</v>
      </c>
      <c r="Y184" s="27">
        <f t="shared" si="107"/>
        <v>1</v>
      </c>
      <c r="Z184" s="27">
        <f t="shared" si="106"/>
        <v>0</v>
      </c>
      <c r="AA184" s="23">
        <f t="shared" si="108"/>
        <v>0.4</v>
      </c>
      <c r="AB184" s="24">
        <f t="shared" si="104"/>
        <v>1</v>
      </c>
      <c r="AC184" s="28">
        <f t="shared" si="84"/>
        <v>0.33333333333333331</v>
      </c>
      <c r="AD184" s="29">
        <f t="shared" si="85"/>
        <v>8.3333333333333329E-2</v>
      </c>
      <c r="AE184" s="30">
        <v>3.3641975308641971E-2</v>
      </c>
      <c r="AF184" s="23">
        <f t="shared" si="86"/>
        <v>1.25</v>
      </c>
      <c r="AG184" s="24">
        <f t="shared" si="105"/>
        <v>5</v>
      </c>
      <c r="AH184" s="28">
        <f t="shared" si="88"/>
        <v>1</v>
      </c>
      <c r="AI184" s="29">
        <f t="shared" si="89"/>
        <v>0.25</v>
      </c>
      <c r="AJ184" s="31">
        <v>1</v>
      </c>
      <c r="AK184" s="31">
        <v>1</v>
      </c>
      <c r="AL184" s="31">
        <v>1</v>
      </c>
      <c r="AM184" s="31">
        <v>0</v>
      </c>
      <c r="AN184" s="31">
        <v>0</v>
      </c>
      <c r="AO184" s="31">
        <v>1</v>
      </c>
      <c r="AP184" s="31">
        <v>0</v>
      </c>
      <c r="AQ184" s="31">
        <v>0</v>
      </c>
      <c r="AR184" s="23">
        <f t="shared" si="90"/>
        <v>0.8</v>
      </c>
      <c r="AS184" s="24">
        <f t="shared" si="91"/>
        <v>4</v>
      </c>
      <c r="AT184" s="28">
        <f t="shared" si="92"/>
        <v>0.5</v>
      </c>
      <c r="AU184" s="28">
        <f t="shared" si="93"/>
        <v>7.4999999999999997E-2</v>
      </c>
      <c r="AV184" s="32">
        <v>75</v>
      </c>
      <c r="AW184" s="32">
        <v>75</v>
      </c>
      <c r="AX184" s="32">
        <v>85</v>
      </c>
      <c r="AY184" s="32">
        <v>85</v>
      </c>
      <c r="AZ184" s="32">
        <v>85</v>
      </c>
      <c r="BA184" s="32">
        <v>100</v>
      </c>
      <c r="BB184" s="23">
        <f t="shared" ca="1" si="94"/>
        <v>0.8</v>
      </c>
      <c r="BC184" s="33">
        <f t="shared" si="100"/>
        <v>84.166666666666671</v>
      </c>
      <c r="BD184" s="28">
        <f t="shared" si="95"/>
        <v>0.94059405940594054</v>
      </c>
      <c r="BE184" s="28">
        <f t="shared" si="96"/>
        <v>0.18811881188118812</v>
      </c>
      <c r="BF184" s="34">
        <f ca="1">Q184+AA184+AF184+AR184+BB184</f>
        <v>4.05</v>
      </c>
      <c r="BG184" s="34">
        <f>AVERAGE(AV184:AZ184)</f>
        <v>81</v>
      </c>
      <c r="BH184" s="35">
        <f>T184+AD184+AI184+AU184+BE184</f>
        <v>0.76669244096313505</v>
      </c>
      <c r="BI184" s="36" t="str">
        <f ca="1">IF(K184&lt;365,"New CE",(IF(BH184&gt;=100%,"Promote",IF(BH184&gt;=90%,"Sangat Baik",IF(BH184&gt;=80%,"Baik",IF(BH184&gt;=70%,"Lebih Dari Cukup",IF(BH184&gt;=60%,"Cukup","Kurang")))))))</f>
        <v>Lebih Dari Cukup</v>
      </c>
      <c r="BJ184" s="36" t="s">
        <v>860</v>
      </c>
      <c r="BK184" s="58" t="s">
        <v>48</v>
      </c>
      <c r="BL184" s="59" t="e">
        <v>#N/A</v>
      </c>
    </row>
    <row r="185" spans="1:65" x14ac:dyDescent="0.35">
      <c r="A185" s="19">
        <v>181</v>
      </c>
      <c r="B185" s="39" t="s">
        <v>345</v>
      </c>
      <c r="C185" s="40" t="s">
        <v>346</v>
      </c>
      <c r="D185" s="77" t="s">
        <v>54</v>
      </c>
      <c r="E185" s="39" t="s">
        <v>182</v>
      </c>
      <c r="F185" s="39" t="s">
        <v>74</v>
      </c>
      <c r="G185" s="39" t="s">
        <v>55</v>
      </c>
      <c r="H185" s="66">
        <v>44882</v>
      </c>
      <c r="I185" s="68">
        <f t="shared" ca="1" si="97"/>
        <v>45974</v>
      </c>
      <c r="J185" s="39" t="str">
        <f t="shared" ca="1" si="77"/>
        <v xml:space="preserve">2 Tahun 11 Bulan 27 Hari </v>
      </c>
      <c r="K185" s="39">
        <f t="shared" ca="1" si="98"/>
        <v>1572480</v>
      </c>
      <c r="L185" s="39">
        <v>612</v>
      </c>
      <c r="M185" s="39">
        <v>11</v>
      </c>
      <c r="N185" s="39">
        <v>5254</v>
      </c>
      <c r="O185" s="41">
        <f t="shared" si="78"/>
        <v>477.63636363636363</v>
      </c>
      <c r="P185" s="39">
        <v>372</v>
      </c>
      <c r="Q185" s="42">
        <f t="shared" si="79"/>
        <v>0.6</v>
      </c>
      <c r="R185" s="43">
        <f t="shared" si="80"/>
        <v>3</v>
      </c>
      <c r="S185" s="44">
        <f t="shared" si="99"/>
        <v>0.77883517320137041</v>
      </c>
      <c r="T185" s="44">
        <f t="shared" si="81"/>
        <v>0.15576703464027408</v>
      </c>
      <c r="U185" s="45">
        <v>0.38750000000000001</v>
      </c>
      <c r="V185" s="45">
        <v>2.3023726851851851E-2</v>
      </c>
      <c r="W185" s="45">
        <v>0</v>
      </c>
      <c r="X185" s="46">
        <v>1</v>
      </c>
      <c r="Y185" s="46">
        <v>1</v>
      </c>
      <c r="Z185" s="46">
        <f t="shared" si="106"/>
        <v>0</v>
      </c>
      <c r="AA185" s="42">
        <f t="shared" si="108"/>
        <v>0.8</v>
      </c>
      <c r="AB185" s="43">
        <f t="shared" si="104"/>
        <v>2</v>
      </c>
      <c r="AC185" s="47">
        <f t="shared" si="84"/>
        <v>0.66666666666666663</v>
      </c>
      <c r="AD185" s="48">
        <f t="shared" si="85"/>
        <v>0.16666666666666666</v>
      </c>
      <c r="AE185" s="49">
        <v>6.3653649309031238E-2</v>
      </c>
      <c r="AF185" s="42">
        <f t="shared" si="86"/>
        <v>1</v>
      </c>
      <c r="AG185" s="43">
        <f t="shared" si="105"/>
        <v>4</v>
      </c>
      <c r="AH185" s="47">
        <f t="shared" si="88"/>
        <v>0.8</v>
      </c>
      <c r="AI185" s="48">
        <f t="shared" si="89"/>
        <v>0.2</v>
      </c>
      <c r="AJ185" s="50">
        <v>1</v>
      </c>
      <c r="AK185" s="50">
        <v>1</v>
      </c>
      <c r="AL185" s="50">
        <v>1</v>
      </c>
      <c r="AM185" s="50">
        <v>0</v>
      </c>
      <c r="AN185" s="50">
        <v>0</v>
      </c>
      <c r="AO185" s="50">
        <v>0</v>
      </c>
      <c r="AP185" s="50">
        <v>0</v>
      </c>
      <c r="AQ185" s="50">
        <v>0</v>
      </c>
      <c r="AR185" s="42">
        <f t="shared" si="90"/>
        <v>0.6</v>
      </c>
      <c r="AS185" s="43">
        <f t="shared" si="91"/>
        <v>3</v>
      </c>
      <c r="AT185" s="47">
        <f t="shared" si="92"/>
        <v>0.375</v>
      </c>
      <c r="AU185" s="47">
        <f t="shared" si="93"/>
        <v>5.6249999999999994E-2</v>
      </c>
      <c r="AV185" s="51">
        <v>75</v>
      </c>
      <c r="AW185" s="51">
        <v>75</v>
      </c>
      <c r="AX185" s="51">
        <v>80</v>
      </c>
      <c r="AY185" s="51">
        <v>75</v>
      </c>
      <c r="AZ185" s="51">
        <v>75</v>
      </c>
      <c r="BA185" s="32">
        <v>100</v>
      </c>
      <c r="BB185" s="42">
        <f t="shared" ca="1" si="94"/>
        <v>0.8</v>
      </c>
      <c r="BC185" s="33">
        <f t="shared" si="100"/>
        <v>80</v>
      </c>
      <c r="BD185" s="47">
        <f t="shared" si="95"/>
        <v>0.9375</v>
      </c>
      <c r="BE185" s="47">
        <f t="shared" si="96"/>
        <v>0.1875</v>
      </c>
      <c r="BF185" s="52">
        <f ca="1">Q185+AA185+AF185+AR185+BB185</f>
        <v>3.8</v>
      </c>
      <c r="BG185" s="52">
        <f>AVERAGE(AV185:AZ185)</f>
        <v>76</v>
      </c>
      <c r="BH185" s="53">
        <f>T185+AD185+AI185+AU185+BE185</f>
        <v>0.76618370130694069</v>
      </c>
      <c r="BI185" s="69" t="str">
        <f ca="1">IF(K185&lt;365,"New CE",(IF(BH185&gt;=100%,"Promote",IF(BH185&gt;=90%,"Sangat Baik",IF(BH185&gt;=80%,"Baik",IF(BH185&gt;=70%,"Lebih Dari Cukup",IF(BH185&gt;=60%,"Cukup","Kurang")))))))</f>
        <v>Lebih Dari Cukup</v>
      </c>
      <c r="BJ185" s="69" t="s">
        <v>860</v>
      </c>
      <c r="BK185" s="70" t="s">
        <v>54</v>
      </c>
      <c r="BL185" s="71" t="str">
        <v>I Gde Wahyu Aditya Dharma</v>
      </c>
      <c r="BM185" t="s">
        <v>900</v>
      </c>
    </row>
    <row r="186" spans="1:65" x14ac:dyDescent="0.35">
      <c r="A186" s="19">
        <v>182</v>
      </c>
      <c r="B186" s="13" t="s">
        <v>483</v>
      </c>
      <c r="C186" s="20" t="s">
        <v>484</v>
      </c>
      <c r="D186" s="76" t="s">
        <v>42</v>
      </c>
      <c r="E186" s="13" t="s">
        <v>287</v>
      </c>
      <c r="F186" s="13" t="s">
        <v>74</v>
      </c>
      <c r="G186" s="13" t="s">
        <v>61</v>
      </c>
      <c r="H186" s="65">
        <v>43418</v>
      </c>
      <c r="I186" s="21">
        <f t="shared" ca="1" si="97"/>
        <v>45974</v>
      </c>
      <c r="J186" s="13" t="str">
        <f t="shared" ca="1" si="77"/>
        <v xml:space="preserve">6 Tahun 11 Bulan 30 Hari </v>
      </c>
      <c r="K186" s="13">
        <f t="shared" ca="1" si="98"/>
        <v>3680640</v>
      </c>
      <c r="L186" s="13">
        <v>295</v>
      </c>
      <c r="M186" s="13">
        <v>5</v>
      </c>
      <c r="N186" s="13">
        <v>2105</v>
      </c>
      <c r="O186" s="22">
        <f t="shared" si="78"/>
        <v>421</v>
      </c>
      <c r="P186" s="13">
        <v>357</v>
      </c>
      <c r="Q186" s="23">
        <f t="shared" si="79"/>
        <v>0.8</v>
      </c>
      <c r="R186" s="24">
        <f t="shared" si="80"/>
        <v>4</v>
      </c>
      <c r="S186" s="25">
        <f t="shared" si="99"/>
        <v>0.84798099762470314</v>
      </c>
      <c r="T186" s="25">
        <f t="shared" si="81"/>
        <v>0.16959619952494065</v>
      </c>
      <c r="U186" s="26">
        <v>20304.722161643032</v>
      </c>
      <c r="V186" s="26">
        <v>45471.885858796297</v>
      </c>
      <c r="W186" s="26">
        <v>27264.334976466045</v>
      </c>
      <c r="X186" s="27">
        <f t="shared" ref="X186:X215" si="109">IF(U186=TIME(0,0,0), 0, IF(U186&lt;=TIME(1,30,0), 1, 0))</f>
        <v>0</v>
      </c>
      <c r="Y186" s="27">
        <f t="shared" ref="Y186:Y215" si="110">IF(V186=TIME(0,0,0), 0, IF(V186&lt;=TIME(3,0,0), 1, 0))</f>
        <v>0</v>
      </c>
      <c r="Z186" s="27">
        <f t="shared" si="106"/>
        <v>1</v>
      </c>
      <c r="AA186" s="23">
        <f t="shared" si="108"/>
        <v>0.4</v>
      </c>
      <c r="AB186" s="24">
        <f t="shared" si="104"/>
        <v>1</v>
      </c>
      <c r="AC186" s="28">
        <f t="shared" si="84"/>
        <v>0.33333333333333331</v>
      </c>
      <c r="AD186" s="29">
        <f t="shared" si="85"/>
        <v>8.3333333333333329E-2</v>
      </c>
      <c r="AE186" s="30">
        <v>2.3655458301183131E-2</v>
      </c>
      <c r="AF186" s="23">
        <f t="shared" si="86"/>
        <v>1.25</v>
      </c>
      <c r="AG186" s="24">
        <f t="shared" si="105"/>
        <v>5</v>
      </c>
      <c r="AH186" s="28">
        <f t="shared" si="88"/>
        <v>1</v>
      </c>
      <c r="AI186" s="29">
        <f t="shared" si="89"/>
        <v>0.25</v>
      </c>
      <c r="AJ186" s="31">
        <v>1</v>
      </c>
      <c r="AK186" s="31">
        <v>1</v>
      </c>
      <c r="AL186" s="31">
        <v>1</v>
      </c>
      <c r="AM186" s="31">
        <v>0</v>
      </c>
      <c r="AN186" s="31">
        <v>1</v>
      </c>
      <c r="AO186" s="31">
        <v>0</v>
      </c>
      <c r="AP186" s="31">
        <v>0</v>
      </c>
      <c r="AQ186" s="31">
        <v>0</v>
      </c>
      <c r="AR186" s="23">
        <f t="shared" si="90"/>
        <v>0.8</v>
      </c>
      <c r="AS186" s="24">
        <f t="shared" si="91"/>
        <v>4</v>
      </c>
      <c r="AT186" s="28">
        <f t="shared" si="92"/>
        <v>0.5</v>
      </c>
      <c r="AU186" s="28">
        <f t="shared" si="93"/>
        <v>7.4999999999999997E-2</v>
      </c>
      <c r="AV186" s="32">
        <v>75</v>
      </c>
      <c r="AW186" s="32">
        <v>75</v>
      </c>
      <c r="AX186" s="32">
        <v>85</v>
      </c>
      <c r="AY186" s="32">
        <v>85</v>
      </c>
      <c r="AZ186" s="32">
        <v>85</v>
      </c>
      <c r="BA186" s="32">
        <v>100</v>
      </c>
      <c r="BB186" s="23">
        <f t="shared" ca="1" si="94"/>
        <v>0.8</v>
      </c>
      <c r="BC186" s="33">
        <f t="shared" si="100"/>
        <v>84.166666666666671</v>
      </c>
      <c r="BD186" s="28">
        <f t="shared" si="95"/>
        <v>0.94059405940594054</v>
      </c>
      <c r="BE186" s="28">
        <f t="shared" si="96"/>
        <v>0.18811881188118812</v>
      </c>
      <c r="BF186" s="34">
        <f ca="1">Q186+AA186+AF186+AR186+BB186</f>
        <v>4.05</v>
      </c>
      <c r="BG186" s="34">
        <f>AVERAGE(AV186:AZ186)</f>
        <v>81</v>
      </c>
      <c r="BH186" s="35">
        <f>T186+AD186+AI186+AU186+BE186</f>
        <v>0.76604834473946193</v>
      </c>
      <c r="BI186" s="36" t="str">
        <f ca="1">IF(K186&lt;365,"New CE",(IF(BH186&gt;=100%,"Promote",IF(BH186&gt;=90%,"Sangat Baik",IF(BH186&gt;=80%,"Baik",IF(BH186&gt;=70%,"Lebih Dari Cukup",IF(BH186&gt;=60%,"Cukup","Kurang")))))))</f>
        <v>Lebih Dari Cukup</v>
      </c>
      <c r="BJ186" s="36" t="s">
        <v>860</v>
      </c>
      <c r="BK186" s="58" t="s">
        <v>42</v>
      </c>
      <c r="BL186" s="59" t="str">
        <v>Muhammad Oktanto D</v>
      </c>
    </row>
    <row r="187" spans="1:65" x14ac:dyDescent="0.35">
      <c r="A187" s="19">
        <v>183</v>
      </c>
      <c r="B187" s="13" t="s">
        <v>485</v>
      </c>
      <c r="C187" s="20" t="s">
        <v>486</v>
      </c>
      <c r="D187" s="76" t="s">
        <v>48</v>
      </c>
      <c r="E187" s="13" t="s">
        <v>446</v>
      </c>
      <c r="F187" s="13" t="s">
        <v>44</v>
      </c>
      <c r="G187" s="13" t="s">
        <v>55</v>
      </c>
      <c r="H187" s="65">
        <v>44882</v>
      </c>
      <c r="I187" s="21">
        <f t="shared" ca="1" si="97"/>
        <v>45974</v>
      </c>
      <c r="J187" s="13" t="str">
        <f t="shared" ca="1" si="77"/>
        <v xml:space="preserve">2 Tahun 11 Bulan 27 Hari </v>
      </c>
      <c r="K187" s="13">
        <f t="shared" ca="1" si="98"/>
        <v>1572480</v>
      </c>
      <c r="L187" s="13">
        <v>305</v>
      </c>
      <c r="M187" s="13">
        <v>6</v>
      </c>
      <c r="N187" s="13">
        <v>2018</v>
      </c>
      <c r="O187" s="22">
        <f t="shared" si="78"/>
        <v>336.33333333333331</v>
      </c>
      <c r="P187" s="13">
        <v>337</v>
      </c>
      <c r="Q187" s="23">
        <f t="shared" si="79"/>
        <v>1</v>
      </c>
      <c r="R187" s="24">
        <f t="shared" si="80"/>
        <v>5</v>
      </c>
      <c r="S187" s="25">
        <f t="shared" si="99"/>
        <v>1.001982160555005</v>
      </c>
      <c r="T187" s="25">
        <f t="shared" si="81"/>
        <v>0.200396432111001</v>
      </c>
      <c r="U187" s="26">
        <v>2833.7744871238424</v>
      </c>
      <c r="V187" s="26">
        <v>4.058055555555555E-2</v>
      </c>
      <c r="W187" s="26">
        <v>0</v>
      </c>
      <c r="X187" s="27">
        <f t="shared" si="109"/>
        <v>0</v>
      </c>
      <c r="Y187" s="27">
        <f t="shared" si="110"/>
        <v>1</v>
      </c>
      <c r="Z187" s="27">
        <f t="shared" si="106"/>
        <v>0</v>
      </c>
      <c r="AA187" s="23">
        <f t="shared" si="108"/>
        <v>0.4</v>
      </c>
      <c r="AB187" s="24">
        <f t="shared" si="104"/>
        <v>1</v>
      </c>
      <c r="AC187" s="28">
        <f t="shared" si="84"/>
        <v>0.33333333333333331</v>
      </c>
      <c r="AD187" s="29">
        <f t="shared" si="85"/>
        <v>8.3333333333333329E-2</v>
      </c>
      <c r="AE187" s="30">
        <v>4.9253217846967831E-2</v>
      </c>
      <c r="AF187" s="23">
        <f t="shared" si="86"/>
        <v>1</v>
      </c>
      <c r="AG187" s="24">
        <f t="shared" si="105"/>
        <v>4</v>
      </c>
      <c r="AH187" s="28">
        <f t="shared" si="88"/>
        <v>0.8</v>
      </c>
      <c r="AI187" s="29">
        <f t="shared" si="89"/>
        <v>0.2</v>
      </c>
      <c r="AJ187" s="31">
        <v>1</v>
      </c>
      <c r="AK187" s="31">
        <v>1</v>
      </c>
      <c r="AL187" s="31">
        <v>1</v>
      </c>
      <c r="AM187" s="31">
        <v>0</v>
      </c>
      <c r="AN187" s="31">
        <v>0</v>
      </c>
      <c r="AO187" s="31">
        <v>1</v>
      </c>
      <c r="AP187" s="31">
        <v>0</v>
      </c>
      <c r="AQ187" s="31">
        <v>1</v>
      </c>
      <c r="AR187" s="23">
        <f t="shared" si="90"/>
        <v>1</v>
      </c>
      <c r="AS187" s="24">
        <f t="shared" si="91"/>
        <v>5</v>
      </c>
      <c r="AT187" s="28">
        <f t="shared" si="92"/>
        <v>0.625</v>
      </c>
      <c r="AU187" s="28">
        <f t="shared" si="93"/>
        <v>9.375E-2</v>
      </c>
      <c r="AV187" s="32">
        <v>75</v>
      </c>
      <c r="AW187" s="32">
        <v>75</v>
      </c>
      <c r="AX187" s="32">
        <v>80</v>
      </c>
      <c r="AY187" s="32">
        <v>85</v>
      </c>
      <c r="AZ187" s="32">
        <v>85</v>
      </c>
      <c r="BA187" s="32">
        <v>100</v>
      </c>
      <c r="BB187" s="23">
        <f t="shared" ca="1" si="94"/>
        <v>0.8</v>
      </c>
      <c r="BC187" s="33">
        <f t="shared" si="100"/>
        <v>83.333333333333329</v>
      </c>
      <c r="BD187" s="28">
        <f t="shared" si="95"/>
        <v>0.94</v>
      </c>
      <c r="BE187" s="28">
        <f t="shared" si="96"/>
        <v>0.188</v>
      </c>
      <c r="BF187" s="34">
        <f ca="1">Q187+AA187+AF187+AR187+BB187</f>
        <v>4.2</v>
      </c>
      <c r="BG187" s="34">
        <f>AVERAGE(AV187:AZ187)</f>
        <v>80</v>
      </c>
      <c r="BH187" s="35">
        <f>T187+AD187+AI187+AU187+BE187</f>
        <v>0.76547976544433438</v>
      </c>
      <c r="BI187" s="36" t="str">
        <f ca="1">IF(K187&lt;365,"New CE",(IF(BH187&gt;=100%,"Promote",IF(BH187&gt;=90%,"Sangat Baik",IF(BH187&gt;=80%,"Baik",IF(BH187&gt;=70%,"Lebih Dari Cukup",IF(BH187&gt;=60%,"Cukup","Kurang")))))))</f>
        <v>Lebih Dari Cukup</v>
      </c>
      <c r="BJ187" s="36" t="s">
        <v>860</v>
      </c>
      <c r="BK187" s="58" t="s">
        <v>48</v>
      </c>
      <c r="BL187" s="59" t="e">
        <v>#N/A</v>
      </c>
    </row>
    <row r="188" spans="1:65" x14ac:dyDescent="0.35">
      <c r="A188" s="19">
        <v>184</v>
      </c>
      <c r="B188" s="13" t="s">
        <v>487</v>
      </c>
      <c r="C188" s="20" t="s">
        <v>488</v>
      </c>
      <c r="D188" s="76" t="s">
        <v>48</v>
      </c>
      <c r="E188" s="13" t="s">
        <v>114</v>
      </c>
      <c r="F188" s="13" t="s">
        <v>74</v>
      </c>
      <c r="G188" s="13" t="s">
        <v>61</v>
      </c>
      <c r="H188" s="65">
        <v>43514</v>
      </c>
      <c r="I188" s="21">
        <f t="shared" ca="1" si="97"/>
        <v>45974</v>
      </c>
      <c r="J188" s="13" t="str">
        <f t="shared" ca="1" si="77"/>
        <v xml:space="preserve">6 Tahun 8 Bulan 26 Hari </v>
      </c>
      <c r="K188" s="13">
        <f t="shared" ca="1" si="98"/>
        <v>3542400</v>
      </c>
      <c r="L188" s="13">
        <v>211</v>
      </c>
      <c r="M188" s="13">
        <v>4</v>
      </c>
      <c r="N188" s="13">
        <v>1415</v>
      </c>
      <c r="O188" s="22">
        <f t="shared" si="78"/>
        <v>353.75</v>
      </c>
      <c r="P188" s="13">
        <v>331</v>
      </c>
      <c r="Q188" s="23">
        <f t="shared" si="79"/>
        <v>0.8</v>
      </c>
      <c r="R188" s="24">
        <f t="shared" si="80"/>
        <v>4</v>
      </c>
      <c r="S188" s="25">
        <f t="shared" si="99"/>
        <v>0.93568904593639579</v>
      </c>
      <c r="T188" s="25">
        <f t="shared" si="81"/>
        <v>0.18713780918727918</v>
      </c>
      <c r="U188" s="26">
        <v>22724.039841683199</v>
      </c>
      <c r="V188" s="26">
        <v>17047.792339409723</v>
      </c>
      <c r="W188" s="26">
        <v>3503.7726745014247</v>
      </c>
      <c r="X188" s="27">
        <f t="shared" si="109"/>
        <v>0</v>
      </c>
      <c r="Y188" s="27">
        <f t="shared" si="110"/>
        <v>0</v>
      </c>
      <c r="Z188" s="27">
        <f t="shared" si="106"/>
        <v>1</v>
      </c>
      <c r="AA188" s="23">
        <f t="shared" si="108"/>
        <v>0.4</v>
      </c>
      <c r="AB188" s="24">
        <f t="shared" si="104"/>
        <v>1</v>
      </c>
      <c r="AC188" s="28">
        <f t="shared" si="84"/>
        <v>0.33333333333333331</v>
      </c>
      <c r="AD188" s="29">
        <f t="shared" si="85"/>
        <v>8.3333333333333329E-2</v>
      </c>
      <c r="AE188" s="30">
        <v>2.0466116478797636E-2</v>
      </c>
      <c r="AF188" s="23">
        <f t="shared" si="86"/>
        <v>1.25</v>
      </c>
      <c r="AG188" s="24">
        <f t="shared" si="105"/>
        <v>5</v>
      </c>
      <c r="AH188" s="28">
        <f t="shared" si="88"/>
        <v>1</v>
      </c>
      <c r="AI188" s="29">
        <f t="shared" si="89"/>
        <v>0.25</v>
      </c>
      <c r="AJ188" s="31">
        <v>1</v>
      </c>
      <c r="AK188" s="31">
        <v>1</v>
      </c>
      <c r="AL188" s="31">
        <v>1</v>
      </c>
      <c r="AM188" s="31">
        <v>0</v>
      </c>
      <c r="AN188" s="31">
        <v>0</v>
      </c>
      <c r="AO188" s="31">
        <v>0</v>
      </c>
      <c r="AP188" s="31">
        <v>0</v>
      </c>
      <c r="AQ188" s="31">
        <v>0</v>
      </c>
      <c r="AR188" s="23">
        <f t="shared" si="90"/>
        <v>0.6</v>
      </c>
      <c r="AS188" s="24">
        <f t="shared" si="91"/>
        <v>3</v>
      </c>
      <c r="AT188" s="28">
        <f t="shared" si="92"/>
        <v>0.375</v>
      </c>
      <c r="AU188" s="28">
        <f t="shared" si="93"/>
        <v>5.6249999999999994E-2</v>
      </c>
      <c r="AV188" s="32">
        <v>75</v>
      </c>
      <c r="AW188" s="32">
        <v>75</v>
      </c>
      <c r="AX188" s="32">
        <v>80</v>
      </c>
      <c r="AY188" s="32">
        <v>80</v>
      </c>
      <c r="AZ188" s="32">
        <v>80</v>
      </c>
      <c r="BA188" s="32">
        <v>100</v>
      </c>
      <c r="BB188" s="23">
        <f t="shared" ca="1" si="94"/>
        <v>0.8</v>
      </c>
      <c r="BC188" s="33">
        <f t="shared" si="100"/>
        <v>81.666666666666671</v>
      </c>
      <c r="BD188" s="28">
        <f t="shared" si="95"/>
        <v>0.93877551020408168</v>
      </c>
      <c r="BE188" s="28">
        <f t="shared" si="96"/>
        <v>0.18775510204081636</v>
      </c>
      <c r="BF188" s="34">
        <f ca="1">Q188+AA188+AF188+AR188+BB188</f>
        <v>3.8500000000000005</v>
      </c>
      <c r="BG188" s="34">
        <f>AVERAGE(AV188:AZ188)</f>
        <v>78</v>
      </c>
      <c r="BH188" s="35">
        <f>T188+AD188+AI188+AU188+BE188</f>
        <v>0.76447624456142893</v>
      </c>
      <c r="BI188" s="36" t="str">
        <f ca="1">IF(K188&lt;365,"New CE",(IF(BH188&gt;=100%,"Promote",IF(BH188&gt;=90%,"Sangat Baik",IF(BH188&gt;=80%,"Baik",IF(BH188&gt;=70%,"Lebih Dari Cukup",IF(BH188&gt;=60%,"Cukup","Kurang")))))))</f>
        <v>Lebih Dari Cukup</v>
      </c>
      <c r="BJ188" s="36" t="s">
        <v>860</v>
      </c>
      <c r="BK188" s="58" t="s">
        <v>48</v>
      </c>
      <c r="BL188" s="59" t="str">
        <v>Syafrudin</v>
      </c>
    </row>
    <row r="189" spans="1:65" x14ac:dyDescent="0.35">
      <c r="A189" s="19">
        <v>185</v>
      </c>
      <c r="B189" s="13" t="s">
        <v>489</v>
      </c>
      <c r="C189" s="20" t="s">
        <v>490</v>
      </c>
      <c r="D189" s="76" t="s">
        <v>54</v>
      </c>
      <c r="E189" s="13" t="s">
        <v>136</v>
      </c>
      <c r="F189" s="13" t="s">
        <v>44</v>
      </c>
      <c r="G189" s="13" t="s">
        <v>45</v>
      </c>
      <c r="H189" s="65">
        <v>45243</v>
      </c>
      <c r="I189" s="21">
        <f t="shared" ca="1" si="97"/>
        <v>45974</v>
      </c>
      <c r="J189" s="13" t="str">
        <f t="shared" ca="1" si="77"/>
        <v xml:space="preserve">2 Tahun 0 Bulan 0 Hari </v>
      </c>
      <c r="K189" s="13">
        <f t="shared" ca="1" si="98"/>
        <v>1052640</v>
      </c>
      <c r="L189" s="13">
        <v>305</v>
      </c>
      <c r="M189" s="13">
        <v>6</v>
      </c>
      <c r="N189" s="13">
        <v>2074</v>
      </c>
      <c r="O189" s="22">
        <f t="shared" si="78"/>
        <v>345.66666666666669</v>
      </c>
      <c r="P189" s="13">
        <v>370</v>
      </c>
      <c r="Q189" s="23">
        <f t="shared" si="79"/>
        <v>1</v>
      </c>
      <c r="R189" s="24">
        <f t="shared" si="80"/>
        <v>5</v>
      </c>
      <c r="S189" s="25">
        <f t="shared" si="99"/>
        <v>1.0703953712632595</v>
      </c>
      <c r="T189" s="25">
        <f t="shared" si="81"/>
        <v>0.21407907425265191</v>
      </c>
      <c r="U189" s="26">
        <v>3209.2414595588248</v>
      </c>
      <c r="V189" s="26">
        <v>15153.600621141975</v>
      </c>
      <c r="W189" s="26">
        <v>0</v>
      </c>
      <c r="X189" s="27">
        <f t="shared" si="109"/>
        <v>0</v>
      </c>
      <c r="Y189" s="27">
        <f t="shared" si="110"/>
        <v>0</v>
      </c>
      <c r="Z189" s="27">
        <f t="shared" si="106"/>
        <v>0</v>
      </c>
      <c r="AA189" s="23">
        <f t="shared" si="108"/>
        <v>0</v>
      </c>
      <c r="AB189" s="24">
        <f t="shared" si="104"/>
        <v>0</v>
      </c>
      <c r="AC189" s="28">
        <f t="shared" si="84"/>
        <v>0</v>
      </c>
      <c r="AD189" s="29">
        <f t="shared" si="85"/>
        <v>0</v>
      </c>
      <c r="AE189" s="30">
        <v>2.7076919971178687E-2</v>
      </c>
      <c r="AF189" s="23">
        <f t="shared" si="86"/>
        <v>1.25</v>
      </c>
      <c r="AG189" s="24">
        <f t="shared" si="105"/>
        <v>5</v>
      </c>
      <c r="AH189" s="28">
        <f t="shared" si="88"/>
        <v>1</v>
      </c>
      <c r="AI189" s="29">
        <f t="shared" si="89"/>
        <v>0.25</v>
      </c>
      <c r="AJ189" s="31">
        <v>1</v>
      </c>
      <c r="AK189" s="31">
        <v>1</v>
      </c>
      <c r="AL189" s="31">
        <v>1</v>
      </c>
      <c r="AM189" s="31">
        <v>0</v>
      </c>
      <c r="AN189" s="31">
        <v>1</v>
      </c>
      <c r="AO189" s="31">
        <v>1</v>
      </c>
      <c r="AP189" s="31">
        <v>0</v>
      </c>
      <c r="AQ189" s="31">
        <v>1</v>
      </c>
      <c r="AR189" s="23">
        <f t="shared" si="90"/>
        <v>1</v>
      </c>
      <c r="AS189" s="24">
        <f t="shared" si="91"/>
        <v>6</v>
      </c>
      <c r="AT189" s="28">
        <f t="shared" si="92"/>
        <v>0.75</v>
      </c>
      <c r="AU189" s="28">
        <f t="shared" si="93"/>
        <v>0.11249999999999999</v>
      </c>
      <c r="AV189" s="32">
        <v>75</v>
      </c>
      <c r="AW189" s="32">
        <v>75</v>
      </c>
      <c r="AX189" s="32">
        <v>80</v>
      </c>
      <c r="AY189" s="32">
        <v>80</v>
      </c>
      <c r="AZ189" s="32">
        <v>80</v>
      </c>
      <c r="BA189" s="32">
        <v>100</v>
      </c>
      <c r="BB189" s="23">
        <f t="shared" ca="1" si="94"/>
        <v>0.8</v>
      </c>
      <c r="BC189" s="33">
        <f t="shared" si="100"/>
        <v>81.666666666666671</v>
      </c>
      <c r="BD189" s="28">
        <f t="shared" si="95"/>
        <v>0.93877551020408168</v>
      </c>
      <c r="BE189" s="28">
        <f t="shared" si="96"/>
        <v>0.18775510204081636</v>
      </c>
      <c r="BF189" s="34">
        <f ca="1">Q189+AA189+AF189+AR189+BB189</f>
        <v>4.05</v>
      </c>
      <c r="BG189" s="34">
        <f>AVERAGE(AV189:AZ189)</f>
        <v>78</v>
      </c>
      <c r="BH189" s="35">
        <f>T189+AD189+AI189+AU189+BE189</f>
        <v>0.76433417629346834</v>
      </c>
      <c r="BI189" s="36" t="str">
        <f ca="1">IF(K189&lt;365,"New CE",(IF(BH189&gt;=100%,"Promote",IF(BH189&gt;=90%,"Sangat Baik",IF(BH189&gt;=80%,"Baik",IF(BH189&gt;=70%,"Lebih Dari Cukup",IF(BH189&gt;=60%,"Cukup","Kurang")))))))</f>
        <v>Lebih Dari Cukup</v>
      </c>
      <c r="BJ189" s="36" t="s">
        <v>860</v>
      </c>
      <c r="BK189" s="58" t="s">
        <v>54</v>
      </c>
      <c r="BL189" s="59" t="e">
        <v>#N/A</v>
      </c>
    </row>
    <row r="190" spans="1:65" x14ac:dyDescent="0.35">
      <c r="A190" s="19">
        <v>186</v>
      </c>
      <c r="B190" s="13" t="s">
        <v>491</v>
      </c>
      <c r="C190" s="20" t="s">
        <v>492</v>
      </c>
      <c r="D190" s="76" t="s">
        <v>54</v>
      </c>
      <c r="E190" s="13" t="s">
        <v>43</v>
      </c>
      <c r="F190" s="13" t="s">
        <v>44</v>
      </c>
      <c r="G190" s="13" t="s">
        <v>55</v>
      </c>
      <c r="H190" s="65">
        <v>45413</v>
      </c>
      <c r="I190" s="21">
        <f t="shared" ca="1" si="97"/>
        <v>45974</v>
      </c>
      <c r="J190" s="13" t="str">
        <f t="shared" ca="1" si="77"/>
        <v xml:space="preserve">1 Tahun 6 Bulan 12 Hari </v>
      </c>
      <c r="K190" s="13">
        <f t="shared" ca="1" si="98"/>
        <v>807840</v>
      </c>
      <c r="L190" s="13">
        <v>1384</v>
      </c>
      <c r="M190" s="13">
        <v>22</v>
      </c>
      <c r="N190" s="13">
        <v>6775</v>
      </c>
      <c r="O190" s="22">
        <f t="shared" si="78"/>
        <v>307.95454545454544</v>
      </c>
      <c r="P190" s="13">
        <v>333</v>
      </c>
      <c r="Q190" s="23">
        <f t="shared" si="79"/>
        <v>1</v>
      </c>
      <c r="R190" s="24">
        <f t="shared" si="80"/>
        <v>5</v>
      </c>
      <c r="S190" s="25">
        <f t="shared" si="99"/>
        <v>1.081328413284133</v>
      </c>
      <c r="T190" s="25">
        <f t="shared" si="81"/>
        <v>0.21626568265682661</v>
      </c>
      <c r="U190" s="26">
        <v>5513.796796261222</v>
      </c>
      <c r="V190" s="26">
        <v>3788.6521913580236</v>
      </c>
      <c r="W190" s="26">
        <v>2.2746913580246914E-2</v>
      </c>
      <c r="X190" s="27">
        <f t="shared" si="109"/>
        <v>0</v>
      </c>
      <c r="Y190" s="27">
        <f t="shared" si="110"/>
        <v>0</v>
      </c>
      <c r="Z190" s="27">
        <f t="shared" si="106"/>
        <v>1</v>
      </c>
      <c r="AA190" s="23">
        <f t="shared" si="108"/>
        <v>0.4</v>
      </c>
      <c r="AB190" s="24">
        <f t="shared" si="104"/>
        <v>1</v>
      </c>
      <c r="AC190" s="28">
        <f t="shared" si="84"/>
        <v>0.33333333333333331</v>
      </c>
      <c r="AD190" s="29">
        <f t="shared" si="85"/>
        <v>8.3333333333333329E-2</v>
      </c>
      <c r="AE190" s="30">
        <v>5.1322836594456092E-2</v>
      </c>
      <c r="AF190" s="23">
        <f t="shared" si="86"/>
        <v>1</v>
      </c>
      <c r="AG190" s="24">
        <f t="shared" si="105"/>
        <v>4</v>
      </c>
      <c r="AH190" s="28">
        <f t="shared" si="88"/>
        <v>0.8</v>
      </c>
      <c r="AI190" s="29">
        <f t="shared" si="89"/>
        <v>0.2</v>
      </c>
      <c r="AJ190" s="31">
        <v>1</v>
      </c>
      <c r="AK190" s="31">
        <v>1</v>
      </c>
      <c r="AL190" s="31">
        <v>1</v>
      </c>
      <c r="AM190" s="31">
        <v>0</v>
      </c>
      <c r="AN190" s="31">
        <v>0</v>
      </c>
      <c r="AO190" s="31">
        <v>0</v>
      </c>
      <c r="AP190" s="31">
        <v>0</v>
      </c>
      <c r="AQ190" s="31">
        <v>1</v>
      </c>
      <c r="AR190" s="23">
        <f t="shared" si="90"/>
        <v>0.8</v>
      </c>
      <c r="AS190" s="24">
        <f t="shared" si="91"/>
        <v>4</v>
      </c>
      <c r="AT190" s="28">
        <f t="shared" si="92"/>
        <v>0.5</v>
      </c>
      <c r="AU190" s="28">
        <f t="shared" si="93"/>
        <v>7.4999999999999997E-2</v>
      </c>
      <c r="AV190" s="32">
        <v>75</v>
      </c>
      <c r="AW190" s="32">
        <v>75</v>
      </c>
      <c r="AX190" s="32">
        <v>80</v>
      </c>
      <c r="AY190" s="32">
        <v>75</v>
      </c>
      <c r="AZ190" s="32">
        <v>80</v>
      </c>
      <c r="BA190" s="32">
        <v>100</v>
      </c>
      <c r="BB190" s="23">
        <f t="shared" ca="1" si="94"/>
        <v>0.8</v>
      </c>
      <c r="BC190" s="33">
        <f t="shared" si="100"/>
        <v>80.833333333333329</v>
      </c>
      <c r="BD190" s="28">
        <f t="shared" si="95"/>
        <v>0.93814432989690721</v>
      </c>
      <c r="BE190" s="28">
        <f t="shared" si="96"/>
        <v>0.18762886597938144</v>
      </c>
      <c r="BF190" s="34">
        <f ca="1">Q190+AA190+AF190+AR190+BB190</f>
        <v>4</v>
      </c>
      <c r="BG190" s="34">
        <f>AVERAGE(AV190:AZ190)</f>
        <v>77</v>
      </c>
      <c r="BH190" s="35">
        <f>T190+AD190+AI190+AU190+BE190</f>
        <v>0.76222788196954139</v>
      </c>
      <c r="BI190" s="36" t="str">
        <f ca="1">IF(K190&lt;365,"New CE",(IF(BH190&gt;=100%,"Promote",IF(BH190&gt;=90%,"Sangat Baik",IF(BH190&gt;=80%,"Baik",IF(BH190&gt;=70%,"Lebih Dari Cukup",IF(BH190&gt;=60%,"Cukup","Kurang")))))))</f>
        <v>Lebih Dari Cukup</v>
      </c>
      <c r="BJ190" s="36" t="s">
        <v>860</v>
      </c>
      <c r="BK190" s="58" t="s">
        <v>54</v>
      </c>
      <c r="BL190" s="59" t="e">
        <v>#N/A</v>
      </c>
    </row>
    <row r="191" spans="1:65" x14ac:dyDescent="0.35">
      <c r="A191" s="19">
        <v>187</v>
      </c>
      <c r="B191" s="13" t="s">
        <v>493</v>
      </c>
      <c r="C191" s="20" t="s">
        <v>494</v>
      </c>
      <c r="D191" s="76" t="s">
        <v>48</v>
      </c>
      <c r="E191" s="13" t="s">
        <v>89</v>
      </c>
      <c r="F191" s="13" t="s">
        <v>74</v>
      </c>
      <c r="G191" s="13" t="s">
        <v>51</v>
      </c>
      <c r="H191" s="65">
        <v>44502</v>
      </c>
      <c r="I191" s="21">
        <f t="shared" ca="1" si="97"/>
        <v>45974</v>
      </c>
      <c r="J191" s="13" t="str">
        <f t="shared" ca="1" si="77"/>
        <v xml:space="preserve">4 Tahun 0 Bulan 11 Hari </v>
      </c>
      <c r="K191" s="13">
        <f t="shared" ca="1" si="98"/>
        <v>2119680</v>
      </c>
      <c r="L191" s="13">
        <v>448</v>
      </c>
      <c r="M191" s="13">
        <v>7</v>
      </c>
      <c r="N191" s="13">
        <v>2614</v>
      </c>
      <c r="O191" s="22">
        <f t="shared" si="78"/>
        <v>373.42857142857144</v>
      </c>
      <c r="P191" s="13">
        <v>360</v>
      </c>
      <c r="Q191" s="23">
        <f t="shared" si="79"/>
        <v>0.8</v>
      </c>
      <c r="R191" s="24">
        <f t="shared" si="80"/>
        <v>4</v>
      </c>
      <c r="S191" s="25">
        <f t="shared" si="99"/>
        <v>0.96403978576893645</v>
      </c>
      <c r="T191" s="25">
        <f t="shared" si="81"/>
        <v>0.19280795715378729</v>
      </c>
      <c r="U191" s="26">
        <v>4000.7519672521789</v>
      </c>
      <c r="V191" s="26">
        <v>0</v>
      </c>
      <c r="W191" s="26">
        <v>0</v>
      </c>
      <c r="X191" s="27">
        <f t="shared" si="109"/>
        <v>0</v>
      </c>
      <c r="Y191" s="27">
        <f t="shared" si="110"/>
        <v>0</v>
      </c>
      <c r="Z191" s="27">
        <f t="shared" si="106"/>
        <v>0</v>
      </c>
      <c r="AA191" s="23">
        <f t="shared" si="108"/>
        <v>0</v>
      </c>
      <c r="AB191" s="24">
        <f t="shared" si="104"/>
        <v>0</v>
      </c>
      <c r="AC191" s="28">
        <f t="shared" si="84"/>
        <v>0</v>
      </c>
      <c r="AD191" s="29">
        <f t="shared" si="85"/>
        <v>0</v>
      </c>
      <c r="AE191" s="30">
        <v>3.6819637345679015E-2</v>
      </c>
      <c r="AF191" s="23">
        <f t="shared" si="86"/>
        <v>1.25</v>
      </c>
      <c r="AG191" s="24">
        <f t="shared" si="105"/>
        <v>5</v>
      </c>
      <c r="AH191" s="28">
        <f t="shared" si="88"/>
        <v>1</v>
      </c>
      <c r="AI191" s="29">
        <f t="shared" si="89"/>
        <v>0.25</v>
      </c>
      <c r="AJ191" s="31">
        <v>1</v>
      </c>
      <c r="AK191" s="31">
        <v>1</v>
      </c>
      <c r="AL191" s="31">
        <v>1</v>
      </c>
      <c r="AM191" s="31">
        <v>1</v>
      </c>
      <c r="AN191" s="31">
        <v>1</v>
      </c>
      <c r="AO191" s="31">
        <v>1</v>
      </c>
      <c r="AP191" s="31">
        <v>0</v>
      </c>
      <c r="AQ191" s="31">
        <v>1</v>
      </c>
      <c r="AR191" s="23">
        <f t="shared" si="90"/>
        <v>1</v>
      </c>
      <c r="AS191" s="24">
        <f t="shared" si="91"/>
        <v>7</v>
      </c>
      <c r="AT191" s="28">
        <f t="shared" si="92"/>
        <v>0.875</v>
      </c>
      <c r="AU191" s="28">
        <f t="shared" si="93"/>
        <v>0.13125000000000001</v>
      </c>
      <c r="AV191" s="32">
        <v>75</v>
      </c>
      <c r="AW191" s="32">
        <v>75</v>
      </c>
      <c r="AX191" s="32">
        <v>80</v>
      </c>
      <c r="AY191" s="32">
        <v>80</v>
      </c>
      <c r="AZ191" s="32">
        <v>80</v>
      </c>
      <c r="BA191" s="32">
        <v>100</v>
      </c>
      <c r="BB191" s="23">
        <f t="shared" ca="1" si="94"/>
        <v>0.8</v>
      </c>
      <c r="BC191" s="33">
        <f t="shared" si="100"/>
        <v>81.666666666666671</v>
      </c>
      <c r="BD191" s="28">
        <f t="shared" si="95"/>
        <v>0.93877551020408168</v>
      </c>
      <c r="BE191" s="28">
        <f t="shared" si="96"/>
        <v>0.18775510204081636</v>
      </c>
      <c r="BF191" s="34">
        <f ca="1">Q191+AA191+AF191+AR191+BB191</f>
        <v>3.8499999999999996</v>
      </c>
      <c r="BG191" s="34">
        <f>AVERAGE(AV191:AZ191)</f>
        <v>78</v>
      </c>
      <c r="BH191" s="35">
        <f>T191+AD191+AI191+AU191+BE191</f>
        <v>0.76181305919460363</v>
      </c>
      <c r="BI191" s="36" t="str">
        <f ca="1">IF(K191&lt;365,"New CE",(IF(BH191&gt;=100%,"Promote",IF(BH191&gt;=90%,"Sangat Baik",IF(BH191&gt;=80%,"Baik",IF(BH191&gt;=70%,"Lebih Dari Cukup",IF(BH191&gt;=60%,"Cukup","Kurang")))))))</f>
        <v>Lebih Dari Cukup</v>
      </c>
      <c r="BJ191" s="36" t="s">
        <v>860</v>
      </c>
      <c r="BK191" s="58" t="s">
        <v>48</v>
      </c>
      <c r="BL191" s="59" t="str">
        <v>Yudha Satria Guntoro</v>
      </c>
    </row>
    <row r="192" spans="1:65" x14ac:dyDescent="0.35">
      <c r="A192" s="19">
        <v>188</v>
      </c>
      <c r="B192" s="13" t="s">
        <v>495</v>
      </c>
      <c r="C192" s="20" t="s">
        <v>496</v>
      </c>
      <c r="D192" s="76" t="s">
        <v>54</v>
      </c>
      <c r="E192" s="13" t="s">
        <v>49</v>
      </c>
      <c r="F192" s="13" t="s">
        <v>50</v>
      </c>
      <c r="G192" s="13" t="s">
        <v>55</v>
      </c>
      <c r="H192" s="65">
        <v>44291</v>
      </c>
      <c r="I192" s="21">
        <f t="shared" ca="1" si="97"/>
        <v>45974</v>
      </c>
      <c r="J192" s="13" t="str">
        <f t="shared" ca="1" si="77"/>
        <v xml:space="preserve">4 Tahun 7 Bulan 8 Hari </v>
      </c>
      <c r="K192" s="13">
        <f t="shared" ca="1" si="98"/>
        <v>2423520</v>
      </c>
      <c r="L192" s="13">
        <v>893</v>
      </c>
      <c r="M192" s="13">
        <v>14</v>
      </c>
      <c r="N192" s="13">
        <v>6172</v>
      </c>
      <c r="O192" s="22">
        <f t="shared" si="78"/>
        <v>440.85714285714283</v>
      </c>
      <c r="P192" s="13">
        <v>614</v>
      </c>
      <c r="Q192" s="23">
        <f t="shared" si="79"/>
        <v>1</v>
      </c>
      <c r="R192" s="24">
        <f t="shared" si="80"/>
        <v>5</v>
      </c>
      <c r="S192" s="25">
        <f t="shared" si="99"/>
        <v>1.3927414128321451</v>
      </c>
      <c r="T192" s="25">
        <f t="shared" si="81"/>
        <v>0.27854828256642905</v>
      </c>
      <c r="U192" s="26">
        <v>31687.671540477972</v>
      </c>
      <c r="V192" s="26">
        <v>0</v>
      </c>
      <c r="W192" s="26">
        <v>0</v>
      </c>
      <c r="X192" s="27">
        <f t="shared" si="109"/>
        <v>0</v>
      </c>
      <c r="Y192" s="27">
        <f t="shared" si="110"/>
        <v>0</v>
      </c>
      <c r="Z192" s="27">
        <f t="shared" si="106"/>
        <v>0</v>
      </c>
      <c r="AA192" s="23">
        <f t="shared" si="108"/>
        <v>0</v>
      </c>
      <c r="AB192" s="24">
        <f t="shared" si="104"/>
        <v>0</v>
      </c>
      <c r="AC192" s="28">
        <f t="shared" si="84"/>
        <v>0</v>
      </c>
      <c r="AD192" s="29">
        <f t="shared" si="85"/>
        <v>0</v>
      </c>
      <c r="AE192" s="30">
        <v>4.0011640211640213E-2</v>
      </c>
      <c r="AF192" s="23">
        <f t="shared" si="86"/>
        <v>1</v>
      </c>
      <c r="AG192" s="24">
        <v>4</v>
      </c>
      <c r="AH192" s="28">
        <f t="shared" si="88"/>
        <v>0.8</v>
      </c>
      <c r="AI192" s="29">
        <f t="shared" si="89"/>
        <v>0.2</v>
      </c>
      <c r="AJ192" s="31">
        <v>1</v>
      </c>
      <c r="AK192" s="31">
        <v>1</v>
      </c>
      <c r="AL192" s="31">
        <v>1</v>
      </c>
      <c r="AM192" s="31">
        <v>0</v>
      </c>
      <c r="AN192" s="31">
        <v>0</v>
      </c>
      <c r="AO192" s="31">
        <v>1</v>
      </c>
      <c r="AP192" s="31">
        <v>0</v>
      </c>
      <c r="AQ192" s="31">
        <v>1</v>
      </c>
      <c r="AR192" s="23">
        <f t="shared" si="90"/>
        <v>1</v>
      </c>
      <c r="AS192" s="24">
        <f t="shared" si="91"/>
        <v>5</v>
      </c>
      <c r="AT192" s="28">
        <f t="shared" si="92"/>
        <v>0.625</v>
      </c>
      <c r="AU192" s="28">
        <f t="shared" si="93"/>
        <v>9.375E-2</v>
      </c>
      <c r="AV192" s="32">
        <v>75</v>
      </c>
      <c r="AW192" s="32">
        <v>75</v>
      </c>
      <c r="AX192" s="32">
        <v>90</v>
      </c>
      <c r="AY192" s="32">
        <v>85</v>
      </c>
      <c r="AZ192" s="32">
        <v>80</v>
      </c>
      <c r="BA192" s="32">
        <v>100</v>
      </c>
      <c r="BB192" s="23">
        <f t="shared" ca="1" si="94"/>
        <v>0.8</v>
      </c>
      <c r="BC192" s="33">
        <f t="shared" si="100"/>
        <v>84.166666666666671</v>
      </c>
      <c r="BD192" s="28">
        <f t="shared" si="95"/>
        <v>0.94059405940594054</v>
      </c>
      <c r="BE192" s="28">
        <f t="shared" si="96"/>
        <v>0.18811881188118812</v>
      </c>
      <c r="BF192" s="34">
        <f ca="1">Q192+AA192+AF192+AR192+BB192</f>
        <v>3.8</v>
      </c>
      <c r="BG192" s="34">
        <f>AVERAGE(AV192:AZ192)</f>
        <v>81</v>
      </c>
      <c r="BH192" s="35">
        <f>T192+AD192+AI192+AU192+BE192</f>
        <v>0.76041709444761718</v>
      </c>
      <c r="BI192" s="36" t="str">
        <f ca="1">IF(K192&lt;365,"New CE",(IF(BH192&gt;=100%,"Promote",IF(BH192&gt;=90%,"Sangat Baik",IF(BH192&gt;=80%,"Baik",IF(BH192&gt;=70%,"Lebih Dari Cukup",IF(BH192&gt;=60%,"Cukup","Kurang")))))))</f>
        <v>Lebih Dari Cukup</v>
      </c>
      <c r="BJ192" s="36" t="s">
        <v>860</v>
      </c>
      <c r="BK192" s="58" t="s">
        <v>54</v>
      </c>
      <c r="BL192" s="59" t="e">
        <v>#N/A</v>
      </c>
    </row>
    <row r="193" spans="1:64" x14ac:dyDescent="0.35">
      <c r="A193" s="19">
        <v>189</v>
      </c>
      <c r="B193" s="13" t="s">
        <v>497</v>
      </c>
      <c r="C193" s="20" t="s">
        <v>498</v>
      </c>
      <c r="D193" s="76" t="s">
        <v>54</v>
      </c>
      <c r="E193" s="13" t="s">
        <v>95</v>
      </c>
      <c r="F193" s="13" t="s">
        <v>50</v>
      </c>
      <c r="G193" s="13" t="s">
        <v>61</v>
      </c>
      <c r="H193" s="65">
        <v>45075</v>
      </c>
      <c r="I193" s="21">
        <f t="shared" ca="1" si="97"/>
        <v>45974</v>
      </c>
      <c r="J193" s="13" t="str">
        <f t="shared" ca="1" si="77"/>
        <v xml:space="preserve">2 Tahun 5 Bulan 15 Hari </v>
      </c>
      <c r="K193" s="13">
        <f t="shared" ca="1" si="98"/>
        <v>1294560</v>
      </c>
      <c r="L193" s="13">
        <v>897</v>
      </c>
      <c r="M193" s="13">
        <v>13</v>
      </c>
      <c r="N193" s="13">
        <v>6212</v>
      </c>
      <c r="O193" s="22">
        <f t="shared" si="78"/>
        <v>477.84615384615387</v>
      </c>
      <c r="P193" s="13">
        <v>351</v>
      </c>
      <c r="Q193" s="23">
        <f t="shared" si="79"/>
        <v>0.6</v>
      </c>
      <c r="R193" s="24">
        <f t="shared" si="80"/>
        <v>3</v>
      </c>
      <c r="S193" s="25">
        <f t="shared" si="99"/>
        <v>0.73454603992273015</v>
      </c>
      <c r="T193" s="25">
        <f t="shared" si="81"/>
        <v>0.14690920798454604</v>
      </c>
      <c r="U193" s="26">
        <v>1.6151936026936028E-2</v>
      </c>
      <c r="V193" s="26">
        <v>2.5027006172839508E-2</v>
      </c>
      <c r="W193" s="26">
        <v>0</v>
      </c>
      <c r="X193" s="27">
        <f t="shared" si="109"/>
        <v>1</v>
      </c>
      <c r="Y193" s="27">
        <f t="shared" si="110"/>
        <v>1</v>
      </c>
      <c r="Z193" s="27">
        <f t="shared" si="106"/>
        <v>0</v>
      </c>
      <c r="AA193" s="23">
        <f t="shared" si="108"/>
        <v>0.8</v>
      </c>
      <c r="AB193" s="24">
        <f t="shared" si="104"/>
        <v>2</v>
      </c>
      <c r="AC193" s="28">
        <f t="shared" si="84"/>
        <v>0.66666666666666663</v>
      </c>
      <c r="AD193" s="29">
        <f t="shared" si="85"/>
        <v>0.16666666666666666</v>
      </c>
      <c r="AE193" s="30">
        <v>5.2587157469969975E-2</v>
      </c>
      <c r="AF193" s="23">
        <f t="shared" si="86"/>
        <v>1</v>
      </c>
      <c r="AG193" s="24">
        <f t="shared" ref="AG193:AG222" si="111">IF(AE193="",0,IF(AE193&lt;=TIME(1,0,0),5,IF(AE193&lt;=TIME(2,0,0),4,IF(AE193&lt;=TIME(3,0,0),3,IF(AE193&lt;=TIME(4,0,0),2,IF(AE193&lt;TIME(8,0,0),1,0))))))</f>
        <v>4</v>
      </c>
      <c r="AH193" s="28">
        <f t="shared" si="88"/>
        <v>0.8</v>
      </c>
      <c r="AI193" s="29">
        <f t="shared" si="89"/>
        <v>0.2</v>
      </c>
      <c r="AJ193" s="31">
        <v>1</v>
      </c>
      <c r="AK193" s="31">
        <v>1</v>
      </c>
      <c r="AL193" s="31">
        <v>1</v>
      </c>
      <c r="AM193" s="31">
        <v>0</v>
      </c>
      <c r="AN193" s="31">
        <v>0</v>
      </c>
      <c r="AO193" s="31">
        <v>0</v>
      </c>
      <c r="AP193" s="31">
        <v>0</v>
      </c>
      <c r="AQ193" s="31">
        <v>0</v>
      </c>
      <c r="AR193" s="23">
        <f t="shared" si="90"/>
        <v>0.6</v>
      </c>
      <c r="AS193" s="24">
        <f t="shared" si="91"/>
        <v>3</v>
      </c>
      <c r="AT193" s="28">
        <f t="shared" si="92"/>
        <v>0.375</v>
      </c>
      <c r="AU193" s="28">
        <f t="shared" si="93"/>
        <v>5.6249999999999994E-2</v>
      </c>
      <c r="AV193" s="32">
        <v>75</v>
      </c>
      <c r="AW193" s="32">
        <v>75</v>
      </c>
      <c r="AX193" s="32">
        <v>90</v>
      </c>
      <c r="AY193" s="32">
        <v>85</v>
      </c>
      <c r="AZ193" s="32">
        <v>80</v>
      </c>
      <c r="BA193" s="32">
        <v>100</v>
      </c>
      <c r="BB193" s="23">
        <f t="shared" ca="1" si="94"/>
        <v>0.8</v>
      </c>
      <c r="BC193" s="33">
        <f t="shared" si="100"/>
        <v>84.166666666666671</v>
      </c>
      <c r="BD193" s="28">
        <f t="shared" si="95"/>
        <v>0.94059405940594054</v>
      </c>
      <c r="BE193" s="28">
        <f t="shared" si="96"/>
        <v>0.18811881188118812</v>
      </c>
      <c r="BF193" s="34">
        <f ca="1">Q193+AA193+AF193+AR193+BB193</f>
        <v>3.8</v>
      </c>
      <c r="BG193" s="34">
        <f>AVERAGE(AV193:AZ193)</f>
        <v>81</v>
      </c>
      <c r="BH193" s="35">
        <f>T193+AD193+AI193+AU193+BE193</f>
        <v>0.75794468653240088</v>
      </c>
      <c r="BI193" s="36" t="str">
        <f ca="1">IF(K193&lt;365,"New CE",(IF(BH193&gt;=100%,"Promote",IF(BH193&gt;=90%,"Sangat Baik",IF(BH193&gt;=80%,"Baik",IF(BH193&gt;=70%,"Lebih Dari Cukup",IF(BH193&gt;=60%,"Cukup","Kurang")))))))</f>
        <v>Lebih Dari Cukup</v>
      </c>
      <c r="BJ193" s="36" t="s">
        <v>860</v>
      </c>
      <c r="BK193" s="58" t="s">
        <v>54</v>
      </c>
      <c r="BL193" s="59" t="e">
        <v>#N/A</v>
      </c>
    </row>
    <row r="194" spans="1:64" x14ac:dyDescent="0.35">
      <c r="A194" s="19">
        <v>190</v>
      </c>
      <c r="B194" s="13" t="s">
        <v>499</v>
      </c>
      <c r="C194" s="20" t="s">
        <v>500</v>
      </c>
      <c r="D194" s="76" t="s">
        <v>54</v>
      </c>
      <c r="E194" s="13" t="s">
        <v>179</v>
      </c>
      <c r="F194" s="13" t="s">
        <v>44</v>
      </c>
      <c r="G194" s="13" t="s">
        <v>61</v>
      </c>
      <c r="H194" s="65">
        <v>45131</v>
      </c>
      <c r="I194" s="21">
        <f t="shared" ca="1" si="97"/>
        <v>45974</v>
      </c>
      <c r="J194" s="13" t="str">
        <f t="shared" ca="1" si="77"/>
        <v xml:space="preserve">2 Tahun 3 Bulan 20 Hari </v>
      </c>
      <c r="K194" s="13">
        <f t="shared" ca="1" si="98"/>
        <v>1213920</v>
      </c>
      <c r="L194" s="13">
        <v>304</v>
      </c>
      <c r="M194" s="13">
        <v>5</v>
      </c>
      <c r="N194" s="13">
        <v>2111</v>
      </c>
      <c r="O194" s="22">
        <f t="shared" si="78"/>
        <v>422.2</v>
      </c>
      <c r="P194" s="13">
        <v>406</v>
      </c>
      <c r="Q194" s="23">
        <f t="shared" si="79"/>
        <v>0.8</v>
      </c>
      <c r="R194" s="24">
        <f t="shared" si="80"/>
        <v>4</v>
      </c>
      <c r="S194" s="25">
        <f t="shared" si="99"/>
        <v>0.96162955945049744</v>
      </c>
      <c r="T194" s="25">
        <f t="shared" si="81"/>
        <v>0.19232591189009951</v>
      </c>
      <c r="U194" s="26">
        <v>4819.7250252525246</v>
      </c>
      <c r="V194" s="26">
        <v>0.10711805555555555</v>
      </c>
      <c r="W194" s="26">
        <v>0</v>
      </c>
      <c r="X194" s="27">
        <f t="shared" si="109"/>
        <v>0</v>
      </c>
      <c r="Y194" s="27">
        <f t="shared" si="110"/>
        <v>1</v>
      </c>
      <c r="Z194" s="27">
        <f t="shared" si="106"/>
        <v>0</v>
      </c>
      <c r="AA194" s="23">
        <f t="shared" si="108"/>
        <v>0.4</v>
      </c>
      <c r="AB194" s="24">
        <f t="shared" si="104"/>
        <v>1</v>
      </c>
      <c r="AC194" s="28">
        <f t="shared" si="84"/>
        <v>0.33333333333333331</v>
      </c>
      <c r="AD194" s="29">
        <f t="shared" si="85"/>
        <v>8.3333333333333329E-2</v>
      </c>
      <c r="AE194" s="30">
        <v>7.454106672022412E-2</v>
      </c>
      <c r="AF194" s="23">
        <f t="shared" si="86"/>
        <v>1</v>
      </c>
      <c r="AG194" s="24">
        <f t="shared" si="111"/>
        <v>4</v>
      </c>
      <c r="AH194" s="28">
        <f t="shared" si="88"/>
        <v>0.8</v>
      </c>
      <c r="AI194" s="29">
        <f t="shared" si="89"/>
        <v>0.2</v>
      </c>
      <c r="AJ194" s="31">
        <v>1</v>
      </c>
      <c r="AK194" s="31">
        <v>1</v>
      </c>
      <c r="AL194" s="31">
        <v>1</v>
      </c>
      <c r="AM194" s="31">
        <v>0</v>
      </c>
      <c r="AN194" s="31">
        <v>1</v>
      </c>
      <c r="AO194" s="31">
        <v>1</v>
      </c>
      <c r="AP194" s="31">
        <v>0</v>
      </c>
      <c r="AQ194" s="31">
        <v>0</v>
      </c>
      <c r="AR194" s="23">
        <f t="shared" si="90"/>
        <v>1</v>
      </c>
      <c r="AS194" s="24">
        <f t="shared" si="91"/>
        <v>5</v>
      </c>
      <c r="AT194" s="28">
        <f t="shared" si="92"/>
        <v>0.625</v>
      </c>
      <c r="AU194" s="28">
        <f t="shared" si="93"/>
        <v>9.375E-2</v>
      </c>
      <c r="AV194" s="32">
        <v>75</v>
      </c>
      <c r="AW194" s="32">
        <v>75</v>
      </c>
      <c r="AX194" s="32">
        <v>80</v>
      </c>
      <c r="AY194" s="32">
        <v>80</v>
      </c>
      <c r="AZ194" s="32">
        <v>80</v>
      </c>
      <c r="BA194" s="32">
        <v>100</v>
      </c>
      <c r="BB194" s="23">
        <f t="shared" ca="1" si="94"/>
        <v>0.8</v>
      </c>
      <c r="BC194" s="33">
        <f t="shared" si="100"/>
        <v>81.666666666666671</v>
      </c>
      <c r="BD194" s="28">
        <f t="shared" si="95"/>
        <v>0.93877551020408168</v>
      </c>
      <c r="BE194" s="28">
        <f t="shared" si="96"/>
        <v>0.18775510204081636</v>
      </c>
      <c r="BF194" s="34">
        <f ca="1">Q194+AA194+AF194+AR194+BB194</f>
        <v>4</v>
      </c>
      <c r="BG194" s="34">
        <f>AVERAGE(AV194:AZ194)</f>
        <v>78</v>
      </c>
      <c r="BH194" s="35">
        <f>T194+AD194+AI194+AU194+BE194</f>
        <v>0.75716434726424919</v>
      </c>
      <c r="BI194" s="36" t="str">
        <f ca="1">IF(K194&lt;365,"New CE",(IF(BH194&gt;=100%,"Promote",IF(BH194&gt;=90%,"Sangat Baik",IF(BH194&gt;=80%,"Baik",IF(BH194&gt;=70%,"Lebih Dari Cukup",IF(BH194&gt;=60%,"Cukup","Kurang")))))))</f>
        <v>Lebih Dari Cukup</v>
      </c>
      <c r="BJ194" s="36" t="s">
        <v>860</v>
      </c>
      <c r="BK194" s="58" t="s">
        <v>54</v>
      </c>
      <c r="BL194" s="59" t="e">
        <v>#N/A</v>
      </c>
    </row>
    <row r="195" spans="1:64" x14ac:dyDescent="0.35">
      <c r="A195" s="19">
        <v>191</v>
      </c>
      <c r="B195" s="13" t="s">
        <v>501</v>
      </c>
      <c r="C195" s="20" t="s">
        <v>502</v>
      </c>
      <c r="D195" s="76" t="s">
        <v>54</v>
      </c>
      <c r="E195" s="13" t="s">
        <v>123</v>
      </c>
      <c r="F195" s="13" t="s">
        <v>44</v>
      </c>
      <c r="G195" s="13" t="s">
        <v>75</v>
      </c>
      <c r="H195" s="65">
        <v>45352</v>
      </c>
      <c r="I195" s="21">
        <f t="shared" ca="1" si="97"/>
        <v>45974</v>
      </c>
      <c r="J195" s="13" t="str">
        <f t="shared" ca="1" si="77"/>
        <v xml:space="preserve">1 Tahun 8 Bulan 12 Hari </v>
      </c>
      <c r="K195" s="13">
        <f t="shared" ca="1" si="98"/>
        <v>895680</v>
      </c>
      <c r="L195" s="13">
        <v>213</v>
      </c>
      <c r="M195" s="13">
        <v>3</v>
      </c>
      <c r="N195" s="13">
        <v>1330</v>
      </c>
      <c r="O195" s="22">
        <f t="shared" si="78"/>
        <v>443.33333333333331</v>
      </c>
      <c r="P195" s="13">
        <v>207</v>
      </c>
      <c r="Q195" s="23">
        <f t="shared" si="79"/>
        <v>0.4</v>
      </c>
      <c r="R195" s="24">
        <f t="shared" si="80"/>
        <v>2</v>
      </c>
      <c r="S195" s="25">
        <f t="shared" si="99"/>
        <v>0.46691729323308273</v>
      </c>
      <c r="T195" s="25">
        <f t="shared" si="81"/>
        <v>9.3383458646616554E-2</v>
      </c>
      <c r="U195" s="26">
        <v>2.102095516569201E-2</v>
      </c>
      <c r="V195" s="26">
        <v>1.3449074074074075E-2</v>
      </c>
      <c r="W195" s="26">
        <v>1.0790895061728395E-2</v>
      </c>
      <c r="X195" s="27">
        <f t="shared" si="109"/>
        <v>1</v>
      </c>
      <c r="Y195" s="27">
        <f t="shared" si="110"/>
        <v>1</v>
      </c>
      <c r="Z195" s="27">
        <f t="shared" si="106"/>
        <v>1</v>
      </c>
      <c r="AA195" s="23">
        <f t="shared" si="108"/>
        <v>1.25</v>
      </c>
      <c r="AB195" s="24">
        <f t="shared" si="104"/>
        <v>3</v>
      </c>
      <c r="AC195" s="28">
        <f t="shared" si="84"/>
        <v>1</v>
      </c>
      <c r="AD195" s="29">
        <f t="shared" si="85"/>
        <v>0.25</v>
      </c>
      <c r="AE195" s="30">
        <v>8.4784915123456803E-2</v>
      </c>
      <c r="AF195" s="23">
        <f t="shared" si="86"/>
        <v>0.75</v>
      </c>
      <c r="AG195" s="24">
        <f t="shared" si="111"/>
        <v>3</v>
      </c>
      <c r="AH195" s="28">
        <f t="shared" si="88"/>
        <v>0.6</v>
      </c>
      <c r="AI195" s="29">
        <f t="shared" si="89"/>
        <v>0.15</v>
      </c>
      <c r="AJ195" s="31">
        <v>1</v>
      </c>
      <c r="AK195" s="31">
        <v>1</v>
      </c>
      <c r="AL195" s="31">
        <v>1</v>
      </c>
      <c r="AM195" s="31">
        <v>0</v>
      </c>
      <c r="AN195" s="31">
        <v>1</v>
      </c>
      <c r="AO195" s="31">
        <v>0</v>
      </c>
      <c r="AP195" s="31">
        <v>0</v>
      </c>
      <c r="AQ195" s="31">
        <v>0</v>
      </c>
      <c r="AR195" s="23">
        <f t="shared" si="90"/>
        <v>0.8</v>
      </c>
      <c r="AS195" s="24">
        <f t="shared" si="91"/>
        <v>4</v>
      </c>
      <c r="AT195" s="28">
        <f t="shared" si="92"/>
        <v>0.5</v>
      </c>
      <c r="AU195" s="28">
        <f t="shared" si="93"/>
        <v>7.4999999999999997E-2</v>
      </c>
      <c r="AV195" s="32">
        <v>75</v>
      </c>
      <c r="AW195" s="32">
        <v>75</v>
      </c>
      <c r="AX195" s="32">
        <v>80</v>
      </c>
      <c r="AY195" s="32">
        <v>80</v>
      </c>
      <c r="AZ195" s="32">
        <v>80</v>
      </c>
      <c r="BA195" s="32">
        <v>100</v>
      </c>
      <c r="BB195" s="23">
        <f t="shared" ca="1" si="94"/>
        <v>0.8</v>
      </c>
      <c r="BC195" s="33">
        <f t="shared" si="100"/>
        <v>81.666666666666671</v>
      </c>
      <c r="BD195" s="28">
        <f t="shared" si="95"/>
        <v>0.93877551020408168</v>
      </c>
      <c r="BE195" s="28">
        <f t="shared" si="96"/>
        <v>0.18775510204081636</v>
      </c>
      <c r="BF195" s="34">
        <f ca="1">Q195+AA195+AF195+AR195+BB195</f>
        <v>4</v>
      </c>
      <c r="BG195" s="34">
        <f>AVERAGE(AV195:AZ195)</f>
        <v>78</v>
      </c>
      <c r="BH195" s="35">
        <f>T195+AD195+AI195+AU195+BE195</f>
        <v>0.7561385606874329</v>
      </c>
      <c r="BI195" s="36" t="str">
        <f ca="1">IF(K195&lt;365,"New CE",(IF(BH195&gt;=100%,"Promote",IF(BH195&gt;=90%,"Sangat Baik",IF(BH195&gt;=80%,"Baik",IF(BH195&gt;=70%,"Lebih Dari Cukup",IF(BH195&gt;=60%,"Cukup","Kurang")))))))</f>
        <v>Lebih Dari Cukup</v>
      </c>
      <c r="BJ195" s="36" t="s">
        <v>860</v>
      </c>
      <c r="BK195" s="58" t="s">
        <v>54</v>
      </c>
      <c r="BL195" s="59" t="e">
        <v>#N/A</v>
      </c>
    </row>
    <row r="196" spans="1:64" x14ac:dyDescent="0.35">
      <c r="A196" s="19">
        <v>192</v>
      </c>
      <c r="B196" s="13" t="s">
        <v>503</v>
      </c>
      <c r="C196" s="20" t="s">
        <v>504</v>
      </c>
      <c r="D196" s="76" t="s">
        <v>54</v>
      </c>
      <c r="E196" s="13" t="s">
        <v>252</v>
      </c>
      <c r="F196" s="13" t="s">
        <v>44</v>
      </c>
      <c r="G196" s="13" t="s">
        <v>61</v>
      </c>
      <c r="H196" s="65">
        <v>44966</v>
      </c>
      <c r="I196" s="21">
        <f t="shared" ca="1" si="97"/>
        <v>45974</v>
      </c>
      <c r="J196" s="13" t="str">
        <f t="shared" ref="J196:J256" ca="1" si="112">DATEDIF(H196,NOW(),"Y") &amp; " Tahun " &amp; DATEDIF(H196,NOW(),"YM") &amp; " Bulan " &amp; DATEDIF(H196,NOW(),"MD") &amp; " Hari "</f>
        <v xml:space="preserve">2 Tahun 9 Bulan 4 Hari </v>
      </c>
      <c r="K196" s="13">
        <f t="shared" ca="1" si="98"/>
        <v>1451520</v>
      </c>
      <c r="L196" s="13">
        <v>313</v>
      </c>
      <c r="M196" s="13">
        <v>6</v>
      </c>
      <c r="N196" s="13">
        <v>2164</v>
      </c>
      <c r="O196" s="22">
        <f t="shared" ref="O196:O256" si="113">N196/M196</f>
        <v>360.66666666666669</v>
      </c>
      <c r="P196" s="13">
        <v>446</v>
      </c>
      <c r="Q196" s="23">
        <f t="shared" ref="Q196:Q256" si="114">IF(R196=5, 1, IF(R196=4, 0.8, IF(R196=3, 0.6, IF(R196=2, 0.4, IF(R196=1, 0.2, 0)))))</f>
        <v>1</v>
      </c>
      <c r="R196" s="24">
        <f t="shared" ref="R196:R256" si="115">IF(S196&gt;=100%, 5, IF(S196&gt;=80%, 4, IF(S196&gt;=60%, 3, IF(S196&gt;=40%, 2, IF(S196&gt;=0%, 1, "")))))</f>
        <v>5</v>
      </c>
      <c r="S196" s="25">
        <f t="shared" si="99"/>
        <v>1.2365988909426986</v>
      </c>
      <c r="T196" s="25">
        <f t="shared" ref="T196:T256" si="116">20%*S196</f>
        <v>0.24731977818853973</v>
      </c>
      <c r="U196" s="26">
        <v>4785.3844633284589</v>
      </c>
      <c r="V196" s="26">
        <v>9.3911313657407403E-2</v>
      </c>
      <c r="W196" s="26">
        <v>0</v>
      </c>
      <c r="X196" s="27">
        <f t="shared" si="109"/>
        <v>0</v>
      </c>
      <c r="Y196" s="27">
        <f t="shared" si="110"/>
        <v>1</v>
      </c>
      <c r="Z196" s="27">
        <f t="shared" si="106"/>
        <v>0</v>
      </c>
      <c r="AA196" s="23">
        <f t="shared" si="108"/>
        <v>0.4</v>
      </c>
      <c r="AB196" s="24">
        <f t="shared" si="104"/>
        <v>1</v>
      </c>
      <c r="AC196" s="28">
        <f t="shared" ref="AC196:AC256" si="117">AB196/3</f>
        <v>0.33333333333333331</v>
      </c>
      <c r="AD196" s="29">
        <f t="shared" ref="AD196:AD256" si="118">25%*AC196</f>
        <v>8.3333333333333329E-2</v>
      </c>
      <c r="AE196" s="30">
        <v>5.7111704653371315E-2</v>
      </c>
      <c r="AF196" s="23">
        <f t="shared" ref="AF196:AF256" si="119">IF(AG196=5, 1.25, IF(AG196=4, 1, IF(AG196=3, 0.75, IF(AG196=2, 0.5, IF(AG196=1, 0.25, 0)))))</f>
        <v>1</v>
      </c>
      <c r="AG196" s="24">
        <f t="shared" si="111"/>
        <v>4</v>
      </c>
      <c r="AH196" s="28">
        <f t="shared" ref="AH196:AH256" si="120">IF(AE196=TIME(0,0,0),0%,AG196/5)</f>
        <v>0.8</v>
      </c>
      <c r="AI196" s="29">
        <f t="shared" ref="AI196:AI256" si="121">25%*AH196</f>
        <v>0.2</v>
      </c>
      <c r="AJ196" s="31">
        <v>1</v>
      </c>
      <c r="AK196" s="31">
        <v>1</v>
      </c>
      <c r="AL196" s="31">
        <v>0</v>
      </c>
      <c r="AM196" s="31">
        <v>0</v>
      </c>
      <c r="AN196" s="31">
        <v>0</v>
      </c>
      <c r="AO196" s="31">
        <v>0</v>
      </c>
      <c r="AP196" s="31">
        <v>0</v>
      </c>
      <c r="AQ196" s="31">
        <v>0</v>
      </c>
      <c r="AR196" s="23">
        <f t="shared" ref="AR196:AR256" si="122">IF(AS196&gt;=5, 1, IF(AS196=4, 0.8, IF(AS196=3, 0.6, IF(AS196=2, 0.4, IF(AS196=1, 0.2, 0)))))</f>
        <v>0.4</v>
      </c>
      <c r="AS196" s="24">
        <f t="shared" ref="AS196:AS256" si="123">SUM(AJ196:AQ196)</f>
        <v>2</v>
      </c>
      <c r="AT196" s="28">
        <f t="shared" ref="AT196:AT256" si="124">AS196/8</f>
        <v>0.25</v>
      </c>
      <c r="AU196" s="28">
        <f t="shared" ref="AU196:AU256" si="125">15%*AT196</f>
        <v>3.7499999999999999E-2</v>
      </c>
      <c r="AV196" s="32">
        <v>75</v>
      </c>
      <c r="AW196" s="32">
        <v>75</v>
      </c>
      <c r="AX196" s="32">
        <v>80</v>
      </c>
      <c r="AY196" s="32">
        <v>85</v>
      </c>
      <c r="AZ196" s="32">
        <v>85</v>
      </c>
      <c r="BA196" s="32">
        <v>100</v>
      </c>
      <c r="BB196" s="23">
        <f t="shared" ref="BB196:BB256" ca="1" si="126">IF(BI196&gt;="Sangat Baik", 1, IF(BI196&gt;="Baik", 0.8, IF(BI196&gt;="Cukup", 0.6, IF(BI196&gt;="Kurang", 0.4, IF(BI196&gt;="Sangat Kurang", 0.2, 0)))))</f>
        <v>0.8</v>
      </c>
      <c r="BC196" s="33">
        <f t="shared" si="100"/>
        <v>83.333333333333329</v>
      </c>
      <c r="BD196" s="28">
        <f t="shared" ref="BD196:BD256" si="127">100%-(5/BC196)</f>
        <v>0.94</v>
      </c>
      <c r="BE196" s="28">
        <f t="shared" ref="BE196:BE256" si="128">20%*BD196</f>
        <v>0.188</v>
      </c>
      <c r="BF196" s="34">
        <f ca="1">Q196+AA196+AF196+AR196+BB196</f>
        <v>3.5999999999999996</v>
      </c>
      <c r="BG196" s="34">
        <f>AVERAGE(AV196:AZ196)</f>
        <v>80</v>
      </c>
      <c r="BH196" s="35">
        <f>T196+AD196+AI196+AU196+BE196</f>
        <v>0.75615311152187314</v>
      </c>
      <c r="BI196" s="36" t="str">
        <f ca="1">IF(K196&lt;365,"New CE",(IF(BH196&gt;=100%,"Promote",IF(BH196&gt;=90%,"Sangat Baik",IF(BH196&gt;=80%,"Baik",IF(BH196&gt;=70%,"Lebih Dari Cukup",IF(BH196&gt;=60%,"Cukup","Kurang")))))))</f>
        <v>Lebih Dari Cukup</v>
      </c>
      <c r="BJ196" s="36" t="s">
        <v>860</v>
      </c>
      <c r="BK196" s="58" t="s">
        <v>54</v>
      </c>
      <c r="BL196" s="59" t="e">
        <v>#N/A</v>
      </c>
    </row>
    <row r="197" spans="1:64" x14ac:dyDescent="0.35">
      <c r="A197" s="19">
        <v>193</v>
      </c>
      <c r="B197" s="13" t="s">
        <v>505</v>
      </c>
      <c r="C197" s="20" t="s">
        <v>506</v>
      </c>
      <c r="D197" s="76" t="s">
        <v>48</v>
      </c>
      <c r="E197" s="13" t="s">
        <v>462</v>
      </c>
      <c r="F197" s="13" t="s">
        <v>44</v>
      </c>
      <c r="G197" s="13" t="s">
        <v>55</v>
      </c>
      <c r="H197" s="65">
        <v>44172</v>
      </c>
      <c r="I197" s="21">
        <f t="shared" ca="1" si="97"/>
        <v>45974</v>
      </c>
      <c r="J197" s="13" t="str">
        <f t="shared" ca="1" si="112"/>
        <v xml:space="preserve">4 Tahun 11 Bulan 6 Hari </v>
      </c>
      <c r="K197" s="13">
        <f t="shared" ca="1" si="98"/>
        <v>2594880</v>
      </c>
      <c r="L197" s="13">
        <v>104</v>
      </c>
      <c r="M197" s="13">
        <v>2</v>
      </c>
      <c r="N197" s="13">
        <v>763</v>
      </c>
      <c r="O197" s="22">
        <f t="shared" si="113"/>
        <v>381.5</v>
      </c>
      <c r="P197" s="13">
        <v>360</v>
      </c>
      <c r="Q197" s="23">
        <f t="shared" si="114"/>
        <v>0.8</v>
      </c>
      <c r="R197" s="24">
        <f t="shared" si="115"/>
        <v>4</v>
      </c>
      <c r="S197" s="25">
        <f t="shared" si="99"/>
        <v>0.94364351245085187</v>
      </c>
      <c r="T197" s="25">
        <f t="shared" si="116"/>
        <v>0.18872870249017037</v>
      </c>
      <c r="U197" s="26">
        <v>4015.8278894335517</v>
      </c>
      <c r="V197" s="26">
        <v>0</v>
      </c>
      <c r="W197" s="26">
        <v>6.9444444444444444E-5</v>
      </c>
      <c r="X197" s="27">
        <f t="shared" si="109"/>
        <v>0</v>
      </c>
      <c r="Y197" s="27">
        <f t="shared" si="110"/>
        <v>0</v>
      </c>
      <c r="Z197" s="27">
        <f t="shared" si="106"/>
        <v>1</v>
      </c>
      <c r="AA197" s="23">
        <f t="shared" si="108"/>
        <v>0.4</v>
      </c>
      <c r="AB197" s="24">
        <f t="shared" si="104"/>
        <v>1</v>
      </c>
      <c r="AC197" s="28">
        <f t="shared" si="117"/>
        <v>0.33333333333333331</v>
      </c>
      <c r="AD197" s="29">
        <f t="shared" si="118"/>
        <v>8.3333333333333329E-2</v>
      </c>
      <c r="AE197" s="30">
        <v>6.4817372311827964E-2</v>
      </c>
      <c r="AF197" s="23">
        <f t="shared" si="119"/>
        <v>1</v>
      </c>
      <c r="AG197" s="24">
        <f t="shared" si="111"/>
        <v>4</v>
      </c>
      <c r="AH197" s="28">
        <f t="shared" si="120"/>
        <v>0.8</v>
      </c>
      <c r="AI197" s="29">
        <f t="shared" si="121"/>
        <v>0.2</v>
      </c>
      <c r="AJ197" s="31">
        <v>1</v>
      </c>
      <c r="AK197" s="31">
        <v>1</v>
      </c>
      <c r="AL197" s="31">
        <v>1</v>
      </c>
      <c r="AM197" s="31">
        <v>0</v>
      </c>
      <c r="AN197" s="31">
        <v>0</v>
      </c>
      <c r="AO197" s="31">
        <v>1</v>
      </c>
      <c r="AP197" s="31">
        <v>0</v>
      </c>
      <c r="AQ197" s="31">
        <v>1</v>
      </c>
      <c r="AR197" s="23">
        <f t="shared" si="122"/>
        <v>1</v>
      </c>
      <c r="AS197" s="24">
        <f t="shared" si="123"/>
        <v>5</v>
      </c>
      <c r="AT197" s="28">
        <f t="shared" si="124"/>
        <v>0.625</v>
      </c>
      <c r="AU197" s="28">
        <f t="shared" si="125"/>
        <v>9.375E-2</v>
      </c>
      <c r="AV197" s="32">
        <v>75</v>
      </c>
      <c r="AW197" s="32">
        <v>75</v>
      </c>
      <c r="AX197" s="32">
        <v>90</v>
      </c>
      <c r="AY197" s="32">
        <v>90</v>
      </c>
      <c r="AZ197" s="32">
        <v>90</v>
      </c>
      <c r="BA197" s="32">
        <v>100</v>
      </c>
      <c r="BB197" s="23">
        <f t="shared" ca="1" si="126"/>
        <v>0.8</v>
      </c>
      <c r="BC197" s="33">
        <f t="shared" si="100"/>
        <v>86.666666666666671</v>
      </c>
      <c r="BD197" s="28">
        <f t="shared" si="127"/>
        <v>0.94230769230769229</v>
      </c>
      <c r="BE197" s="28">
        <f t="shared" si="128"/>
        <v>0.18846153846153846</v>
      </c>
      <c r="BF197" s="34">
        <f ca="1">Q197+AA197+AF197+AR197+BB197</f>
        <v>4</v>
      </c>
      <c r="BG197" s="34">
        <f>AVERAGE(AV197:AZ197)</f>
        <v>84</v>
      </c>
      <c r="BH197" s="35">
        <f>T197+AD197+AI197+AU197+BE197</f>
        <v>0.75427357428504216</v>
      </c>
      <c r="BI197" s="36" t="str">
        <f ca="1">IF(K197&lt;365,"New CE",(IF(BH197&gt;=100%,"Promote",IF(BH197&gt;=90%,"Sangat Baik",IF(BH197&gt;=80%,"Baik",IF(BH197&gt;=70%,"Lebih Dari Cukup",IF(BH197&gt;=60%,"Cukup","Kurang")))))))</f>
        <v>Lebih Dari Cukup</v>
      </c>
      <c r="BJ197" s="36" t="s">
        <v>860</v>
      </c>
      <c r="BK197" s="58" t="s">
        <v>48</v>
      </c>
      <c r="BL197" s="59" t="e">
        <v>#N/A</v>
      </c>
    </row>
    <row r="198" spans="1:64" x14ac:dyDescent="0.35">
      <c r="A198" s="19">
        <v>194</v>
      </c>
      <c r="B198" s="13" t="s">
        <v>507</v>
      </c>
      <c r="C198" s="20" t="s">
        <v>508</v>
      </c>
      <c r="D198" s="76" t="s">
        <v>54</v>
      </c>
      <c r="E198" s="13" t="s">
        <v>117</v>
      </c>
      <c r="F198" s="13" t="s">
        <v>74</v>
      </c>
      <c r="G198" s="13" t="s">
        <v>61</v>
      </c>
      <c r="H198" s="65">
        <v>45243</v>
      </c>
      <c r="I198" s="21">
        <f t="shared" ref="I198:I261" ca="1" si="129">TODAY()</f>
        <v>45974</v>
      </c>
      <c r="J198" s="13" t="str">
        <f t="shared" ca="1" si="112"/>
        <v xml:space="preserve">2 Tahun 0 Bulan 0 Hari </v>
      </c>
      <c r="K198" s="13">
        <f t="shared" ref="K198:K261" ca="1" si="130">1440*(I198-H198)</f>
        <v>1052640</v>
      </c>
      <c r="L198" s="13">
        <v>401</v>
      </c>
      <c r="M198" s="13">
        <v>7</v>
      </c>
      <c r="N198" s="13">
        <v>2754</v>
      </c>
      <c r="O198" s="22">
        <f t="shared" si="113"/>
        <v>393.42857142857144</v>
      </c>
      <c r="P198" s="13">
        <v>415</v>
      </c>
      <c r="Q198" s="23">
        <f t="shared" si="114"/>
        <v>1</v>
      </c>
      <c r="R198" s="24">
        <f t="shared" si="115"/>
        <v>5</v>
      </c>
      <c r="S198" s="25">
        <f t="shared" ref="S198:S258" si="131">P198/O198</f>
        <v>1.0548293391430645</v>
      </c>
      <c r="T198" s="25">
        <f t="shared" si="116"/>
        <v>0.21096586782861293</v>
      </c>
      <c r="U198" s="26">
        <v>2275.680488715278</v>
      </c>
      <c r="V198" s="26">
        <v>3.9117476851851851E-2</v>
      </c>
      <c r="W198" s="26">
        <v>1890.6052927276232</v>
      </c>
      <c r="X198" s="27">
        <f t="shared" si="109"/>
        <v>0</v>
      </c>
      <c r="Y198" s="27">
        <f t="shared" si="110"/>
        <v>1</v>
      </c>
      <c r="Z198" s="27">
        <f t="shared" si="106"/>
        <v>1</v>
      </c>
      <c r="AA198" s="23">
        <f t="shared" si="108"/>
        <v>0.8</v>
      </c>
      <c r="AB198" s="24">
        <f t="shared" si="104"/>
        <v>2</v>
      </c>
      <c r="AC198" s="28">
        <f t="shared" si="117"/>
        <v>0.66666666666666663</v>
      </c>
      <c r="AD198" s="29">
        <f t="shared" si="118"/>
        <v>0.16666666666666666</v>
      </c>
      <c r="AE198" s="30">
        <v>9.9735740618263763E-2</v>
      </c>
      <c r="AF198" s="23">
        <f t="shared" si="119"/>
        <v>0.75</v>
      </c>
      <c r="AG198" s="24">
        <f t="shared" si="111"/>
        <v>3</v>
      </c>
      <c r="AH198" s="28">
        <f t="shared" si="120"/>
        <v>0.6</v>
      </c>
      <c r="AI198" s="29">
        <f t="shared" si="121"/>
        <v>0.15</v>
      </c>
      <c r="AJ198" s="31">
        <v>1</v>
      </c>
      <c r="AK198" s="31">
        <v>1</v>
      </c>
      <c r="AL198" s="31">
        <v>0</v>
      </c>
      <c r="AM198" s="31">
        <v>0</v>
      </c>
      <c r="AN198" s="31">
        <v>0</v>
      </c>
      <c r="AO198" s="31">
        <v>0</v>
      </c>
      <c r="AP198" s="31">
        <v>0</v>
      </c>
      <c r="AQ198" s="31">
        <v>0</v>
      </c>
      <c r="AR198" s="23">
        <f t="shared" si="122"/>
        <v>0.4</v>
      </c>
      <c r="AS198" s="24">
        <f t="shared" si="123"/>
        <v>2</v>
      </c>
      <c r="AT198" s="28">
        <f t="shared" si="124"/>
        <v>0.25</v>
      </c>
      <c r="AU198" s="28">
        <f t="shared" si="125"/>
        <v>3.7499999999999999E-2</v>
      </c>
      <c r="AV198" s="32">
        <v>75</v>
      </c>
      <c r="AW198" s="32">
        <v>75</v>
      </c>
      <c r="AX198" s="32">
        <v>80</v>
      </c>
      <c r="AY198" s="32">
        <v>80</v>
      </c>
      <c r="AZ198" s="32">
        <v>80</v>
      </c>
      <c r="BA198" s="32">
        <v>100</v>
      </c>
      <c r="BB198" s="23">
        <f t="shared" ca="1" si="126"/>
        <v>0.8</v>
      </c>
      <c r="BC198" s="33">
        <f t="shared" ref="BC198:BC261" si="132">AVERAGE(AV198:BA198)</f>
        <v>81.666666666666671</v>
      </c>
      <c r="BD198" s="28">
        <f t="shared" si="127"/>
        <v>0.93877551020408168</v>
      </c>
      <c r="BE198" s="28">
        <f t="shared" si="128"/>
        <v>0.18775510204081636</v>
      </c>
      <c r="BF198" s="34">
        <f ca="1">Q198+AA198+AF198+AR198+BB198</f>
        <v>3.75</v>
      </c>
      <c r="BG198" s="34">
        <f>AVERAGE(AV198:AZ198)</f>
        <v>78</v>
      </c>
      <c r="BH198" s="35">
        <f>T198+AD198+AI198+AU198+BE198</f>
        <v>0.75288763653609592</v>
      </c>
      <c r="BI198" s="36" t="str">
        <f ca="1">IF(K198&lt;365,"New CE",(IF(BH198&gt;=100%,"Promote",IF(BH198&gt;=90%,"Sangat Baik",IF(BH198&gt;=80%,"Baik",IF(BH198&gt;=70%,"Lebih Dari Cukup",IF(BH198&gt;=60%,"Cukup","Kurang")))))))</f>
        <v>Lebih Dari Cukup</v>
      </c>
      <c r="BJ198" s="36" t="s">
        <v>860</v>
      </c>
      <c r="BK198" s="58" t="s">
        <v>54</v>
      </c>
      <c r="BL198" s="59" t="str">
        <v>M Dicky Syahputra</v>
      </c>
    </row>
    <row r="199" spans="1:64" x14ac:dyDescent="0.35">
      <c r="A199" s="19">
        <v>195</v>
      </c>
      <c r="B199" s="13" t="s">
        <v>509</v>
      </c>
      <c r="C199" s="20" t="s">
        <v>510</v>
      </c>
      <c r="D199" s="76" t="s">
        <v>48</v>
      </c>
      <c r="E199" s="13" t="s">
        <v>223</v>
      </c>
      <c r="F199" s="13" t="s">
        <v>74</v>
      </c>
      <c r="G199" s="13" t="s">
        <v>51</v>
      </c>
      <c r="H199" s="65">
        <v>44431</v>
      </c>
      <c r="I199" s="21">
        <f t="shared" ca="1" si="129"/>
        <v>45974</v>
      </c>
      <c r="J199" s="13" t="str">
        <f t="shared" ca="1" si="112"/>
        <v xml:space="preserve">4 Tahun 2 Bulan 21 Hari </v>
      </c>
      <c r="K199" s="13">
        <f t="shared" ca="1" si="130"/>
        <v>2221920</v>
      </c>
      <c r="L199" s="13">
        <v>426</v>
      </c>
      <c r="M199" s="13">
        <v>6</v>
      </c>
      <c r="N199" s="13">
        <v>3000</v>
      </c>
      <c r="O199" s="22">
        <f t="shared" si="113"/>
        <v>500</v>
      </c>
      <c r="P199" s="13">
        <v>469</v>
      </c>
      <c r="Q199" s="23">
        <f t="shared" si="114"/>
        <v>0.8</v>
      </c>
      <c r="R199" s="24">
        <f t="shared" si="115"/>
        <v>4</v>
      </c>
      <c r="S199" s="25">
        <f t="shared" si="131"/>
        <v>0.93799999999999994</v>
      </c>
      <c r="T199" s="25">
        <f t="shared" si="116"/>
        <v>0.18759999999999999</v>
      </c>
      <c r="U199" s="26">
        <v>8998.1164137559572</v>
      </c>
      <c r="V199" s="26">
        <v>8247.8452914562295</v>
      </c>
      <c r="W199" s="26">
        <v>4127.3508622685185</v>
      </c>
      <c r="X199" s="27">
        <f t="shared" si="109"/>
        <v>0</v>
      </c>
      <c r="Y199" s="27">
        <f t="shared" si="110"/>
        <v>0</v>
      </c>
      <c r="Z199" s="27">
        <f t="shared" si="106"/>
        <v>1</v>
      </c>
      <c r="AA199" s="23">
        <f t="shared" si="108"/>
        <v>0.4</v>
      </c>
      <c r="AB199" s="24">
        <f t="shared" si="104"/>
        <v>1</v>
      </c>
      <c r="AC199" s="28">
        <f t="shared" si="117"/>
        <v>0.33333333333333331</v>
      </c>
      <c r="AD199" s="29">
        <f t="shared" si="118"/>
        <v>8.3333333333333329E-2</v>
      </c>
      <c r="AE199" s="30">
        <v>6.3344266169787E-2</v>
      </c>
      <c r="AF199" s="23">
        <f t="shared" si="119"/>
        <v>1</v>
      </c>
      <c r="AG199" s="24">
        <f t="shared" si="111"/>
        <v>4</v>
      </c>
      <c r="AH199" s="28">
        <f t="shared" si="120"/>
        <v>0.8</v>
      </c>
      <c r="AI199" s="29">
        <f t="shared" si="121"/>
        <v>0.2</v>
      </c>
      <c r="AJ199" s="31">
        <v>1</v>
      </c>
      <c r="AK199" s="31">
        <v>1</v>
      </c>
      <c r="AL199" s="31">
        <v>1</v>
      </c>
      <c r="AM199" s="31">
        <v>0</v>
      </c>
      <c r="AN199" s="31">
        <v>0</v>
      </c>
      <c r="AO199" s="31">
        <v>1</v>
      </c>
      <c r="AP199" s="31">
        <v>0</v>
      </c>
      <c r="AQ199" s="31">
        <v>1</v>
      </c>
      <c r="AR199" s="23">
        <f t="shared" si="122"/>
        <v>1</v>
      </c>
      <c r="AS199" s="24">
        <f t="shared" si="123"/>
        <v>5</v>
      </c>
      <c r="AT199" s="28">
        <f t="shared" si="124"/>
        <v>0.625</v>
      </c>
      <c r="AU199" s="28">
        <f t="shared" si="125"/>
        <v>9.375E-2</v>
      </c>
      <c r="AV199" s="32">
        <v>75</v>
      </c>
      <c r="AW199" s="32">
        <v>75</v>
      </c>
      <c r="AX199" s="32">
        <v>80</v>
      </c>
      <c r="AY199" s="32">
        <v>85</v>
      </c>
      <c r="AZ199" s="32">
        <v>80</v>
      </c>
      <c r="BA199" s="32">
        <v>100</v>
      </c>
      <c r="BB199" s="23">
        <f t="shared" ca="1" si="126"/>
        <v>0.8</v>
      </c>
      <c r="BC199" s="33">
        <f t="shared" si="132"/>
        <v>82.5</v>
      </c>
      <c r="BD199" s="28">
        <f t="shared" si="127"/>
        <v>0.93939393939393945</v>
      </c>
      <c r="BE199" s="28">
        <f t="shared" si="128"/>
        <v>0.1878787878787879</v>
      </c>
      <c r="BF199" s="34">
        <f ca="1">Q199+AA199+AF199+AR199+BB199</f>
        <v>4</v>
      </c>
      <c r="BG199" s="34">
        <f>AVERAGE(AV199:AZ199)</f>
        <v>79</v>
      </c>
      <c r="BH199" s="35">
        <f>T199+AD199+AI199+AU199+BE199</f>
        <v>0.75256212121212118</v>
      </c>
      <c r="BI199" s="36" t="str">
        <f ca="1">IF(K199&lt;365,"New CE",(IF(BH199&gt;=100%,"Promote",IF(BH199&gt;=90%,"Sangat Baik",IF(BH199&gt;=80%,"Baik",IF(BH199&gt;=70%,"Lebih Dari Cukup",IF(BH199&gt;=60%,"Cukup","Kurang")))))))</f>
        <v>Lebih Dari Cukup</v>
      </c>
      <c r="BJ199" s="36" t="s">
        <v>860</v>
      </c>
      <c r="BK199" s="58" t="s">
        <v>48</v>
      </c>
      <c r="BL199" s="59" t="str">
        <v>Dimas Anda Pratama</v>
      </c>
    </row>
    <row r="200" spans="1:64" x14ac:dyDescent="0.35">
      <c r="A200" s="19">
        <v>196</v>
      </c>
      <c r="B200" s="13" t="s">
        <v>511</v>
      </c>
      <c r="C200" s="20" t="s">
        <v>512</v>
      </c>
      <c r="D200" s="76" t="s">
        <v>54</v>
      </c>
      <c r="E200" s="13" t="s">
        <v>98</v>
      </c>
      <c r="F200" s="13" t="s">
        <v>50</v>
      </c>
      <c r="G200" s="13" t="s">
        <v>61</v>
      </c>
      <c r="H200" s="65">
        <v>44966</v>
      </c>
      <c r="I200" s="21">
        <f t="shared" ca="1" si="129"/>
        <v>45974</v>
      </c>
      <c r="J200" s="13" t="str">
        <f t="shared" ca="1" si="112"/>
        <v xml:space="preserve">2 Tahun 9 Bulan 4 Hari </v>
      </c>
      <c r="K200" s="13">
        <f t="shared" ca="1" si="130"/>
        <v>1451520</v>
      </c>
      <c r="L200" s="13">
        <v>1040</v>
      </c>
      <c r="M200" s="13">
        <v>17</v>
      </c>
      <c r="N200" s="13">
        <v>7455</v>
      </c>
      <c r="O200" s="22">
        <f t="shared" si="113"/>
        <v>438.52941176470586</v>
      </c>
      <c r="P200" s="13">
        <v>491</v>
      </c>
      <c r="Q200" s="23">
        <f t="shared" si="114"/>
        <v>1</v>
      </c>
      <c r="R200" s="24">
        <f t="shared" si="115"/>
        <v>5</v>
      </c>
      <c r="S200" s="25">
        <f t="shared" si="131"/>
        <v>1.1196512407780015</v>
      </c>
      <c r="T200" s="25">
        <f t="shared" si="116"/>
        <v>0.22393024815560031</v>
      </c>
      <c r="U200" s="26">
        <v>1.206217642373556E-2</v>
      </c>
      <c r="V200" s="26">
        <v>0</v>
      </c>
      <c r="W200" s="26">
        <v>0</v>
      </c>
      <c r="X200" s="27">
        <f t="shared" si="109"/>
        <v>1</v>
      </c>
      <c r="Y200" s="27">
        <f t="shared" si="110"/>
        <v>0</v>
      </c>
      <c r="Z200" s="27">
        <f t="shared" si="106"/>
        <v>0</v>
      </c>
      <c r="AA200" s="23">
        <f t="shared" si="108"/>
        <v>0.4</v>
      </c>
      <c r="AB200" s="24">
        <f t="shared" si="104"/>
        <v>1</v>
      </c>
      <c r="AC200" s="28">
        <f t="shared" si="117"/>
        <v>0.33333333333333331</v>
      </c>
      <c r="AD200" s="29">
        <f t="shared" si="118"/>
        <v>8.3333333333333329E-2</v>
      </c>
      <c r="AE200" s="30">
        <v>6.2875059865900376E-2</v>
      </c>
      <c r="AF200" s="23">
        <f t="shared" si="119"/>
        <v>1</v>
      </c>
      <c r="AG200" s="24">
        <f t="shared" si="111"/>
        <v>4</v>
      </c>
      <c r="AH200" s="28">
        <f t="shared" si="120"/>
        <v>0.8</v>
      </c>
      <c r="AI200" s="29">
        <f t="shared" si="121"/>
        <v>0.2</v>
      </c>
      <c r="AJ200" s="31">
        <v>1</v>
      </c>
      <c r="AK200" s="31">
        <v>1</v>
      </c>
      <c r="AL200" s="31">
        <v>1</v>
      </c>
      <c r="AM200" s="31">
        <v>0</v>
      </c>
      <c r="AN200" s="31">
        <v>0</v>
      </c>
      <c r="AO200" s="31">
        <v>0</v>
      </c>
      <c r="AP200" s="31">
        <v>0</v>
      </c>
      <c r="AQ200" s="31">
        <v>0</v>
      </c>
      <c r="AR200" s="23">
        <f t="shared" si="122"/>
        <v>0.6</v>
      </c>
      <c r="AS200" s="24">
        <f t="shared" si="123"/>
        <v>3</v>
      </c>
      <c r="AT200" s="28">
        <f t="shared" si="124"/>
        <v>0.375</v>
      </c>
      <c r="AU200" s="28">
        <f t="shared" si="125"/>
        <v>5.6249999999999994E-2</v>
      </c>
      <c r="AV200" s="32">
        <v>75</v>
      </c>
      <c r="AW200" s="32">
        <v>75</v>
      </c>
      <c r="AX200" s="32">
        <v>90</v>
      </c>
      <c r="AY200" s="32">
        <v>85</v>
      </c>
      <c r="AZ200" s="32">
        <v>80</v>
      </c>
      <c r="BA200" s="32">
        <v>100</v>
      </c>
      <c r="BB200" s="23">
        <f t="shared" ca="1" si="126"/>
        <v>0.8</v>
      </c>
      <c r="BC200" s="33">
        <f t="shared" si="132"/>
        <v>84.166666666666671</v>
      </c>
      <c r="BD200" s="28">
        <f t="shared" si="127"/>
        <v>0.94059405940594054</v>
      </c>
      <c r="BE200" s="28">
        <f t="shared" si="128"/>
        <v>0.18811881188118812</v>
      </c>
      <c r="BF200" s="34">
        <f ca="1">Q200+AA200+AF200+AR200+BB200</f>
        <v>3.8</v>
      </c>
      <c r="BG200" s="34">
        <f>AVERAGE(AV200:AZ200)</f>
        <v>81</v>
      </c>
      <c r="BH200" s="35">
        <f>T200+AD200+AI200+AU200+BE200</f>
        <v>0.75163239337012189</v>
      </c>
      <c r="BI200" s="36" t="str">
        <f ca="1">IF(K200&lt;365,"New CE",(IF(BH200&gt;=100%,"Promote",IF(BH200&gt;=90%,"Sangat Baik",IF(BH200&gt;=80%,"Baik",IF(BH200&gt;=70%,"Lebih Dari Cukup",IF(BH200&gt;=60%,"Cukup","Kurang")))))))</f>
        <v>Lebih Dari Cukup</v>
      </c>
      <c r="BJ200" s="36" t="s">
        <v>860</v>
      </c>
      <c r="BK200" s="58" t="s">
        <v>54</v>
      </c>
      <c r="BL200" s="59" t="e">
        <v>#N/A</v>
      </c>
    </row>
    <row r="201" spans="1:64" x14ac:dyDescent="0.35">
      <c r="A201" s="19">
        <v>197</v>
      </c>
      <c r="B201" s="13" t="s">
        <v>513</v>
      </c>
      <c r="C201" s="20" t="s">
        <v>514</v>
      </c>
      <c r="D201" s="76" t="s">
        <v>48</v>
      </c>
      <c r="E201" s="13" t="s">
        <v>247</v>
      </c>
      <c r="F201" s="13" t="s">
        <v>74</v>
      </c>
      <c r="G201" s="13" t="s">
        <v>51</v>
      </c>
      <c r="H201" s="65">
        <v>44431</v>
      </c>
      <c r="I201" s="21">
        <f t="shared" ca="1" si="129"/>
        <v>45974</v>
      </c>
      <c r="J201" s="13" t="str">
        <f t="shared" ca="1" si="112"/>
        <v xml:space="preserve">4 Tahun 2 Bulan 21 Hari </v>
      </c>
      <c r="K201" s="13">
        <f t="shared" ca="1" si="130"/>
        <v>2221920</v>
      </c>
      <c r="L201" s="13">
        <v>185</v>
      </c>
      <c r="M201" s="13">
        <v>3</v>
      </c>
      <c r="N201" s="13">
        <v>1462</v>
      </c>
      <c r="O201" s="22">
        <f t="shared" si="113"/>
        <v>487.33333333333331</v>
      </c>
      <c r="P201" s="13">
        <v>374</v>
      </c>
      <c r="Q201" s="23">
        <f t="shared" si="114"/>
        <v>0.6</v>
      </c>
      <c r="R201" s="24">
        <f t="shared" si="115"/>
        <v>3</v>
      </c>
      <c r="S201" s="25">
        <f t="shared" si="131"/>
        <v>0.76744186046511631</v>
      </c>
      <c r="T201" s="25">
        <f t="shared" si="116"/>
        <v>0.15348837209302327</v>
      </c>
      <c r="U201" s="26">
        <v>3789.374751157407</v>
      </c>
      <c r="V201" s="26">
        <v>0</v>
      </c>
      <c r="W201" s="26">
        <v>0.17423321759259261</v>
      </c>
      <c r="X201" s="27">
        <f t="shared" si="109"/>
        <v>0</v>
      </c>
      <c r="Y201" s="27">
        <f t="shared" si="110"/>
        <v>0</v>
      </c>
      <c r="Z201" s="27">
        <f t="shared" si="106"/>
        <v>1</v>
      </c>
      <c r="AA201" s="23">
        <f t="shared" si="108"/>
        <v>0.4</v>
      </c>
      <c r="AB201" s="24">
        <f t="shared" si="104"/>
        <v>1</v>
      </c>
      <c r="AC201" s="28">
        <f t="shared" si="117"/>
        <v>0.33333333333333331</v>
      </c>
      <c r="AD201" s="29">
        <f t="shared" si="118"/>
        <v>8.3333333333333329E-2</v>
      </c>
      <c r="AE201" s="30">
        <v>2.9896399456521738E-2</v>
      </c>
      <c r="AF201" s="23">
        <f t="shared" si="119"/>
        <v>1.25</v>
      </c>
      <c r="AG201" s="24">
        <f t="shared" si="111"/>
        <v>5</v>
      </c>
      <c r="AH201" s="28">
        <f t="shared" si="120"/>
        <v>1</v>
      </c>
      <c r="AI201" s="29">
        <f t="shared" si="121"/>
        <v>0.25</v>
      </c>
      <c r="AJ201" s="31">
        <v>1</v>
      </c>
      <c r="AK201" s="31">
        <v>1</v>
      </c>
      <c r="AL201" s="31">
        <v>1</v>
      </c>
      <c r="AM201" s="31">
        <v>0</v>
      </c>
      <c r="AN201" s="31">
        <v>0</v>
      </c>
      <c r="AO201" s="31">
        <v>1</v>
      </c>
      <c r="AP201" s="31">
        <v>0</v>
      </c>
      <c r="AQ201" s="31">
        <v>0</v>
      </c>
      <c r="AR201" s="23">
        <f t="shared" si="122"/>
        <v>0.8</v>
      </c>
      <c r="AS201" s="24">
        <f t="shared" si="123"/>
        <v>4</v>
      </c>
      <c r="AT201" s="28">
        <f t="shared" si="124"/>
        <v>0.5</v>
      </c>
      <c r="AU201" s="28">
        <f t="shared" si="125"/>
        <v>7.4999999999999997E-2</v>
      </c>
      <c r="AV201" s="32">
        <v>75</v>
      </c>
      <c r="AW201" s="32">
        <v>75</v>
      </c>
      <c r="AX201" s="32">
        <v>80</v>
      </c>
      <c r="AY201" s="32">
        <v>80</v>
      </c>
      <c r="AZ201" s="32">
        <v>80</v>
      </c>
      <c r="BA201" s="32">
        <v>100</v>
      </c>
      <c r="BB201" s="23">
        <f t="shared" ca="1" si="126"/>
        <v>0.8</v>
      </c>
      <c r="BC201" s="33">
        <f t="shared" si="132"/>
        <v>81.666666666666671</v>
      </c>
      <c r="BD201" s="28">
        <f t="shared" si="127"/>
        <v>0.93877551020408168</v>
      </c>
      <c r="BE201" s="28">
        <f t="shared" si="128"/>
        <v>0.18775510204081636</v>
      </c>
      <c r="BF201" s="34">
        <f ca="1">Q201+AA201+AF201+AR201+BB201</f>
        <v>3.8499999999999996</v>
      </c>
      <c r="BG201" s="34">
        <f>AVERAGE(AV201:AZ201)</f>
        <v>78</v>
      </c>
      <c r="BH201" s="35">
        <f>T201+AD201+AI201+AU201+BE201</f>
        <v>0.74957680746717292</v>
      </c>
      <c r="BI201" s="36" t="str">
        <f ca="1">IF(K201&lt;365,"New CE",(IF(BH201&gt;=100%,"Promote",IF(BH201&gt;=90%,"Sangat Baik",IF(BH201&gt;=80%,"Baik",IF(BH201&gt;=70%,"Lebih Dari Cukup",IF(BH201&gt;=60%,"Cukup","Kurang")))))))</f>
        <v>Lebih Dari Cukup</v>
      </c>
      <c r="BJ201" s="36" t="s">
        <v>860</v>
      </c>
      <c r="BK201" s="58" t="s">
        <v>48</v>
      </c>
      <c r="BL201" s="59" t="str">
        <v>Roby Kurniawan</v>
      </c>
    </row>
    <row r="202" spans="1:64" x14ac:dyDescent="0.35">
      <c r="A202" s="19">
        <v>198</v>
      </c>
      <c r="B202" s="13" t="s">
        <v>515</v>
      </c>
      <c r="C202" s="20" t="s">
        <v>516</v>
      </c>
      <c r="D202" s="76" t="s">
        <v>54</v>
      </c>
      <c r="E202" s="13" t="s">
        <v>268</v>
      </c>
      <c r="F202" s="13" t="s">
        <v>50</v>
      </c>
      <c r="G202" s="13" t="s">
        <v>61</v>
      </c>
      <c r="H202" s="65">
        <v>45173</v>
      </c>
      <c r="I202" s="21">
        <f t="shared" ca="1" si="129"/>
        <v>45974</v>
      </c>
      <c r="J202" s="13" t="str">
        <f t="shared" ca="1" si="112"/>
        <v xml:space="preserve">2 Tahun 2 Bulan 9 Hari </v>
      </c>
      <c r="K202" s="13">
        <f t="shared" ca="1" si="130"/>
        <v>1153440</v>
      </c>
      <c r="L202" s="13">
        <v>116</v>
      </c>
      <c r="M202" s="13">
        <v>3</v>
      </c>
      <c r="N202" s="13">
        <v>683</v>
      </c>
      <c r="O202" s="22">
        <f t="shared" si="113"/>
        <v>227.66666666666666</v>
      </c>
      <c r="P202" s="13">
        <v>251</v>
      </c>
      <c r="Q202" s="23">
        <f t="shared" si="114"/>
        <v>1</v>
      </c>
      <c r="R202" s="24">
        <f t="shared" si="115"/>
        <v>5</v>
      </c>
      <c r="S202" s="25">
        <f t="shared" si="131"/>
        <v>1.1024890190336749</v>
      </c>
      <c r="T202" s="25">
        <f t="shared" si="116"/>
        <v>0.220497803806735</v>
      </c>
      <c r="U202" s="26">
        <v>1228.7787878503507</v>
      </c>
      <c r="V202" s="26">
        <v>0</v>
      </c>
      <c r="W202" s="26">
        <v>1.0501543209876542E-3</v>
      </c>
      <c r="X202" s="27">
        <f t="shared" si="109"/>
        <v>0</v>
      </c>
      <c r="Y202" s="27">
        <f t="shared" si="110"/>
        <v>0</v>
      </c>
      <c r="Z202" s="27">
        <f t="shared" si="106"/>
        <v>1</v>
      </c>
      <c r="AA202" s="23">
        <f t="shared" si="108"/>
        <v>0.4</v>
      </c>
      <c r="AB202" s="24">
        <f t="shared" si="104"/>
        <v>1</v>
      </c>
      <c r="AC202" s="28">
        <f t="shared" si="117"/>
        <v>0.33333333333333331</v>
      </c>
      <c r="AD202" s="29">
        <f t="shared" si="118"/>
        <v>8.3333333333333329E-2</v>
      </c>
      <c r="AE202" s="30">
        <v>6.4939021776406036E-2</v>
      </c>
      <c r="AF202" s="23">
        <f t="shared" si="119"/>
        <v>1</v>
      </c>
      <c r="AG202" s="24">
        <f t="shared" si="111"/>
        <v>4</v>
      </c>
      <c r="AH202" s="28">
        <f t="shared" si="120"/>
        <v>0.8</v>
      </c>
      <c r="AI202" s="29">
        <f t="shared" si="121"/>
        <v>0.2</v>
      </c>
      <c r="AJ202" s="31">
        <v>1</v>
      </c>
      <c r="AK202" s="31">
        <v>1</v>
      </c>
      <c r="AL202" s="31">
        <v>1</v>
      </c>
      <c r="AM202" s="31">
        <v>0</v>
      </c>
      <c r="AN202" s="31">
        <v>0</v>
      </c>
      <c r="AO202" s="31">
        <v>0</v>
      </c>
      <c r="AP202" s="31">
        <v>0</v>
      </c>
      <c r="AQ202" s="31">
        <v>0</v>
      </c>
      <c r="AR202" s="23">
        <f t="shared" si="122"/>
        <v>0.6</v>
      </c>
      <c r="AS202" s="24">
        <f t="shared" si="123"/>
        <v>3</v>
      </c>
      <c r="AT202" s="28">
        <f t="shared" si="124"/>
        <v>0.375</v>
      </c>
      <c r="AU202" s="28">
        <f t="shared" si="125"/>
        <v>5.6249999999999994E-2</v>
      </c>
      <c r="AV202" s="32">
        <v>75</v>
      </c>
      <c r="AW202" s="32">
        <v>75</v>
      </c>
      <c r="AX202" s="32">
        <v>90</v>
      </c>
      <c r="AY202" s="32">
        <v>85</v>
      </c>
      <c r="AZ202" s="32">
        <v>80</v>
      </c>
      <c r="BA202" s="32">
        <v>100</v>
      </c>
      <c r="BB202" s="23">
        <f t="shared" ca="1" si="126"/>
        <v>0.8</v>
      </c>
      <c r="BC202" s="33">
        <f t="shared" si="132"/>
        <v>84.166666666666671</v>
      </c>
      <c r="BD202" s="28">
        <f t="shared" si="127"/>
        <v>0.94059405940594054</v>
      </c>
      <c r="BE202" s="28">
        <f t="shared" si="128"/>
        <v>0.18811881188118812</v>
      </c>
      <c r="BF202" s="34">
        <f ca="1">Q202+AA202+AF202+AR202+BB202</f>
        <v>3.8</v>
      </c>
      <c r="BG202" s="34">
        <f>AVERAGE(AV202:AZ202)</f>
        <v>81</v>
      </c>
      <c r="BH202" s="35">
        <f>T202+AD202+AI202+AU202+BE202</f>
        <v>0.74819994902125653</v>
      </c>
      <c r="BI202" s="36" t="str">
        <f ca="1">IF(K202&lt;365,"New CE",(IF(BH202&gt;=100%,"Promote",IF(BH202&gt;=90%,"Sangat Baik",IF(BH202&gt;=80%,"Baik",IF(BH202&gt;=70%,"Lebih Dari Cukup",IF(BH202&gt;=60%,"Cukup","Kurang")))))))</f>
        <v>Lebih Dari Cukup</v>
      </c>
      <c r="BJ202" s="36" t="s">
        <v>860</v>
      </c>
      <c r="BK202" s="58" t="s">
        <v>54</v>
      </c>
      <c r="BL202" s="59" t="e">
        <v>#N/A</v>
      </c>
    </row>
    <row r="203" spans="1:64" x14ac:dyDescent="0.35">
      <c r="A203" s="19">
        <v>199</v>
      </c>
      <c r="B203" s="13" t="s">
        <v>517</v>
      </c>
      <c r="C203" s="20" t="s">
        <v>518</v>
      </c>
      <c r="D203" s="76" t="s">
        <v>48</v>
      </c>
      <c r="E203" s="13" t="s">
        <v>223</v>
      </c>
      <c r="F203" s="13" t="s">
        <v>74</v>
      </c>
      <c r="G203" s="13" t="s">
        <v>51</v>
      </c>
      <c r="H203" s="65">
        <v>44431</v>
      </c>
      <c r="I203" s="21">
        <f t="shared" ca="1" si="129"/>
        <v>45974</v>
      </c>
      <c r="J203" s="13" t="str">
        <f t="shared" ca="1" si="112"/>
        <v xml:space="preserve">4 Tahun 2 Bulan 21 Hari </v>
      </c>
      <c r="K203" s="13">
        <f t="shared" ca="1" si="130"/>
        <v>2221920</v>
      </c>
      <c r="L203" s="13">
        <v>426</v>
      </c>
      <c r="M203" s="13">
        <v>6</v>
      </c>
      <c r="N203" s="13">
        <v>3000</v>
      </c>
      <c r="O203" s="22">
        <f t="shared" si="113"/>
        <v>500</v>
      </c>
      <c r="P203" s="13">
        <v>425</v>
      </c>
      <c r="Q203" s="23">
        <f t="shared" si="114"/>
        <v>0.8</v>
      </c>
      <c r="R203" s="24">
        <f t="shared" si="115"/>
        <v>4</v>
      </c>
      <c r="S203" s="25">
        <f t="shared" si="131"/>
        <v>0.85</v>
      </c>
      <c r="T203" s="25">
        <f t="shared" si="116"/>
        <v>0.17</v>
      </c>
      <c r="U203" s="26">
        <v>12434.762724178794</v>
      </c>
      <c r="V203" s="26">
        <v>7576.1148360339503</v>
      </c>
      <c r="W203" s="26">
        <v>13829.668276469405</v>
      </c>
      <c r="X203" s="27">
        <f t="shared" si="109"/>
        <v>0</v>
      </c>
      <c r="Y203" s="27">
        <f t="shared" si="110"/>
        <v>0</v>
      </c>
      <c r="Z203" s="27">
        <f t="shared" si="106"/>
        <v>1</v>
      </c>
      <c r="AA203" s="23">
        <f t="shared" si="108"/>
        <v>0.4</v>
      </c>
      <c r="AB203" s="24">
        <f t="shared" si="104"/>
        <v>1</v>
      </c>
      <c r="AC203" s="28">
        <f t="shared" si="117"/>
        <v>0.33333333333333331</v>
      </c>
      <c r="AD203" s="29">
        <f t="shared" si="118"/>
        <v>8.3333333333333329E-2</v>
      </c>
      <c r="AE203" s="30">
        <v>4.0007429202741696E-2</v>
      </c>
      <c r="AF203" s="23">
        <f t="shared" si="119"/>
        <v>1.25</v>
      </c>
      <c r="AG203" s="24">
        <f t="shared" si="111"/>
        <v>5</v>
      </c>
      <c r="AH203" s="28">
        <f t="shared" si="120"/>
        <v>1</v>
      </c>
      <c r="AI203" s="29">
        <f t="shared" si="121"/>
        <v>0.25</v>
      </c>
      <c r="AJ203" s="31">
        <v>1</v>
      </c>
      <c r="AK203" s="31">
        <v>1</v>
      </c>
      <c r="AL203" s="31">
        <v>1</v>
      </c>
      <c r="AM203" s="31">
        <v>0</v>
      </c>
      <c r="AN203" s="31">
        <v>0</v>
      </c>
      <c r="AO203" s="31">
        <v>0</v>
      </c>
      <c r="AP203" s="31">
        <v>0</v>
      </c>
      <c r="AQ203" s="31">
        <v>0</v>
      </c>
      <c r="AR203" s="23">
        <f t="shared" si="122"/>
        <v>0.6</v>
      </c>
      <c r="AS203" s="24">
        <f t="shared" si="123"/>
        <v>3</v>
      </c>
      <c r="AT203" s="28">
        <f t="shared" si="124"/>
        <v>0.375</v>
      </c>
      <c r="AU203" s="28">
        <f t="shared" si="125"/>
        <v>5.6249999999999994E-2</v>
      </c>
      <c r="AV203" s="32">
        <v>75</v>
      </c>
      <c r="AW203" s="32">
        <v>75</v>
      </c>
      <c r="AX203" s="32">
        <v>80</v>
      </c>
      <c r="AY203" s="32">
        <v>85</v>
      </c>
      <c r="AZ203" s="32">
        <v>80</v>
      </c>
      <c r="BA203" s="32">
        <v>100</v>
      </c>
      <c r="BB203" s="23">
        <f t="shared" ca="1" si="126"/>
        <v>0.8</v>
      </c>
      <c r="BC203" s="33">
        <f t="shared" si="132"/>
        <v>82.5</v>
      </c>
      <c r="BD203" s="28">
        <f t="shared" si="127"/>
        <v>0.93939393939393945</v>
      </c>
      <c r="BE203" s="28">
        <f t="shared" si="128"/>
        <v>0.1878787878787879</v>
      </c>
      <c r="BF203" s="34">
        <f ca="1">Q203+AA203+AF203+AR203+BB203</f>
        <v>3.8500000000000005</v>
      </c>
      <c r="BG203" s="34">
        <f>AVERAGE(AV203:AZ203)</f>
        <v>79</v>
      </c>
      <c r="BH203" s="35">
        <f>T203+AD203+AI203+AU203+BE203</f>
        <v>0.7474621212121213</v>
      </c>
      <c r="BI203" s="36" t="str">
        <f ca="1">IF(K203&lt;365,"New CE",(IF(BH203&gt;=100%,"Promote",IF(BH203&gt;=90%,"Sangat Baik",IF(BH203&gt;=80%,"Baik",IF(BH203&gt;=70%,"Lebih Dari Cukup",IF(BH203&gt;=60%,"Cukup","Kurang")))))))</f>
        <v>Lebih Dari Cukup</v>
      </c>
      <c r="BJ203" s="36" t="s">
        <v>860</v>
      </c>
      <c r="BK203" s="58" t="s">
        <v>48</v>
      </c>
      <c r="BL203" s="59" t="str">
        <v>Awang Reza Al Chabir</v>
      </c>
    </row>
    <row r="204" spans="1:64" x14ac:dyDescent="0.35">
      <c r="A204" s="19">
        <v>200</v>
      </c>
      <c r="B204" s="13" t="s">
        <v>519</v>
      </c>
      <c r="C204" s="20" t="s">
        <v>520</v>
      </c>
      <c r="D204" s="76" t="s">
        <v>48</v>
      </c>
      <c r="E204" s="13" t="s">
        <v>64</v>
      </c>
      <c r="F204" s="13" t="s">
        <v>44</v>
      </c>
      <c r="G204" s="13" t="s">
        <v>55</v>
      </c>
      <c r="H204" s="65">
        <v>44837</v>
      </c>
      <c r="I204" s="21">
        <f t="shared" ca="1" si="129"/>
        <v>45974</v>
      </c>
      <c r="J204" s="13" t="str">
        <f t="shared" ca="1" si="112"/>
        <v xml:space="preserve">3 Tahun 1 Bulan 10 Hari </v>
      </c>
      <c r="K204" s="13">
        <f t="shared" ca="1" si="130"/>
        <v>1637280</v>
      </c>
      <c r="L204" s="13">
        <v>872</v>
      </c>
      <c r="M204" s="13">
        <v>15</v>
      </c>
      <c r="N204" s="13">
        <v>5975</v>
      </c>
      <c r="O204" s="22">
        <f t="shared" si="113"/>
        <v>398.33333333333331</v>
      </c>
      <c r="P204" s="13">
        <v>362</v>
      </c>
      <c r="Q204" s="23">
        <f t="shared" si="114"/>
        <v>0.8</v>
      </c>
      <c r="R204" s="24">
        <f t="shared" si="115"/>
        <v>4</v>
      </c>
      <c r="S204" s="25">
        <f t="shared" si="131"/>
        <v>0.90878661087866108</v>
      </c>
      <c r="T204" s="25">
        <f t="shared" si="116"/>
        <v>0.18175732217573223</v>
      </c>
      <c r="U204" s="26">
        <v>3542.5862644300123</v>
      </c>
      <c r="V204" s="26">
        <v>1.2708333333333334E-2</v>
      </c>
      <c r="W204" s="26">
        <v>0</v>
      </c>
      <c r="X204" s="27">
        <f t="shared" si="109"/>
        <v>0</v>
      </c>
      <c r="Y204" s="27">
        <f t="shared" si="110"/>
        <v>1</v>
      </c>
      <c r="Z204" s="27">
        <f t="shared" si="106"/>
        <v>0</v>
      </c>
      <c r="AA204" s="23">
        <f t="shared" si="108"/>
        <v>0.4</v>
      </c>
      <c r="AB204" s="24">
        <f t="shared" si="104"/>
        <v>1</v>
      </c>
      <c r="AC204" s="28">
        <f t="shared" si="117"/>
        <v>0.33333333333333331</v>
      </c>
      <c r="AD204" s="29">
        <f t="shared" si="118"/>
        <v>8.3333333333333329E-2</v>
      </c>
      <c r="AE204" s="30">
        <v>4.3819356856856853E-2</v>
      </c>
      <c r="AF204" s="23">
        <f t="shared" si="119"/>
        <v>1</v>
      </c>
      <c r="AG204" s="24">
        <f t="shared" si="111"/>
        <v>4</v>
      </c>
      <c r="AH204" s="28">
        <f t="shared" si="120"/>
        <v>0.8</v>
      </c>
      <c r="AI204" s="29">
        <f t="shared" si="121"/>
        <v>0.2</v>
      </c>
      <c r="AJ204" s="31">
        <v>1</v>
      </c>
      <c r="AK204" s="31">
        <v>1</v>
      </c>
      <c r="AL204" s="31">
        <v>1</v>
      </c>
      <c r="AM204" s="31">
        <v>0</v>
      </c>
      <c r="AN204" s="31">
        <v>1</v>
      </c>
      <c r="AO204" s="31">
        <v>1</v>
      </c>
      <c r="AP204" s="31">
        <v>0</v>
      </c>
      <c r="AQ204" s="31">
        <v>0</v>
      </c>
      <c r="AR204" s="23">
        <f t="shared" si="122"/>
        <v>1</v>
      </c>
      <c r="AS204" s="24">
        <f t="shared" si="123"/>
        <v>5</v>
      </c>
      <c r="AT204" s="28">
        <f t="shared" si="124"/>
        <v>0.625</v>
      </c>
      <c r="AU204" s="28">
        <f t="shared" si="125"/>
        <v>9.375E-2</v>
      </c>
      <c r="AV204" s="32">
        <v>75</v>
      </c>
      <c r="AW204" s="32">
        <v>75</v>
      </c>
      <c r="AX204" s="32">
        <v>85</v>
      </c>
      <c r="AY204" s="32">
        <v>80</v>
      </c>
      <c r="AZ204" s="32">
        <v>80</v>
      </c>
      <c r="BA204" s="32">
        <v>100</v>
      </c>
      <c r="BB204" s="23">
        <f t="shared" ca="1" si="126"/>
        <v>0.8</v>
      </c>
      <c r="BC204" s="33">
        <f t="shared" si="132"/>
        <v>82.5</v>
      </c>
      <c r="BD204" s="28">
        <f t="shared" si="127"/>
        <v>0.93939393939393945</v>
      </c>
      <c r="BE204" s="28">
        <f t="shared" si="128"/>
        <v>0.1878787878787879</v>
      </c>
      <c r="BF204" s="34">
        <f ca="1">Q204+AA204+AF204+AR204+BB204</f>
        <v>4</v>
      </c>
      <c r="BG204" s="34">
        <f>AVERAGE(AV204:AZ204)</f>
        <v>79</v>
      </c>
      <c r="BH204" s="35">
        <f>T204+AD204+AI204+AU204+BE204</f>
        <v>0.74671944338785345</v>
      </c>
      <c r="BI204" s="36" t="str">
        <f ca="1">IF(K204&lt;365,"New CE",(IF(BH204&gt;=100%,"Promote",IF(BH204&gt;=90%,"Sangat Baik",IF(BH204&gt;=80%,"Baik",IF(BH204&gt;=70%,"Lebih Dari Cukup",IF(BH204&gt;=60%,"Cukup","Kurang")))))))</f>
        <v>Lebih Dari Cukup</v>
      </c>
      <c r="BJ204" s="36" t="s">
        <v>860</v>
      </c>
      <c r="BK204" s="58" t="s">
        <v>48</v>
      </c>
      <c r="BL204" s="59" t="e">
        <v>#N/A</v>
      </c>
    </row>
    <row r="205" spans="1:64" x14ac:dyDescent="0.35">
      <c r="A205" s="19">
        <v>201</v>
      </c>
      <c r="B205" s="13" t="s">
        <v>521</v>
      </c>
      <c r="C205" s="20" t="s">
        <v>522</v>
      </c>
      <c r="D205" s="76" t="s">
        <v>42</v>
      </c>
      <c r="E205" s="13" t="s">
        <v>187</v>
      </c>
      <c r="F205" s="13" t="s">
        <v>74</v>
      </c>
      <c r="G205" s="13" t="s">
        <v>45</v>
      </c>
      <c r="H205" s="65">
        <v>43740</v>
      </c>
      <c r="I205" s="21">
        <f t="shared" ca="1" si="129"/>
        <v>45974</v>
      </c>
      <c r="J205" s="13" t="str">
        <f t="shared" ca="1" si="112"/>
        <v xml:space="preserve">6 Tahun 1 Bulan 11 Hari </v>
      </c>
      <c r="K205" s="13">
        <f t="shared" ca="1" si="130"/>
        <v>3216960</v>
      </c>
      <c r="L205" s="13">
        <v>684</v>
      </c>
      <c r="M205" s="13">
        <v>10</v>
      </c>
      <c r="N205" s="13">
        <v>4972</v>
      </c>
      <c r="O205" s="22">
        <f t="shared" si="113"/>
        <v>497.2</v>
      </c>
      <c r="P205" s="13">
        <v>402</v>
      </c>
      <c r="Q205" s="23">
        <f t="shared" si="114"/>
        <v>0.8</v>
      </c>
      <c r="R205" s="24">
        <f t="shared" si="115"/>
        <v>4</v>
      </c>
      <c r="S205" s="25">
        <f t="shared" si="131"/>
        <v>0.80852775543041033</v>
      </c>
      <c r="T205" s="25">
        <f t="shared" si="116"/>
        <v>0.16170555108608209</v>
      </c>
      <c r="U205" s="26">
        <v>19161.722955572295</v>
      </c>
      <c r="V205" s="26">
        <v>24053.760724400872</v>
      </c>
      <c r="W205" s="26">
        <v>35836.137807017549</v>
      </c>
      <c r="X205" s="27">
        <f t="shared" si="109"/>
        <v>0</v>
      </c>
      <c r="Y205" s="27">
        <f t="shared" si="110"/>
        <v>0</v>
      </c>
      <c r="Z205" s="27">
        <f t="shared" si="106"/>
        <v>1</v>
      </c>
      <c r="AA205" s="23">
        <f t="shared" si="108"/>
        <v>0.4</v>
      </c>
      <c r="AB205" s="24">
        <f t="shared" si="104"/>
        <v>1</v>
      </c>
      <c r="AC205" s="28">
        <f t="shared" si="117"/>
        <v>0.33333333333333331</v>
      </c>
      <c r="AD205" s="29">
        <f t="shared" si="118"/>
        <v>8.3333333333333329E-2</v>
      </c>
      <c r="AE205" s="30">
        <v>6.3427526595744688E-2</v>
      </c>
      <c r="AF205" s="23">
        <f t="shared" si="119"/>
        <v>1</v>
      </c>
      <c r="AG205" s="24">
        <f t="shared" si="111"/>
        <v>4</v>
      </c>
      <c r="AH205" s="28">
        <f t="shared" si="120"/>
        <v>0.8</v>
      </c>
      <c r="AI205" s="29">
        <f t="shared" si="121"/>
        <v>0.2</v>
      </c>
      <c r="AJ205" s="31">
        <v>1</v>
      </c>
      <c r="AK205" s="31">
        <v>1</v>
      </c>
      <c r="AL205" s="31">
        <v>1</v>
      </c>
      <c r="AM205" s="31">
        <v>1</v>
      </c>
      <c r="AN205" s="31">
        <v>0</v>
      </c>
      <c r="AO205" s="31">
        <v>1</v>
      </c>
      <c r="AP205" s="31">
        <v>0</v>
      </c>
      <c r="AQ205" s="31">
        <v>1</v>
      </c>
      <c r="AR205" s="23">
        <f t="shared" si="122"/>
        <v>1</v>
      </c>
      <c r="AS205" s="24">
        <f t="shared" si="123"/>
        <v>6</v>
      </c>
      <c r="AT205" s="28">
        <f t="shared" si="124"/>
        <v>0.75</v>
      </c>
      <c r="AU205" s="28">
        <f t="shared" si="125"/>
        <v>0.11249999999999999</v>
      </c>
      <c r="AV205" s="32">
        <v>75</v>
      </c>
      <c r="AW205" s="32">
        <v>75</v>
      </c>
      <c r="AX205" s="32">
        <v>80</v>
      </c>
      <c r="AY205" s="32">
        <v>90</v>
      </c>
      <c r="AZ205" s="32">
        <v>80</v>
      </c>
      <c r="BA205" s="32">
        <v>100</v>
      </c>
      <c r="BB205" s="23">
        <f t="shared" ca="1" si="126"/>
        <v>0.8</v>
      </c>
      <c r="BC205" s="33">
        <f t="shared" si="132"/>
        <v>83.333333333333329</v>
      </c>
      <c r="BD205" s="28">
        <f t="shared" si="127"/>
        <v>0.94</v>
      </c>
      <c r="BE205" s="28">
        <f t="shared" si="128"/>
        <v>0.188</v>
      </c>
      <c r="BF205" s="34">
        <f ca="1">Q205+AA205+AF205+AR205+BB205</f>
        <v>4</v>
      </c>
      <c r="BG205" s="34">
        <f>AVERAGE(AV205:AZ205)</f>
        <v>80</v>
      </c>
      <c r="BH205" s="35">
        <f>T205+AD205+AI205+AU205+BE205</f>
        <v>0.74553888441941529</v>
      </c>
      <c r="BI205" s="36" t="str">
        <f ca="1">IF(K205&lt;365,"New CE",(IF(BH205&gt;=100%,"Promote",IF(BH205&gt;=90%,"Sangat Baik",IF(BH205&gt;=80%,"Baik",IF(BH205&gt;=70%,"Lebih Dari Cukup",IF(BH205&gt;=60%,"Cukup","Kurang")))))))</f>
        <v>Lebih Dari Cukup</v>
      </c>
      <c r="BJ205" s="36" t="s">
        <v>860</v>
      </c>
      <c r="BK205" s="58" t="s">
        <v>42</v>
      </c>
      <c r="BL205" s="59" t="str">
        <v>Abdimas Pasa</v>
      </c>
    </row>
    <row r="206" spans="1:64" x14ac:dyDescent="0.35">
      <c r="A206" s="19">
        <v>202</v>
      </c>
      <c r="B206" s="13" t="s">
        <v>523</v>
      </c>
      <c r="C206" s="20" t="s">
        <v>524</v>
      </c>
      <c r="D206" s="76" t="s">
        <v>42</v>
      </c>
      <c r="E206" s="13" t="s">
        <v>179</v>
      </c>
      <c r="F206" s="13" t="s">
        <v>44</v>
      </c>
      <c r="G206" s="13" t="s">
        <v>45</v>
      </c>
      <c r="H206" s="65">
        <v>44046</v>
      </c>
      <c r="I206" s="21">
        <f t="shared" ca="1" si="129"/>
        <v>45974</v>
      </c>
      <c r="J206" s="13" t="str">
        <f t="shared" ca="1" si="112"/>
        <v xml:space="preserve">5 Tahun 3 Bulan 10 Hari </v>
      </c>
      <c r="K206" s="13">
        <f t="shared" ca="1" si="130"/>
        <v>2776320</v>
      </c>
      <c r="L206" s="13">
        <v>304</v>
      </c>
      <c r="M206" s="13">
        <v>5</v>
      </c>
      <c r="N206" s="13">
        <v>2111</v>
      </c>
      <c r="O206" s="22">
        <f t="shared" si="113"/>
        <v>422.2</v>
      </c>
      <c r="P206" s="13">
        <v>379</v>
      </c>
      <c r="Q206" s="23">
        <f t="shared" si="114"/>
        <v>0.8</v>
      </c>
      <c r="R206" s="24">
        <f t="shared" si="115"/>
        <v>4</v>
      </c>
      <c r="S206" s="25">
        <f t="shared" si="131"/>
        <v>0.89767882520132636</v>
      </c>
      <c r="T206" s="25">
        <f t="shared" si="116"/>
        <v>0.17953576504026528</v>
      </c>
      <c r="U206" s="26">
        <v>5442.8284703703703</v>
      </c>
      <c r="V206" s="26">
        <v>2.4720293209876548E-2</v>
      </c>
      <c r="W206" s="26">
        <v>0</v>
      </c>
      <c r="X206" s="27">
        <f t="shared" si="109"/>
        <v>0</v>
      </c>
      <c r="Y206" s="27">
        <f t="shared" si="110"/>
        <v>1</v>
      </c>
      <c r="Z206" s="27">
        <f t="shared" si="106"/>
        <v>0</v>
      </c>
      <c r="AA206" s="23">
        <f t="shared" si="108"/>
        <v>0.4</v>
      </c>
      <c r="AB206" s="24">
        <f t="shared" si="104"/>
        <v>1</v>
      </c>
      <c r="AC206" s="28">
        <f t="shared" si="117"/>
        <v>0.33333333333333331</v>
      </c>
      <c r="AD206" s="29">
        <f t="shared" si="118"/>
        <v>8.3333333333333329E-2</v>
      </c>
      <c r="AE206" s="30">
        <v>5.4785243982540893E-2</v>
      </c>
      <c r="AF206" s="23">
        <f t="shared" si="119"/>
        <v>1</v>
      </c>
      <c r="AG206" s="24">
        <f t="shared" si="111"/>
        <v>4</v>
      </c>
      <c r="AH206" s="28">
        <f t="shared" si="120"/>
        <v>0.8</v>
      </c>
      <c r="AI206" s="29">
        <f t="shared" si="121"/>
        <v>0.2</v>
      </c>
      <c r="AJ206" s="31">
        <v>1</v>
      </c>
      <c r="AK206" s="31">
        <v>1</v>
      </c>
      <c r="AL206" s="31">
        <v>1</v>
      </c>
      <c r="AM206" s="31">
        <v>1</v>
      </c>
      <c r="AN206" s="31">
        <v>0</v>
      </c>
      <c r="AO206" s="31">
        <v>1</v>
      </c>
      <c r="AP206" s="31">
        <v>0</v>
      </c>
      <c r="AQ206" s="31">
        <v>0</v>
      </c>
      <c r="AR206" s="23">
        <f t="shared" si="122"/>
        <v>1</v>
      </c>
      <c r="AS206" s="24">
        <f t="shared" si="123"/>
        <v>5</v>
      </c>
      <c r="AT206" s="28">
        <f t="shared" si="124"/>
        <v>0.625</v>
      </c>
      <c r="AU206" s="28">
        <f t="shared" si="125"/>
        <v>9.375E-2</v>
      </c>
      <c r="AV206" s="32">
        <v>75</v>
      </c>
      <c r="AW206" s="32">
        <v>75</v>
      </c>
      <c r="AX206" s="32">
        <v>80</v>
      </c>
      <c r="AY206" s="32">
        <v>80</v>
      </c>
      <c r="AZ206" s="32">
        <v>80</v>
      </c>
      <c r="BA206" s="32">
        <v>100</v>
      </c>
      <c r="BB206" s="23">
        <f t="shared" ca="1" si="126"/>
        <v>0.8</v>
      </c>
      <c r="BC206" s="33">
        <f t="shared" si="132"/>
        <v>81.666666666666671</v>
      </c>
      <c r="BD206" s="28">
        <f t="shared" si="127"/>
        <v>0.93877551020408168</v>
      </c>
      <c r="BE206" s="28">
        <f t="shared" si="128"/>
        <v>0.18775510204081636</v>
      </c>
      <c r="BF206" s="34">
        <f ca="1">Q206+AA206+AF206+AR206+BB206</f>
        <v>4</v>
      </c>
      <c r="BG206" s="34">
        <f>AVERAGE(AV206:AZ206)</f>
        <v>78</v>
      </c>
      <c r="BH206" s="35">
        <f>T206+AD206+AI206+AU206+BE206</f>
        <v>0.74437420041441493</v>
      </c>
      <c r="BI206" s="36" t="str">
        <f ca="1">IF(K206&lt;365,"New CE",(IF(BH206&gt;=100%,"Promote",IF(BH206&gt;=90%,"Sangat Baik",IF(BH206&gt;=80%,"Baik",IF(BH206&gt;=70%,"Lebih Dari Cukup",IF(BH206&gt;=60%,"Cukup","Kurang")))))))</f>
        <v>Lebih Dari Cukup</v>
      </c>
      <c r="BJ206" s="36" t="s">
        <v>860</v>
      </c>
      <c r="BK206" s="58" t="s">
        <v>42</v>
      </c>
      <c r="BL206" s="59" t="e">
        <v>#N/A</v>
      </c>
    </row>
    <row r="207" spans="1:64" x14ac:dyDescent="0.35">
      <c r="A207" s="19">
        <v>203</v>
      </c>
      <c r="B207" s="13" t="s">
        <v>525</v>
      </c>
      <c r="C207" s="20" t="s">
        <v>526</v>
      </c>
      <c r="D207" s="76" t="s">
        <v>48</v>
      </c>
      <c r="E207" s="13" t="s">
        <v>247</v>
      </c>
      <c r="F207" s="13" t="s">
        <v>74</v>
      </c>
      <c r="G207" s="13" t="s">
        <v>55</v>
      </c>
      <c r="H207" s="65">
        <v>44795</v>
      </c>
      <c r="I207" s="21">
        <f t="shared" ca="1" si="129"/>
        <v>45974</v>
      </c>
      <c r="J207" s="13" t="str">
        <f t="shared" ca="1" si="112"/>
        <v xml:space="preserve">3 Tahun 2 Bulan 22 Hari </v>
      </c>
      <c r="K207" s="13">
        <f t="shared" ca="1" si="130"/>
        <v>1697760</v>
      </c>
      <c r="L207" s="13">
        <v>185</v>
      </c>
      <c r="M207" s="13">
        <v>3</v>
      </c>
      <c r="N207" s="13">
        <v>1462</v>
      </c>
      <c r="O207" s="22">
        <f t="shared" si="113"/>
        <v>487.33333333333331</v>
      </c>
      <c r="P207" s="13">
        <v>444</v>
      </c>
      <c r="Q207" s="23">
        <f t="shared" si="114"/>
        <v>0.8</v>
      </c>
      <c r="R207" s="24">
        <f t="shared" si="115"/>
        <v>4</v>
      </c>
      <c r="S207" s="25">
        <f t="shared" si="131"/>
        <v>0.91108071135430924</v>
      </c>
      <c r="T207" s="25">
        <f t="shared" si="116"/>
        <v>0.18221614227086186</v>
      </c>
      <c r="U207" s="26">
        <v>633.21213927469171</v>
      </c>
      <c r="V207" s="26">
        <v>7.4729938271604944E-3</v>
      </c>
      <c r="W207" s="26">
        <v>2832.5167889178242</v>
      </c>
      <c r="X207" s="27">
        <f t="shared" si="109"/>
        <v>0</v>
      </c>
      <c r="Y207" s="27">
        <f t="shared" si="110"/>
        <v>1</v>
      </c>
      <c r="Z207" s="27">
        <f t="shared" si="106"/>
        <v>1</v>
      </c>
      <c r="AA207" s="23">
        <f t="shared" si="108"/>
        <v>0.8</v>
      </c>
      <c r="AB207" s="24">
        <f t="shared" si="104"/>
        <v>2</v>
      </c>
      <c r="AC207" s="28">
        <f t="shared" si="117"/>
        <v>0.66666666666666663</v>
      </c>
      <c r="AD207" s="29">
        <f t="shared" si="118"/>
        <v>0.16666666666666666</v>
      </c>
      <c r="AE207" s="30">
        <v>9.884168465569676E-2</v>
      </c>
      <c r="AF207" s="23">
        <f t="shared" si="119"/>
        <v>0.75</v>
      </c>
      <c r="AG207" s="24">
        <f t="shared" si="111"/>
        <v>3</v>
      </c>
      <c r="AH207" s="28">
        <f t="shared" si="120"/>
        <v>0.6</v>
      </c>
      <c r="AI207" s="29">
        <f t="shared" si="121"/>
        <v>0.15</v>
      </c>
      <c r="AJ207" s="31">
        <v>1</v>
      </c>
      <c r="AK207" s="31">
        <v>1</v>
      </c>
      <c r="AL207" s="31">
        <v>1</v>
      </c>
      <c r="AM207" s="31">
        <v>0</v>
      </c>
      <c r="AN207" s="31">
        <v>0</v>
      </c>
      <c r="AO207" s="31">
        <v>0</v>
      </c>
      <c r="AP207" s="31">
        <v>0</v>
      </c>
      <c r="AQ207" s="31">
        <v>0</v>
      </c>
      <c r="AR207" s="23">
        <f t="shared" si="122"/>
        <v>0.6</v>
      </c>
      <c r="AS207" s="24">
        <f t="shared" si="123"/>
        <v>3</v>
      </c>
      <c r="AT207" s="28">
        <f t="shared" si="124"/>
        <v>0.375</v>
      </c>
      <c r="AU207" s="28">
        <f t="shared" si="125"/>
        <v>5.6249999999999994E-2</v>
      </c>
      <c r="AV207" s="32">
        <v>75</v>
      </c>
      <c r="AW207" s="32">
        <v>75</v>
      </c>
      <c r="AX207" s="32">
        <v>80</v>
      </c>
      <c r="AY207" s="32">
        <v>80</v>
      </c>
      <c r="AZ207" s="32">
        <v>80</v>
      </c>
      <c r="BA207" s="32">
        <v>100</v>
      </c>
      <c r="BB207" s="23">
        <f t="shared" ca="1" si="126"/>
        <v>0.8</v>
      </c>
      <c r="BC207" s="33">
        <f t="shared" si="132"/>
        <v>81.666666666666671</v>
      </c>
      <c r="BD207" s="28">
        <f t="shared" si="127"/>
        <v>0.93877551020408168</v>
      </c>
      <c r="BE207" s="28">
        <f t="shared" si="128"/>
        <v>0.18775510204081636</v>
      </c>
      <c r="BF207" s="34">
        <f ca="1">Q207+AA207+AF207+AR207+BB207</f>
        <v>3.75</v>
      </c>
      <c r="BG207" s="34">
        <f>AVERAGE(AV207:AZ207)</f>
        <v>78</v>
      </c>
      <c r="BH207" s="35">
        <f>T207+AD207+AI207+AU207+BE207</f>
        <v>0.74288791097834495</v>
      </c>
      <c r="BI207" s="36" t="str">
        <f ca="1">IF(K207&lt;365,"New CE",(IF(BH207&gt;=100%,"Promote",IF(BH207&gt;=90%,"Sangat Baik",IF(BH207&gt;=80%,"Baik",IF(BH207&gt;=70%,"Lebih Dari Cukup",IF(BH207&gt;=60%,"Cukup","Kurang")))))))</f>
        <v>Lebih Dari Cukup</v>
      </c>
      <c r="BJ207" s="36" t="s">
        <v>860</v>
      </c>
      <c r="BK207" s="58" t="s">
        <v>48</v>
      </c>
      <c r="BL207" s="59" t="str">
        <v>Muhammad Azhar</v>
      </c>
    </row>
    <row r="208" spans="1:64" x14ac:dyDescent="0.35">
      <c r="A208" s="19">
        <v>204</v>
      </c>
      <c r="B208" s="13" t="s">
        <v>527</v>
      </c>
      <c r="C208" s="20" t="s">
        <v>528</v>
      </c>
      <c r="D208" s="76" t="s">
        <v>54</v>
      </c>
      <c r="E208" s="13" t="s">
        <v>529</v>
      </c>
      <c r="F208" s="13" t="s">
        <v>74</v>
      </c>
      <c r="G208" s="13" t="s">
        <v>45</v>
      </c>
      <c r="H208" s="65">
        <v>45352</v>
      </c>
      <c r="I208" s="21">
        <f t="shared" ca="1" si="129"/>
        <v>45974</v>
      </c>
      <c r="J208" s="13" t="str">
        <f t="shared" ca="1" si="112"/>
        <v xml:space="preserve">1 Tahun 8 Bulan 12 Hari </v>
      </c>
      <c r="K208" s="13">
        <f t="shared" ca="1" si="130"/>
        <v>895680</v>
      </c>
      <c r="L208" s="13">
        <v>235</v>
      </c>
      <c r="M208" s="13">
        <v>4</v>
      </c>
      <c r="N208" s="13">
        <v>1697</v>
      </c>
      <c r="O208" s="22">
        <f t="shared" si="113"/>
        <v>424.25</v>
      </c>
      <c r="P208" s="13">
        <v>377</v>
      </c>
      <c r="Q208" s="23">
        <f t="shared" si="114"/>
        <v>0.8</v>
      </c>
      <c r="R208" s="24">
        <f t="shared" si="115"/>
        <v>4</v>
      </c>
      <c r="S208" s="25">
        <f t="shared" si="131"/>
        <v>0.88862698880377133</v>
      </c>
      <c r="T208" s="25">
        <f t="shared" si="116"/>
        <v>0.17772539776075427</v>
      </c>
      <c r="U208" s="26">
        <v>2843.7392813223378</v>
      </c>
      <c r="V208" s="26">
        <v>1419.1102347366898</v>
      </c>
      <c r="W208" s="26">
        <v>0.13315856481481483</v>
      </c>
      <c r="X208" s="27">
        <f t="shared" si="109"/>
        <v>0</v>
      </c>
      <c r="Y208" s="27">
        <f t="shared" si="110"/>
        <v>0</v>
      </c>
      <c r="Z208" s="27">
        <f t="shared" si="106"/>
        <v>1</v>
      </c>
      <c r="AA208" s="23">
        <f t="shared" si="108"/>
        <v>0.4</v>
      </c>
      <c r="AB208" s="24">
        <f t="shared" si="104"/>
        <v>1</v>
      </c>
      <c r="AC208" s="28">
        <f t="shared" si="117"/>
        <v>0.33333333333333331</v>
      </c>
      <c r="AD208" s="29">
        <f t="shared" si="118"/>
        <v>8.3333333333333329E-2</v>
      </c>
      <c r="AE208" s="30">
        <v>5.3844053535766143E-2</v>
      </c>
      <c r="AF208" s="23">
        <f t="shared" si="119"/>
        <v>1</v>
      </c>
      <c r="AG208" s="24">
        <f t="shared" si="111"/>
        <v>4</v>
      </c>
      <c r="AH208" s="28">
        <f t="shared" si="120"/>
        <v>0.8</v>
      </c>
      <c r="AI208" s="29">
        <f t="shared" si="121"/>
        <v>0.2</v>
      </c>
      <c r="AJ208" s="31">
        <v>1</v>
      </c>
      <c r="AK208" s="31">
        <v>1</v>
      </c>
      <c r="AL208" s="31">
        <v>1</v>
      </c>
      <c r="AM208" s="31">
        <v>0</v>
      </c>
      <c r="AN208" s="31">
        <v>1</v>
      </c>
      <c r="AO208" s="31">
        <v>1</v>
      </c>
      <c r="AP208" s="31">
        <v>0</v>
      </c>
      <c r="AQ208" s="31">
        <v>0</v>
      </c>
      <c r="AR208" s="23">
        <f t="shared" si="122"/>
        <v>1</v>
      </c>
      <c r="AS208" s="24">
        <f t="shared" si="123"/>
        <v>5</v>
      </c>
      <c r="AT208" s="28">
        <f t="shared" si="124"/>
        <v>0.625</v>
      </c>
      <c r="AU208" s="28">
        <f t="shared" si="125"/>
        <v>9.375E-2</v>
      </c>
      <c r="AV208" s="32">
        <v>75</v>
      </c>
      <c r="AW208" s="32">
        <v>75</v>
      </c>
      <c r="AX208" s="32">
        <v>80</v>
      </c>
      <c r="AY208" s="32">
        <v>80</v>
      </c>
      <c r="AZ208" s="32">
        <v>80</v>
      </c>
      <c r="BA208" s="32">
        <v>100</v>
      </c>
      <c r="BB208" s="23">
        <f t="shared" ca="1" si="126"/>
        <v>0.8</v>
      </c>
      <c r="BC208" s="33">
        <f t="shared" si="132"/>
        <v>81.666666666666671</v>
      </c>
      <c r="BD208" s="28">
        <f t="shared" si="127"/>
        <v>0.93877551020408168</v>
      </c>
      <c r="BE208" s="28">
        <f t="shared" si="128"/>
        <v>0.18775510204081636</v>
      </c>
      <c r="BF208" s="34">
        <f ca="1">Q208+AA208+AF208+AR208+BB208</f>
        <v>4</v>
      </c>
      <c r="BG208" s="34">
        <f>AVERAGE(AV208:AZ208)</f>
        <v>78</v>
      </c>
      <c r="BH208" s="35">
        <f>T208+AD208+AI208+AU208+BE208</f>
        <v>0.74256383313490404</v>
      </c>
      <c r="BI208" s="36" t="str">
        <f ca="1">IF(K208&lt;365,"New CE",(IF(BH208&gt;=100%,"Promote",IF(BH208&gt;=90%,"Sangat Baik",IF(BH208&gt;=80%,"Baik",IF(BH208&gt;=70%,"Lebih Dari Cukup",IF(BH208&gt;=60%,"Cukup","Kurang")))))))</f>
        <v>Lebih Dari Cukup</v>
      </c>
      <c r="BJ208" s="36" t="s">
        <v>860</v>
      </c>
      <c r="BK208" s="58" t="s">
        <v>54</v>
      </c>
      <c r="BL208" s="59" t="str">
        <v>M Triwahyudi Damanik</v>
      </c>
    </row>
    <row r="209" spans="1:64" x14ac:dyDescent="0.35">
      <c r="A209" s="19">
        <v>205</v>
      </c>
      <c r="B209" s="13" t="s">
        <v>530</v>
      </c>
      <c r="C209" s="20" t="s">
        <v>531</v>
      </c>
      <c r="D209" s="76" t="s">
        <v>48</v>
      </c>
      <c r="E209" s="13" t="s">
        <v>287</v>
      </c>
      <c r="F209" s="13" t="s">
        <v>74</v>
      </c>
      <c r="G209" s="13" t="s">
        <v>61</v>
      </c>
      <c r="H209" s="65">
        <v>43836</v>
      </c>
      <c r="I209" s="21">
        <f t="shared" ca="1" si="129"/>
        <v>45974</v>
      </c>
      <c r="J209" s="13" t="str">
        <f t="shared" ca="1" si="112"/>
        <v xml:space="preserve">5 Tahun 10 Bulan 7 Hari </v>
      </c>
      <c r="K209" s="13">
        <f t="shared" ca="1" si="130"/>
        <v>3078720</v>
      </c>
      <c r="L209" s="13">
        <v>295</v>
      </c>
      <c r="M209" s="13">
        <v>5</v>
      </c>
      <c r="N209" s="13">
        <v>2105</v>
      </c>
      <c r="O209" s="22">
        <f t="shared" si="113"/>
        <v>421</v>
      </c>
      <c r="P209" s="13">
        <v>413</v>
      </c>
      <c r="Q209" s="23">
        <f t="shared" si="114"/>
        <v>0.8</v>
      </c>
      <c r="R209" s="24">
        <f t="shared" si="115"/>
        <v>4</v>
      </c>
      <c r="S209" s="25">
        <f t="shared" si="131"/>
        <v>0.98099762470308793</v>
      </c>
      <c r="T209" s="25">
        <f t="shared" si="116"/>
        <v>0.1961995249406176</v>
      </c>
      <c r="U209" s="26">
        <v>11966.123202058969</v>
      </c>
      <c r="V209" s="26">
        <v>45554.617523148147</v>
      </c>
      <c r="W209" s="26">
        <v>28386.735143229169</v>
      </c>
      <c r="X209" s="27">
        <f t="shared" si="109"/>
        <v>0</v>
      </c>
      <c r="Y209" s="27">
        <f t="shared" si="110"/>
        <v>0</v>
      </c>
      <c r="Z209" s="27">
        <f t="shared" si="106"/>
        <v>1</v>
      </c>
      <c r="AA209" s="23">
        <f t="shared" ref="AA209:AA238" si="133">IF(AB209=3, 1.25, IF(AB209=2, 0.8, IF(AB209=1, 0.4, IF(AB209=0, 0, 0))))</f>
        <v>0.4</v>
      </c>
      <c r="AB209" s="24">
        <f t="shared" si="104"/>
        <v>1</v>
      </c>
      <c r="AC209" s="28">
        <f t="shared" si="117"/>
        <v>0.33333333333333331</v>
      </c>
      <c r="AD209" s="29">
        <f t="shared" si="118"/>
        <v>8.3333333333333329E-2</v>
      </c>
      <c r="AE209" s="30">
        <v>4.5261238688973068E-2</v>
      </c>
      <c r="AF209" s="23">
        <f t="shared" si="119"/>
        <v>1</v>
      </c>
      <c r="AG209" s="24">
        <f t="shared" si="111"/>
        <v>4</v>
      </c>
      <c r="AH209" s="28">
        <f t="shared" si="120"/>
        <v>0.8</v>
      </c>
      <c r="AI209" s="29">
        <f t="shared" si="121"/>
        <v>0.2</v>
      </c>
      <c r="AJ209" s="31">
        <v>1</v>
      </c>
      <c r="AK209" s="31">
        <v>1</v>
      </c>
      <c r="AL209" s="31">
        <v>1</v>
      </c>
      <c r="AM209" s="31">
        <v>0</v>
      </c>
      <c r="AN209" s="31">
        <v>1</v>
      </c>
      <c r="AO209" s="31">
        <v>0</v>
      </c>
      <c r="AP209" s="31">
        <v>0</v>
      </c>
      <c r="AQ209" s="31">
        <v>0</v>
      </c>
      <c r="AR209" s="23">
        <f t="shared" si="122"/>
        <v>0.8</v>
      </c>
      <c r="AS209" s="24">
        <f t="shared" si="123"/>
        <v>4</v>
      </c>
      <c r="AT209" s="28">
        <f t="shared" si="124"/>
        <v>0.5</v>
      </c>
      <c r="AU209" s="28">
        <f t="shared" si="125"/>
        <v>7.4999999999999997E-2</v>
      </c>
      <c r="AV209" s="32">
        <v>75</v>
      </c>
      <c r="AW209" s="32">
        <v>75</v>
      </c>
      <c r="AX209" s="32">
        <v>80</v>
      </c>
      <c r="AY209" s="32">
        <v>75</v>
      </c>
      <c r="AZ209" s="32">
        <v>80</v>
      </c>
      <c r="BA209" s="32">
        <v>100</v>
      </c>
      <c r="BB209" s="23">
        <f t="shared" ca="1" si="126"/>
        <v>0.8</v>
      </c>
      <c r="BC209" s="33">
        <f t="shared" si="132"/>
        <v>80.833333333333329</v>
      </c>
      <c r="BD209" s="28">
        <f t="shared" si="127"/>
        <v>0.93814432989690721</v>
      </c>
      <c r="BE209" s="28">
        <f t="shared" si="128"/>
        <v>0.18762886597938144</v>
      </c>
      <c r="BF209" s="34">
        <f ca="1">Q209+AA209+AF209+AR209+BB209</f>
        <v>3.8</v>
      </c>
      <c r="BG209" s="34">
        <f>AVERAGE(AV209:AZ209)</f>
        <v>77</v>
      </c>
      <c r="BH209" s="35">
        <f>T209+AD209+AI209+AU209+BE209</f>
        <v>0.74216172425333238</v>
      </c>
      <c r="BI209" s="36" t="str">
        <f ca="1">IF(K209&lt;365,"New CE",(IF(BH209&gt;=100%,"Promote",IF(BH209&gt;=90%,"Sangat Baik",IF(BH209&gt;=80%,"Baik",IF(BH209&gt;=70%,"Lebih Dari Cukup",IF(BH209&gt;=60%,"Cukup","Kurang")))))))</f>
        <v>Lebih Dari Cukup</v>
      </c>
      <c r="BJ209" s="36" t="s">
        <v>860</v>
      </c>
      <c r="BK209" s="58" t="s">
        <v>48</v>
      </c>
      <c r="BL209" s="59" t="str">
        <v>Ali Mukti</v>
      </c>
    </row>
    <row r="210" spans="1:64" x14ac:dyDescent="0.35">
      <c r="A210" s="19">
        <v>206</v>
      </c>
      <c r="B210" s="13" t="s">
        <v>532</v>
      </c>
      <c r="C210" s="20" t="s">
        <v>533</v>
      </c>
      <c r="D210" s="76" t="s">
        <v>54</v>
      </c>
      <c r="E210" s="13" t="s">
        <v>534</v>
      </c>
      <c r="F210" s="13" t="s">
        <v>50</v>
      </c>
      <c r="G210" s="13" t="s">
        <v>61</v>
      </c>
      <c r="H210" s="65">
        <v>45131</v>
      </c>
      <c r="I210" s="21">
        <f t="shared" ca="1" si="129"/>
        <v>45974</v>
      </c>
      <c r="J210" s="13" t="str">
        <f t="shared" ca="1" si="112"/>
        <v xml:space="preserve">2 Tahun 3 Bulan 20 Hari </v>
      </c>
      <c r="K210" s="13">
        <f t="shared" ca="1" si="130"/>
        <v>1213920</v>
      </c>
      <c r="L210" s="13">
        <v>34</v>
      </c>
      <c r="M210" s="13">
        <v>1</v>
      </c>
      <c r="N210" s="13">
        <v>290</v>
      </c>
      <c r="O210" s="22">
        <f t="shared" si="113"/>
        <v>290</v>
      </c>
      <c r="P210" s="13">
        <v>284</v>
      </c>
      <c r="Q210" s="23">
        <f t="shared" si="114"/>
        <v>0.8</v>
      </c>
      <c r="R210" s="24">
        <f t="shared" si="115"/>
        <v>4</v>
      </c>
      <c r="S210" s="25">
        <f t="shared" si="131"/>
        <v>0.97931034482758617</v>
      </c>
      <c r="T210" s="25">
        <f t="shared" si="116"/>
        <v>0.19586206896551725</v>
      </c>
      <c r="U210" s="26">
        <v>2394.2206980994147</v>
      </c>
      <c r="V210" s="26">
        <v>0</v>
      </c>
      <c r="W210" s="26">
        <v>23956.906864035085</v>
      </c>
      <c r="X210" s="27">
        <f t="shared" si="109"/>
        <v>0</v>
      </c>
      <c r="Y210" s="27">
        <f t="shared" si="110"/>
        <v>0</v>
      </c>
      <c r="Z210" s="27">
        <f t="shared" si="106"/>
        <v>1</v>
      </c>
      <c r="AA210" s="23">
        <f t="shared" si="133"/>
        <v>0.4</v>
      </c>
      <c r="AB210" s="24">
        <f t="shared" si="104"/>
        <v>1</v>
      </c>
      <c r="AC210" s="28">
        <f t="shared" si="117"/>
        <v>0.33333333333333331</v>
      </c>
      <c r="AD210" s="29">
        <f t="shared" si="118"/>
        <v>8.3333333333333329E-2</v>
      </c>
      <c r="AE210" s="30">
        <v>7.6922132201646093E-2</v>
      </c>
      <c r="AF210" s="23">
        <f t="shared" si="119"/>
        <v>1</v>
      </c>
      <c r="AG210" s="24">
        <f t="shared" si="111"/>
        <v>4</v>
      </c>
      <c r="AH210" s="28">
        <f t="shared" si="120"/>
        <v>0.8</v>
      </c>
      <c r="AI210" s="29">
        <f t="shared" si="121"/>
        <v>0.2</v>
      </c>
      <c r="AJ210" s="31">
        <v>1</v>
      </c>
      <c r="AK210" s="31">
        <v>1</v>
      </c>
      <c r="AL210" s="31">
        <v>1</v>
      </c>
      <c r="AM210" s="31">
        <v>0</v>
      </c>
      <c r="AN210" s="31">
        <v>0</v>
      </c>
      <c r="AO210" s="31">
        <v>1</v>
      </c>
      <c r="AP210" s="31">
        <v>0</v>
      </c>
      <c r="AQ210" s="31">
        <v>0</v>
      </c>
      <c r="AR210" s="23">
        <f t="shared" si="122"/>
        <v>0.8</v>
      </c>
      <c r="AS210" s="24">
        <f t="shared" si="123"/>
        <v>4</v>
      </c>
      <c r="AT210" s="28">
        <f t="shared" si="124"/>
        <v>0.5</v>
      </c>
      <c r="AU210" s="28">
        <f t="shared" si="125"/>
        <v>7.4999999999999997E-2</v>
      </c>
      <c r="AV210" s="32">
        <v>75</v>
      </c>
      <c r="AW210" s="32">
        <v>75</v>
      </c>
      <c r="AX210" s="32">
        <v>90</v>
      </c>
      <c r="AY210" s="32">
        <v>85</v>
      </c>
      <c r="AZ210" s="32">
        <v>80</v>
      </c>
      <c r="BA210" s="32">
        <v>100</v>
      </c>
      <c r="BB210" s="23">
        <f t="shared" ca="1" si="126"/>
        <v>0.8</v>
      </c>
      <c r="BC210" s="33">
        <f t="shared" si="132"/>
        <v>84.166666666666671</v>
      </c>
      <c r="BD210" s="28">
        <f t="shared" si="127"/>
        <v>0.94059405940594054</v>
      </c>
      <c r="BE210" s="28">
        <f t="shared" si="128"/>
        <v>0.18811881188118812</v>
      </c>
      <c r="BF210" s="34">
        <f ca="1">Q210+AA210+AF210+AR210+BB210</f>
        <v>3.8</v>
      </c>
      <c r="BG210" s="34">
        <f>AVERAGE(AV210:AZ210)</f>
        <v>81</v>
      </c>
      <c r="BH210" s="35">
        <f>T210+AD210+AI210+AU210+BE210</f>
        <v>0.74231421418003873</v>
      </c>
      <c r="BI210" s="36" t="str">
        <f ca="1">IF(K210&lt;365,"New CE",(IF(BH210&gt;=100%,"Promote",IF(BH210&gt;=90%,"Sangat Baik",IF(BH210&gt;=80%,"Baik",IF(BH210&gt;=70%,"Lebih Dari Cukup",IF(BH210&gt;=60%,"Cukup","Kurang")))))))</f>
        <v>Lebih Dari Cukup</v>
      </c>
      <c r="BJ210" s="36" t="s">
        <v>860</v>
      </c>
      <c r="BK210" s="58" t="s">
        <v>54</v>
      </c>
      <c r="BL210" s="59" t="e">
        <v>#N/A</v>
      </c>
    </row>
    <row r="211" spans="1:64" x14ac:dyDescent="0.35">
      <c r="A211" s="19">
        <v>207</v>
      </c>
      <c r="B211" s="13" t="s">
        <v>535</v>
      </c>
      <c r="C211" s="20" t="s">
        <v>536</v>
      </c>
      <c r="D211" s="76" t="s">
        <v>54</v>
      </c>
      <c r="E211" s="13" t="s">
        <v>349</v>
      </c>
      <c r="F211" s="13" t="s">
        <v>50</v>
      </c>
      <c r="G211" s="13" t="s">
        <v>61</v>
      </c>
      <c r="H211" s="65">
        <v>44935</v>
      </c>
      <c r="I211" s="21">
        <f t="shared" ca="1" si="129"/>
        <v>45974</v>
      </c>
      <c r="J211" s="13" t="str">
        <f t="shared" ca="1" si="112"/>
        <v xml:space="preserve">2 Tahun 10 Bulan 4 Hari </v>
      </c>
      <c r="K211" s="13">
        <f t="shared" ca="1" si="130"/>
        <v>1496160</v>
      </c>
      <c r="L211" s="13">
        <v>338</v>
      </c>
      <c r="M211" s="13">
        <v>6</v>
      </c>
      <c r="N211" s="13">
        <v>2750</v>
      </c>
      <c r="O211" s="22">
        <f t="shared" si="113"/>
        <v>458.33333333333331</v>
      </c>
      <c r="P211" s="13">
        <v>446</v>
      </c>
      <c r="Q211" s="23">
        <f t="shared" si="114"/>
        <v>0.8</v>
      </c>
      <c r="R211" s="24">
        <f t="shared" si="115"/>
        <v>4</v>
      </c>
      <c r="S211" s="25">
        <f t="shared" si="131"/>
        <v>0.97309090909090912</v>
      </c>
      <c r="T211" s="25">
        <f t="shared" si="116"/>
        <v>0.19461818181818183</v>
      </c>
      <c r="U211" s="26">
        <v>2116.7850154769603</v>
      </c>
      <c r="V211" s="26">
        <v>3.0324074074074076E-2</v>
      </c>
      <c r="W211" s="26">
        <v>0</v>
      </c>
      <c r="X211" s="27">
        <f t="shared" si="109"/>
        <v>0</v>
      </c>
      <c r="Y211" s="27">
        <f t="shared" si="110"/>
        <v>1</v>
      </c>
      <c r="Z211" s="27">
        <f t="shared" si="106"/>
        <v>0</v>
      </c>
      <c r="AA211" s="23">
        <f t="shared" si="133"/>
        <v>0.4</v>
      </c>
      <c r="AB211" s="24">
        <f t="shared" si="104"/>
        <v>1</v>
      </c>
      <c r="AC211" s="28">
        <f t="shared" si="117"/>
        <v>0.33333333333333331</v>
      </c>
      <c r="AD211" s="29">
        <f t="shared" si="118"/>
        <v>8.3333333333333329E-2</v>
      </c>
      <c r="AE211" s="30">
        <v>4.4212344256699093E-2</v>
      </c>
      <c r="AF211" s="23">
        <f t="shared" si="119"/>
        <v>1</v>
      </c>
      <c r="AG211" s="24">
        <f t="shared" si="111"/>
        <v>4</v>
      </c>
      <c r="AH211" s="28">
        <f t="shared" si="120"/>
        <v>0.8</v>
      </c>
      <c r="AI211" s="29">
        <f t="shared" si="121"/>
        <v>0.2</v>
      </c>
      <c r="AJ211" s="31">
        <v>1</v>
      </c>
      <c r="AK211" s="31">
        <v>1</v>
      </c>
      <c r="AL211" s="31">
        <v>1</v>
      </c>
      <c r="AM211" s="31">
        <v>0</v>
      </c>
      <c r="AN211" s="31">
        <v>0</v>
      </c>
      <c r="AO211" s="31">
        <v>1</v>
      </c>
      <c r="AP211" s="31">
        <v>0</v>
      </c>
      <c r="AQ211" s="31">
        <v>0</v>
      </c>
      <c r="AR211" s="23">
        <f t="shared" si="122"/>
        <v>0.8</v>
      </c>
      <c r="AS211" s="24">
        <f t="shared" si="123"/>
        <v>4</v>
      </c>
      <c r="AT211" s="28">
        <f t="shared" si="124"/>
        <v>0.5</v>
      </c>
      <c r="AU211" s="28">
        <f t="shared" si="125"/>
        <v>7.4999999999999997E-2</v>
      </c>
      <c r="AV211" s="32">
        <v>75</v>
      </c>
      <c r="AW211" s="32">
        <v>75</v>
      </c>
      <c r="AX211" s="32">
        <v>90</v>
      </c>
      <c r="AY211" s="32">
        <v>80</v>
      </c>
      <c r="AZ211" s="32">
        <v>80</v>
      </c>
      <c r="BA211" s="32">
        <v>100</v>
      </c>
      <c r="BB211" s="23">
        <f t="shared" ca="1" si="126"/>
        <v>0.8</v>
      </c>
      <c r="BC211" s="33">
        <f t="shared" si="132"/>
        <v>83.333333333333329</v>
      </c>
      <c r="BD211" s="28">
        <f t="shared" si="127"/>
        <v>0.94</v>
      </c>
      <c r="BE211" s="28">
        <f t="shared" si="128"/>
        <v>0.188</v>
      </c>
      <c r="BF211" s="34">
        <f ca="1">Q211+AA211+AF211+AR211+BB211</f>
        <v>3.8</v>
      </c>
      <c r="BG211" s="34">
        <f>AVERAGE(AV211:AZ211)</f>
        <v>80</v>
      </c>
      <c r="BH211" s="35">
        <f>T211+AD211+AI211+AU211+BE211</f>
        <v>0.74095151515151514</v>
      </c>
      <c r="BI211" s="36" t="str">
        <f ca="1">IF(K211&lt;365,"New CE",(IF(BH211&gt;=100%,"Promote",IF(BH211&gt;=90%,"Sangat Baik",IF(BH211&gt;=80%,"Baik",IF(BH211&gt;=70%,"Lebih Dari Cukup",IF(BH211&gt;=60%,"Cukup","Kurang")))))))</f>
        <v>Lebih Dari Cukup</v>
      </c>
      <c r="BJ211" s="36" t="s">
        <v>860</v>
      </c>
      <c r="BK211" s="58" t="s">
        <v>54</v>
      </c>
      <c r="BL211" s="59" t="e">
        <v>#N/A</v>
      </c>
    </row>
    <row r="212" spans="1:64" x14ac:dyDescent="0.35">
      <c r="A212" s="19">
        <v>208</v>
      </c>
      <c r="B212" s="13" t="s">
        <v>537</v>
      </c>
      <c r="C212" s="20" t="s">
        <v>538</v>
      </c>
      <c r="D212" s="76" t="s">
        <v>48</v>
      </c>
      <c r="E212" s="13" t="s">
        <v>223</v>
      </c>
      <c r="F212" s="13" t="s">
        <v>74</v>
      </c>
      <c r="G212" s="13" t="s">
        <v>55</v>
      </c>
      <c r="H212" s="65">
        <v>44172</v>
      </c>
      <c r="I212" s="21">
        <f t="shared" ca="1" si="129"/>
        <v>45974</v>
      </c>
      <c r="J212" s="13" t="str">
        <f t="shared" ca="1" si="112"/>
        <v xml:space="preserve">4 Tahun 11 Bulan 6 Hari </v>
      </c>
      <c r="K212" s="13">
        <f t="shared" ca="1" si="130"/>
        <v>2594880</v>
      </c>
      <c r="L212" s="13">
        <v>426</v>
      </c>
      <c r="M212" s="13">
        <v>6</v>
      </c>
      <c r="N212" s="13">
        <v>3000</v>
      </c>
      <c r="O212" s="22">
        <f t="shared" si="113"/>
        <v>500</v>
      </c>
      <c r="P212" s="13">
        <v>437</v>
      </c>
      <c r="Q212" s="23">
        <f t="shared" si="114"/>
        <v>0.8</v>
      </c>
      <c r="R212" s="24">
        <f t="shared" si="115"/>
        <v>4</v>
      </c>
      <c r="S212" s="25">
        <f t="shared" si="131"/>
        <v>0.874</v>
      </c>
      <c r="T212" s="25">
        <f t="shared" si="116"/>
        <v>0.17480000000000001</v>
      </c>
      <c r="U212" s="26">
        <v>24840.21672592594</v>
      </c>
      <c r="V212" s="26">
        <v>16239.299613921956</v>
      </c>
      <c r="W212" s="26">
        <v>15157.237014440036</v>
      </c>
      <c r="X212" s="27">
        <f t="shared" si="109"/>
        <v>0</v>
      </c>
      <c r="Y212" s="27">
        <f t="shared" si="110"/>
        <v>0</v>
      </c>
      <c r="Z212" s="27">
        <f t="shared" si="106"/>
        <v>1</v>
      </c>
      <c r="AA212" s="23">
        <f t="shared" si="133"/>
        <v>0.4</v>
      </c>
      <c r="AB212" s="24">
        <f t="shared" si="104"/>
        <v>1</v>
      </c>
      <c r="AC212" s="28">
        <f t="shared" si="117"/>
        <v>0.33333333333333331</v>
      </c>
      <c r="AD212" s="29">
        <f t="shared" si="118"/>
        <v>8.3333333333333329E-2</v>
      </c>
      <c r="AE212" s="30">
        <v>7.4243258041944649E-2</v>
      </c>
      <c r="AF212" s="23">
        <f t="shared" si="119"/>
        <v>1</v>
      </c>
      <c r="AG212" s="24">
        <f t="shared" si="111"/>
        <v>4</v>
      </c>
      <c r="AH212" s="28">
        <f t="shared" si="120"/>
        <v>0.8</v>
      </c>
      <c r="AI212" s="29">
        <f t="shared" si="121"/>
        <v>0.2</v>
      </c>
      <c r="AJ212" s="31">
        <v>1</v>
      </c>
      <c r="AK212" s="31">
        <v>1</v>
      </c>
      <c r="AL212" s="31">
        <v>1</v>
      </c>
      <c r="AM212" s="31">
        <v>0</v>
      </c>
      <c r="AN212" s="31">
        <v>0</v>
      </c>
      <c r="AO212" s="31">
        <v>1</v>
      </c>
      <c r="AP212" s="31">
        <v>0</v>
      </c>
      <c r="AQ212" s="31">
        <v>1</v>
      </c>
      <c r="AR212" s="23">
        <f t="shared" si="122"/>
        <v>1</v>
      </c>
      <c r="AS212" s="24">
        <f t="shared" si="123"/>
        <v>5</v>
      </c>
      <c r="AT212" s="28">
        <f t="shared" si="124"/>
        <v>0.625</v>
      </c>
      <c r="AU212" s="28">
        <f t="shared" si="125"/>
        <v>9.375E-2</v>
      </c>
      <c r="AV212" s="32">
        <v>75</v>
      </c>
      <c r="AW212" s="32">
        <v>75</v>
      </c>
      <c r="AX212" s="32">
        <v>80</v>
      </c>
      <c r="AY212" s="32">
        <v>85</v>
      </c>
      <c r="AZ212" s="32">
        <v>80</v>
      </c>
      <c r="BA212" s="32">
        <v>100</v>
      </c>
      <c r="BB212" s="23">
        <f t="shared" ca="1" si="126"/>
        <v>0.8</v>
      </c>
      <c r="BC212" s="33">
        <f t="shared" si="132"/>
        <v>82.5</v>
      </c>
      <c r="BD212" s="28">
        <f t="shared" si="127"/>
        <v>0.93939393939393945</v>
      </c>
      <c r="BE212" s="28">
        <f t="shared" si="128"/>
        <v>0.1878787878787879</v>
      </c>
      <c r="BF212" s="34">
        <f ca="1">Q212+AA212+AF212+AR212+BB212</f>
        <v>4</v>
      </c>
      <c r="BG212" s="34">
        <f>AVERAGE(AV212:AZ212)</f>
        <v>79</v>
      </c>
      <c r="BH212" s="35">
        <f>T212+AD212+AI212+AU212+BE212</f>
        <v>0.73976212121212115</v>
      </c>
      <c r="BI212" s="36" t="str">
        <f ca="1">IF(K212&lt;365,"New CE",(IF(BH212&gt;=100%,"Promote",IF(BH212&gt;=90%,"Sangat Baik",IF(BH212&gt;=80%,"Baik",IF(BH212&gt;=70%,"Lebih Dari Cukup",IF(BH212&gt;=60%,"Cukup","Kurang")))))))</f>
        <v>Lebih Dari Cukup</v>
      </c>
      <c r="BJ212" s="36" t="s">
        <v>860</v>
      </c>
      <c r="BK212" s="58" t="s">
        <v>48</v>
      </c>
      <c r="BL212" s="59" t="str">
        <v>Refky Hidayat</v>
      </c>
    </row>
    <row r="213" spans="1:64" x14ac:dyDescent="0.35">
      <c r="A213" s="19">
        <v>209</v>
      </c>
      <c r="B213" s="13" t="s">
        <v>539</v>
      </c>
      <c r="C213" s="20" t="s">
        <v>540</v>
      </c>
      <c r="D213" s="76" t="s">
        <v>54</v>
      </c>
      <c r="E213" s="13" t="s">
        <v>457</v>
      </c>
      <c r="F213" s="13" t="s">
        <v>44</v>
      </c>
      <c r="G213" s="13" t="s">
        <v>61</v>
      </c>
      <c r="H213" s="65">
        <v>45243</v>
      </c>
      <c r="I213" s="21">
        <f t="shared" ca="1" si="129"/>
        <v>45974</v>
      </c>
      <c r="J213" s="13" t="str">
        <f t="shared" ca="1" si="112"/>
        <v xml:space="preserve">2 Tahun 0 Bulan 0 Hari </v>
      </c>
      <c r="K213" s="13">
        <f t="shared" ca="1" si="130"/>
        <v>1052640</v>
      </c>
      <c r="L213" s="13">
        <v>211</v>
      </c>
      <c r="M213" s="13">
        <v>4</v>
      </c>
      <c r="N213" s="13">
        <v>1615</v>
      </c>
      <c r="O213" s="22">
        <f t="shared" si="113"/>
        <v>403.75</v>
      </c>
      <c r="P213" s="13">
        <v>342</v>
      </c>
      <c r="Q213" s="23">
        <f t="shared" si="114"/>
        <v>0.8</v>
      </c>
      <c r="R213" s="24">
        <f t="shared" si="115"/>
        <v>4</v>
      </c>
      <c r="S213" s="25">
        <f t="shared" si="131"/>
        <v>0.84705882352941175</v>
      </c>
      <c r="T213" s="25">
        <f t="shared" si="116"/>
        <v>0.16941176470588237</v>
      </c>
      <c r="U213" s="26">
        <v>2163.9125631062611</v>
      </c>
      <c r="V213" s="26">
        <v>4.704861111111111E-3</v>
      </c>
      <c r="W213" s="26">
        <v>0</v>
      </c>
      <c r="X213" s="27">
        <f t="shared" si="109"/>
        <v>0</v>
      </c>
      <c r="Y213" s="27">
        <f t="shared" si="110"/>
        <v>1</v>
      </c>
      <c r="Z213" s="27">
        <f t="shared" si="106"/>
        <v>0</v>
      </c>
      <c r="AA213" s="23">
        <f t="shared" si="133"/>
        <v>0.4</v>
      </c>
      <c r="AB213" s="24">
        <f t="shared" si="104"/>
        <v>1</v>
      </c>
      <c r="AC213" s="28">
        <f t="shared" si="117"/>
        <v>0.33333333333333331</v>
      </c>
      <c r="AD213" s="29">
        <f t="shared" si="118"/>
        <v>8.3333333333333329E-2</v>
      </c>
      <c r="AE213" s="30">
        <v>6.3422791280864185E-2</v>
      </c>
      <c r="AF213" s="23">
        <f t="shared" si="119"/>
        <v>1</v>
      </c>
      <c r="AG213" s="24">
        <f t="shared" si="111"/>
        <v>4</v>
      </c>
      <c r="AH213" s="28">
        <f t="shared" si="120"/>
        <v>0.8</v>
      </c>
      <c r="AI213" s="29">
        <f t="shared" si="121"/>
        <v>0.2</v>
      </c>
      <c r="AJ213" s="31">
        <v>1</v>
      </c>
      <c r="AK213" s="31">
        <v>1</v>
      </c>
      <c r="AL213" s="31">
        <v>1</v>
      </c>
      <c r="AM213" s="31">
        <v>0</v>
      </c>
      <c r="AN213" s="31">
        <v>1</v>
      </c>
      <c r="AO213" s="31">
        <v>0</v>
      </c>
      <c r="AP213" s="31">
        <v>0</v>
      </c>
      <c r="AQ213" s="31">
        <v>1</v>
      </c>
      <c r="AR213" s="23">
        <f t="shared" si="122"/>
        <v>1</v>
      </c>
      <c r="AS213" s="24">
        <f t="shared" si="123"/>
        <v>5</v>
      </c>
      <c r="AT213" s="28">
        <f t="shared" si="124"/>
        <v>0.625</v>
      </c>
      <c r="AU213" s="28">
        <f t="shared" si="125"/>
        <v>9.375E-2</v>
      </c>
      <c r="AV213" s="32">
        <v>75</v>
      </c>
      <c r="AW213" s="32">
        <v>75</v>
      </c>
      <c r="AX213" s="32">
        <v>80</v>
      </c>
      <c r="AY213" s="32">
        <v>80</v>
      </c>
      <c r="AZ213" s="32">
        <v>80</v>
      </c>
      <c r="BA213" s="32">
        <v>100</v>
      </c>
      <c r="BB213" s="23">
        <f t="shared" ca="1" si="126"/>
        <v>0.8</v>
      </c>
      <c r="BC213" s="33">
        <f t="shared" si="132"/>
        <v>81.666666666666671</v>
      </c>
      <c r="BD213" s="28">
        <f t="shared" si="127"/>
        <v>0.93877551020408168</v>
      </c>
      <c r="BE213" s="28">
        <f t="shared" si="128"/>
        <v>0.18775510204081636</v>
      </c>
      <c r="BF213" s="34">
        <f ca="1">Q213+AA213+AF213+AR213+BB213</f>
        <v>4</v>
      </c>
      <c r="BG213" s="34">
        <f>AVERAGE(AV213:AZ213)</f>
        <v>78</v>
      </c>
      <c r="BH213" s="35">
        <f>T213+AD213+AI213+AU213+BE213</f>
        <v>0.73425020008003206</v>
      </c>
      <c r="BI213" s="36" t="str">
        <f ca="1">IF(K213&lt;365,"New CE",(IF(BH213&gt;=100%,"Promote",IF(BH213&gt;=90%,"Sangat Baik",IF(BH213&gt;=80%,"Baik",IF(BH213&gt;=70%,"Lebih Dari Cukup",IF(BH213&gt;=60%,"Cukup","Kurang")))))))</f>
        <v>Lebih Dari Cukup</v>
      </c>
      <c r="BJ213" s="36" t="s">
        <v>860</v>
      </c>
      <c r="BK213" s="58" t="s">
        <v>54</v>
      </c>
      <c r="BL213" s="59" t="e">
        <v>#N/A</v>
      </c>
    </row>
    <row r="214" spans="1:64" x14ac:dyDescent="0.35">
      <c r="A214" s="19">
        <v>210</v>
      </c>
      <c r="B214" s="13" t="s">
        <v>541</v>
      </c>
      <c r="C214" s="20" t="s">
        <v>542</v>
      </c>
      <c r="D214" s="76" t="s">
        <v>54</v>
      </c>
      <c r="E214" s="13" t="s">
        <v>95</v>
      </c>
      <c r="F214" s="13" t="s">
        <v>50</v>
      </c>
      <c r="G214" s="13" t="s">
        <v>61</v>
      </c>
      <c r="H214" s="65">
        <v>44966</v>
      </c>
      <c r="I214" s="21">
        <f t="shared" ca="1" si="129"/>
        <v>45974</v>
      </c>
      <c r="J214" s="13" t="str">
        <f t="shared" ca="1" si="112"/>
        <v xml:space="preserve">2 Tahun 9 Bulan 4 Hari </v>
      </c>
      <c r="K214" s="13">
        <f t="shared" ca="1" si="130"/>
        <v>1451520</v>
      </c>
      <c r="L214" s="13">
        <v>897</v>
      </c>
      <c r="M214" s="13">
        <v>13</v>
      </c>
      <c r="N214" s="13">
        <v>6212</v>
      </c>
      <c r="O214" s="22">
        <f t="shared" si="113"/>
        <v>477.84615384615387</v>
      </c>
      <c r="P214" s="13">
        <v>491</v>
      </c>
      <c r="Q214" s="23">
        <f t="shared" si="114"/>
        <v>1</v>
      </c>
      <c r="R214" s="24">
        <f t="shared" si="115"/>
        <v>5</v>
      </c>
      <c r="S214" s="25">
        <f t="shared" si="131"/>
        <v>1.0275273663876368</v>
      </c>
      <c r="T214" s="25">
        <f t="shared" si="116"/>
        <v>0.20550547327752736</v>
      </c>
      <c r="U214" s="26">
        <v>1.5763718681917217E-2</v>
      </c>
      <c r="V214" s="26">
        <v>0</v>
      </c>
      <c r="W214" s="26">
        <v>0</v>
      </c>
      <c r="X214" s="27">
        <f t="shared" si="109"/>
        <v>1</v>
      </c>
      <c r="Y214" s="27">
        <f t="shared" si="110"/>
        <v>0</v>
      </c>
      <c r="Z214" s="27">
        <f t="shared" si="106"/>
        <v>0</v>
      </c>
      <c r="AA214" s="23">
        <f t="shared" si="133"/>
        <v>0.4</v>
      </c>
      <c r="AB214" s="24">
        <f t="shared" si="104"/>
        <v>1</v>
      </c>
      <c r="AC214" s="28">
        <f t="shared" si="117"/>
        <v>0.33333333333333331</v>
      </c>
      <c r="AD214" s="29">
        <f t="shared" si="118"/>
        <v>8.3333333333333329E-2</v>
      </c>
      <c r="AE214" s="30">
        <v>4.6565521802590763E-2</v>
      </c>
      <c r="AF214" s="23">
        <f t="shared" si="119"/>
        <v>1</v>
      </c>
      <c r="AG214" s="24">
        <f t="shared" si="111"/>
        <v>4</v>
      </c>
      <c r="AH214" s="28">
        <f t="shared" si="120"/>
        <v>0.8</v>
      </c>
      <c r="AI214" s="29">
        <f t="shared" si="121"/>
        <v>0.2</v>
      </c>
      <c r="AJ214" s="31">
        <v>1</v>
      </c>
      <c r="AK214" s="31">
        <v>1</v>
      </c>
      <c r="AL214" s="31">
        <v>1</v>
      </c>
      <c r="AM214" s="31">
        <v>0</v>
      </c>
      <c r="AN214" s="31">
        <v>0</v>
      </c>
      <c r="AO214" s="31">
        <v>0</v>
      </c>
      <c r="AP214" s="31">
        <v>0</v>
      </c>
      <c r="AQ214" s="31">
        <v>0</v>
      </c>
      <c r="AR214" s="23">
        <f t="shared" si="122"/>
        <v>0.6</v>
      </c>
      <c r="AS214" s="24">
        <f t="shared" si="123"/>
        <v>3</v>
      </c>
      <c r="AT214" s="28">
        <f t="shared" si="124"/>
        <v>0.375</v>
      </c>
      <c r="AU214" s="28">
        <f t="shared" si="125"/>
        <v>5.6249999999999994E-2</v>
      </c>
      <c r="AV214" s="32">
        <v>75</v>
      </c>
      <c r="AW214" s="32">
        <v>75</v>
      </c>
      <c r="AX214" s="32">
        <v>90</v>
      </c>
      <c r="AY214" s="32">
        <v>80</v>
      </c>
      <c r="AZ214" s="32">
        <v>80</v>
      </c>
      <c r="BA214" s="32">
        <v>100</v>
      </c>
      <c r="BB214" s="23">
        <f t="shared" ca="1" si="126"/>
        <v>0.8</v>
      </c>
      <c r="BC214" s="33">
        <f t="shared" si="132"/>
        <v>83.333333333333329</v>
      </c>
      <c r="BD214" s="28">
        <f t="shared" si="127"/>
        <v>0.94</v>
      </c>
      <c r="BE214" s="28">
        <f t="shared" si="128"/>
        <v>0.188</v>
      </c>
      <c r="BF214" s="34">
        <f ca="1">Q214+AA214+AF214+AR214+BB214</f>
        <v>3.8</v>
      </c>
      <c r="BG214" s="34">
        <f>AVERAGE(AV214:AZ214)</f>
        <v>80</v>
      </c>
      <c r="BH214" s="35">
        <f>T214+AD214+AI214+AU214+BE214</f>
        <v>0.73308880661086073</v>
      </c>
      <c r="BI214" s="36" t="str">
        <f ca="1">IF(K214&lt;365,"New CE",(IF(BH214&gt;=100%,"Promote",IF(BH214&gt;=90%,"Sangat Baik",IF(BH214&gt;=80%,"Baik",IF(BH214&gt;=70%,"Lebih Dari Cukup",IF(BH214&gt;=60%,"Cukup","Kurang")))))))</f>
        <v>Lebih Dari Cukup</v>
      </c>
      <c r="BJ214" s="36" t="s">
        <v>860</v>
      </c>
      <c r="BK214" s="58" t="s">
        <v>54</v>
      </c>
      <c r="BL214" s="59" t="e">
        <v>#N/A</v>
      </c>
    </row>
    <row r="215" spans="1:64" x14ac:dyDescent="0.35">
      <c r="A215" s="19">
        <v>211</v>
      </c>
      <c r="B215" s="13" t="s">
        <v>543</v>
      </c>
      <c r="C215" s="20" t="s">
        <v>544</v>
      </c>
      <c r="D215" s="76" t="s">
        <v>42</v>
      </c>
      <c r="E215" s="13" t="s">
        <v>49</v>
      </c>
      <c r="F215" s="13" t="s">
        <v>50</v>
      </c>
      <c r="G215" s="13" t="s">
        <v>55</v>
      </c>
      <c r="H215" s="65">
        <v>43640</v>
      </c>
      <c r="I215" s="21">
        <f t="shared" ca="1" si="129"/>
        <v>45974</v>
      </c>
      <c r="J215" s="13" t="str">
        <f t="shared" ca="1" si="112"/>
        <v xml:space="preserve">6 Tahun 4 Bulan 20 Hari </v>
      </c>
      <c r="K215" s="13">
        <f t="shared" ca="1" si="130"/>
        <v>3360960</v>
      </c>
      <c r="L215" s="13">
        <v>893</v>
      </c>
      <c r="M215" s="13">
        <v>14</v>
      </c>
      <c r="N215" s="13">
        <v>6172</v>
      </c>
      <c r="O215" s="22">
        <f t="shared" si="113"/>
        <v>440.85714285714283</v>
      </c>
      <c r="P215" s="13">
        <v>316</v>
      </c>
      <c r="Q215" s="23">
        <f t="shared" si="114"/>
        <v>0.6</v>
      </c>
      <c r="R215" s="24">
        <f t="shared" si="115"/>
        <v>3</v>
      </c>
      <c r="S215" s="25">
        <f t="shared" si="131"/>
        <v>0.71678548282566434</v>
      </c>
      <c r="T215" s="25">
        <f t="shared" si="116"/>
        <v>0.14335709656513287</v>
      </c>
      <c r="U215" s="26">
        <v>7975.2146405780777</v>
      </c>
      <c r="V215" s="26">
        <v>0</v>
      </c>
      <c r="W215" s="26">
        <v>0</v>
      </c>
      <c r="X215" s="27">
        <f t="shared" si="109"/>
        <v>0</v>
      </c>
      <c r="Y215" s="27">
        <f t="shared" si="110"/>
        <v>0</v>
      </c>
      <c r="Z215" s="27">
        <f t="shared" si="106"/>
        <v>0</v>
      </c>
      <c r="AA215" s="23">
        <f t="shared" si="133"/>
        <v>0</v>
      </c>
      <c r="AB215" s="24">
        <f t="shared" si="104"/>
        <v>0</v>
      </c>
      <c r="AC215" s="28">
        <f t="shared" si="117"/>
        <v>0</v>
      </c>
      <c r="AD215" s="29">
        <f t="shared" si="118"/>
        <v>0</v>
      </c>
      <c r="AE215" s="30">
        <v>2.8630028735632182E-2</v>
      </c>
      <c r="AF215" s="23">
        <f t="shared" si="119"/>
        <v>1.25</v>
      </c>
      <c r="AG215" s="24">
        <f t="shared" si="111"/>
        <v>5</v>
      </c>
      <c r="AH215" s="28">
        <f t="shared" si="120"/>
        <v>1</v>
      </c>
      <c r="AI215" s="29">
        <f t="shared" si="121"/>
        <v>0.25</v>
      </c>
      <c r="AJ215" s="31">
        <v>1</v>
      </c>
      <c r="AK215" s="31">
        <v>1</v>
      </c>
      <c r="AL215" s="31">
        <v>1</v>
      </c>
      <c r="AM215" s="31">
        <v>1</v>
      </c>
      <c r="AN215" s="31">
        <v>1</v>
      </c>
      <c r="AO215" s="31">
        <v>1</v>
      </c>
      <c r="AP215" s="31">
        <v>1</v>
      </c>
      <c r="AQ215" s="31">
        <v>1</v>
      </c>
      <c r="AR215" s="23">
        <f t="shared" si="122"/>
        <v>1</v>
      </c>
      <c r="AS215" s="24">
        <f t="shared" si="123"/>
        <v>8</v>
      </c>
      <c r="AT215" s="28">
        <f t="shared" si="124"/>
        <v>1</v>
      </c>
      <c r="AU215" s="28">
        <f t="shared" si="125"/>
        <v>0.15</v>
      </c>
      <c r="AV215" s="32">
        <v>75</v>
      </c>
      <c r="AW215" s="32">
        <v>75</v>
      </c>
      <c r="AX215" s="32">
        <v>90</v>
      </c>
      <c r="AY215" s="32">
        <v>90</v>
      </c>
      <c r="AZ215" s="32">
        <v>90</v>
      </c>
      <c r="BA215" s="32">
        <v>100</v>
      </c>
      <c r="BB215" s="23">
        <f t="shared" ca="1" si="126"/>
        <v>0.8</v>
      </c>
      <c r="BC215" s="33">
        <f t="shared" si="132"/>
        <v>86.666666666666671</v>
      </c>
      <c r="BD215" s="28">
        <f t="shared" si="127"/>
        <v>0.94230769230769229</v>
      </c>
      <c r="BE215" s="28">
        <f t="shared" si="128"/>
        <v>0.18846153846153846</v>
      </c>
      <c r="BF215" s="34">
        <f ca="1">Q215+AA215+AF215+AR215+BB215</f>
        <v>3.6500000000000004</v>
      </c>
      <c r="BG215" s="34">
        <f>AVERAGE(AV215:AZ215)</f>
        <v>84</v>
      </c>
      <c r="BH215" s="35">
        <f>T215+AD215+AI215+AU215+BE215</f>
        <v>0.73181863502667133</v>
      </c>
      <c r="BI215" s="36" t="str">
        <f ca="1">IF(K215&lt;365,"New CE",(IF(BH215&gt;=100%,"Promote",IF(BH215&gt;=90%,"Sangat Baik",IF(BH215&gt;=80%,"Baik",IF(BH215&gt;=70%,"Lebih Dari Cukup",IF(BH215&gt;=60%,"Cukup","Kurang")))))))</f>
        <v>Lebih Dari Cukup</v>
      </c>
      <c r="BJ215" s="36" t="s">
        <v>860</v>
      </c>
      <c r="BK215" s="58" t="s">
        <v>42</v>
      </c>
      <c r="BL215" s="59" t="e">
        <v>#N/A</v>
      </c>
    </row>
    <row r="216" spans="1:64" x14ac:dyDescent="0.35">
      <c r="A216" s="19">
        <v>212</v>
      </c>
      <c r="B216" s="13" t="s">
        <v>545</v>
      </c>
      <c r="C216" s="20" t="s">
        <v>546</v>
      </c>
      <c r="D216" s="76" t="s">
        <v>54</v>
      </c>
      <c r="E216" s="13" t="s">
        <v>133</v>
      </c>
      <c r="F216" s="13" t="s">
        <v>50</v>
      </c>
      <c r="G216" s="13" t="s">
        <v>61</v>
      </c>
      <c r="H216" s="65">
        <v>44935</v>
      </c>
      <c r="I216" s="21">
        <f t="shared" ca="1" si="129"/>
        <v>45974</v>
      </c>
      <c r="J216" s="13" t="str">
        <f t="shared" ca="1" si="112"/>
        <v xml:space="preserve">2 Tahun 10 Bulan 4 Hari </v>
      </c>
      <c r="K216" s="13">
        <f t="shared" ca="1" si="130"/>
        <v>1496160</v>
      </c>
      <c r="L216" s="13">
        <v>760</v>
      </c>
      <c r="M216" s="13">
        <v>13</v>
      </c>
      <c r="N216" s="13">
        <v>5863</v>
      </c>
      <c r="O216" s="22">
        <f t="shared" si="113"/>
        <v>451</v>
      </c>
      <c r="P216" s="13">
        <v>459</v>
      </c>
      <c r="Q216" s="23">
        <f t="shared" si="114"/>
        <v>1</v>
      </c>
      <c r="R216" s="24">
        <f t="shared" si="115"/>
        <v>5</v>
      </c>
      <c r="S216" s="25">
        <f t="shared" si="131"/>
        <v>1.0177383592017739</v>
      </c>
      <c r="T216" s="25">
        <f t="shared" si="116"/>
        <v>0.2035476718403548</v>
      </c>
      <c r="U216" s="26">
        <v>3.7069187242798347E-2</v>
      </c>
      <c r="V216" s="26">
        <v>45396.872754629629</v>
      </c>
      <c r="W216" s="26">
        <v>0</v>
      </c>
      <c r="X216" s="27">
        <f t="shared" ref="X216:X247" si="134">IF(U216=TIME(0,0,0), 0, IF(U216&lt;=TIME(1,30,0), 1, 0))</f>
        <v>1</v>
      </c>
      <c r="Y216" s="27">
        <f t="shared" ref="Y216:Y247" si="135">IF(V216=TIME(0,0,0), 0, IF(V216&lt;=TIME(3,0,0), 1, 0))</f>
        <v>0</v>
      </c>
      <c r="Z216" s="27">
        <f t="shared" si="106"/>
        <v>0</v>
      </c>
      <c r="AA216" s="23">
        <f t="shared" si="133"/>
        <v>0.4</v>
      </c>
      <c r="AB216" s="24">
        <f t="shared" si="104"/>
        <v>1</v>
      </c>
      <c r="AC216" s="28">
        <f t="shared" si="117"/>
        <v>0.33333333333333331</v>
      </c>
      <c r="AD216" s="29">
        <f t="shared" si="118"/>
        <v>8.3333333333333329E-2</v>
      </c>
      <c r="AE216" s="30">
        <v>6.5845361292665217E-2</v>
      </c>
      <c r="AF216" s="23">
        <f t="shared" si="119"/>
        <v>1</v>
      </c>
      <c r="AG216" s="24">
        <f t="shared" si="111"/>
        <v>4</v>
      </c>
      <c r="AH216" s="28">
        <f t="shared" si="120"/>
        <v>0.8</v>
      </c>
      <c r="AI216" s="29">
        <f t="shared" si="121"/>
        <v>0.2</v>
      </c>
      <c r="AJ216" s="31">
        <v>1</v>
      </c>
      <c r="AK216" s="31">
        <v>1</v>
      </c>
      <c r="AL216" s="31">
        <v>1</v>
      </c>
      <c r="AM216" s="31">
        <v>0</v>
      </c>
      <c r="AN216" s="31">
        <v>0</v>
      </c>
      <c r="AO216" s="31">
        <v>0</v>
      </c>
      <c r="AP216" s="31">
        <v>0</v>
      </c>
      <c r="AQ216" s="31">
        <v>0</v>
      </c>
      <c r="AR216" s="23">
        <f t="shared" si="122"/>
        <v>0.6</v>
      </c>
      <c r="AS216" s="24">
        <f t="shared" si="123"/>
        <v>3</v>
      </c>
      <c r="AT216" s="28">
        <f t="shared" si="124"/>
        <v>0.375</v>
      </c>
      <c r="AU216" s="28">
        <f t="shared" si="125"/>
        <v>5.6249999999999994E-2</v>
      </c>
      <c r="AV216" s="32">
        <v>75</v>
      </c>
      <c r="AW216" s="32">
        <v>75</v>
      </c>
      <c r="AX216" s="32">
        <v>90</v>
      </c>
      <c r="AY216" s="32">
        <v>85</v>
      </c>
      <c r="AZ216" s="32">
        <v>80</v>
      </c>
      <c r="BA216" s="32">
        <v>100</v>
      </c>
      <c r="BB216" s="23">
        <f t="shared" ca="1" si="126"/>
        <v>0.8</v>
      </c>
      <c r="BC216" s="33">
        <f t="shared" si="132"/>
        <v>84.166666666666671</v>
      </c>
      <c r="BD216" s="28">
        <f t="shared" si="127"/>
        <v>0.94059405940594054</v>
      </c>
      <c r="BE216" s="28">
        <f t="shared" si="128"/>
        <v>0.18811881188118812</v>
      </c>
      <c r="BF216" s="34">
        <f ca="1">Q216+AA216+AF216+AR216+BB216</f>
        <v>3.8</v>
      </c>
      <c r="BG216" s="34">
        <f>AVERAGE(AV216:AZ216)</f>
        <v>81</v>
      </c>
      <c r="BH216" s="35">
        <f>T216+AD216+AI216+AU216+BE216</f>
        <v>0.73124981705487624</v>
      </c>
      <c r="BI216" s="36" t="str">
        <f ca="1">IF(K216&lt;365,"New CE",(IF(BH216&gt;=100%,"Promote",IF(BH216&gt;=90%,"Sangat Baik",IF(BH216&gt;=80%,"Baik",IF(BH216&gt;=70%,"Lebih Dari Cukup",IF(BH216&gt;=60%,"Cukup","Kurang")))))))</f>
        <v>Lebih Dari Cukup</v>
      </c>
      <c r="BJ216" s="36" t="s">
        <v>860</v>
      </c>
      <c r="BK216" s="58" t="s">
        <v>54</v>
      </c>
      <c r="BL216" s="59" t="e">
        <v>#N/A</v>
      </c>
    </row>
    <row r="217" spans="1:64" x14ac:dyDescent="0.35">
      <c r="A217" s="19">
        <v>213</v>
      </c>
      <c r="B217" s="13" t="s">
        <v>547</v>
      </c>
      <c r="C217" s="20" t="s">
        <v>548</v>
      </c>
      <c r="D217" s="76" t="s">
        <v>48</v>
      </c>
      <c r="E217" s="13" t="s">
        <v>549</v>
      </c>
      <c r="F217" s="13" t="s">
        <v>74</v>
      </c>
      <c r="G217" s="13" t="s">
        <v>55</v>
      </c>
      <c r="H217" s="65">
        <v>44837</v>
      </c>
      <c r="I217" s="21">
        <f t="shared" ca="1" si="129"/>
        <v>45974</v>
      </c>
      <c r="J217" s="13" t="str">
        <f t="shared" ca="1" si="112"/>
        <v xml:space="preserve">3 Tahun 1 Bulan 10 Hari </v>
      </c>
      <c r="K217" s="13">
        <f t="shared" ca="1" si="130"/>
        <v>1637280</v>
      </c>
      <c r="L217" s="13">
        <v>81</v>
      </c>
      <c r="M217" s="13">
        <v>2</v>
      </c>
      <c r="N217" s="13">
        <v>677</v>
      </c>
      <c r="O217" s="22">
        <f t="shared" si="113"/>
        <v>338.5</v>
      </c>
      <c r="P217" s="13">
        <v>307</v>
      </c>
      <c r="Q217" s="23">
        <f t="shared" si="114"/>
        <v>0.8</v>
      </c>
      <c r="R217" s="24">
        <f t="shared" si="115"/>
        <v>4</v>
      </c>
      <c r="S217" s="25">
        <f t="shared" si="131"/>
        <v>0.90694239290989664</v>
      </c>
      <c r="T217" s="25">
        <f t="shared" si="116"/>
        <v>0.18138847858197935</v>
      </c>
      <c r="U217" s="26">
        <v>7914.6360914855059</v>
      </c>
      <c r="V217" s="26">
        <v>0</v>
      </c>
      <c r="W217" s="26">
        <v>3784.4263933899178</v>
      </c>
      <c r="X217" s="27">
        <f t="shared" si="134"/>
        <v>0</v>
      </c>
      <c r="Y217" s="27">
        <f t="shared" si="135"/>
        <v>0</v>
      </c>
      <c r="Z217" s="27">
        <f t="shared" si="106"/>
        <v>1</v>
      </c>
      <c r="AA217" s="23">
        <f t="shared" si="133"/>
        <v>0.4</v>
      </c>
      <c r="AB217" s="24">
        <f t="shared" ref="AB217:AB278" si="136">X217+Y217+Z217</f>
        <v>1</v>
      </c>
      <c r="AC217" s="28">
        <f t="shared" si="117"/>
        <v>0.33333333333333331</v>
      </c>
      <c r="AD217" s="29">
        <f t="shared" si="118"/>
        <v>8.3333333333333329E-2</v>
      </c>
      <c r="AE217" s="30">
        <v>5.5946358779522268E-2</v>
      </c>
      <c r="AF217" s="23">
        <f t="shared" si="119"/>
        <v>1</v>
      </c>
      <c r="AG217" s="24">
        <f t="shared" si="111"/>
        <v>4</v>
      </c>
      <c r="AH217" s="28">
        <f t="shared" si="120"/>
        <v>0.8</v>
      </c>
      <c r="AI217" s="29">
        <f t="shared" si="121"/>
        <v>0.2</v>
      </c>
      <c r="AJ217" s="31">
        <v>1</v>
      </c>
      <c r="AK217" s="31">
        <v>1</v>
      </c>
      <c r="AL217" s="31">
        <v>1</v>
      </c>
      <c r="AM217" s="31">
        <v>0</v>
      </c>
      <c r="AN217" s="31">
        <v>0</v>
      </c>
      <c r="AO217" s="31">
        <v>0</v>
      </c>
      <c r="AP217" s="31">
        <v>0</v>
      </c>
      <c r="AQ217" s="31">
        <v>1</v>
      </c>
      <c r="AR217" s="23">
        <f t="shared" si="122"/>
        <v>0.8</v>
      </c>
      <c r="AS217" s="24">
        <f t="shared" si="123"/>
        <v>4</v>
      </c>
      <c r="AT217" s="28">
        <f t="shared" si="124"/>
        <v>0.5</v>
      </c>
      <c r="AU217" s="28">
        <f t="shared" si="125"/>
        <v>7.4999999999999997E-2</v>
      </c>
      <c r="AV217" s="32">
        <v>75</v>
      </c>
      <c r="AW217" s="32">
        <v>75</v>
      </c>
      <c r="AX217" s="32">
        <v>80</v>
      </c>
      <c r="AY217" s="32">
        <v>80</v>
      </c>
      <c r="AZ217" s="32">
        <v>80</v>
      </c>
      <c r="BA217" s="32">
        <v>100</v>
      </c>
      <c r="BB217" s="23">
        <f t="shared" ca="1" si="126"/>
        <v>0.8</v>
      </c>
      <c r="BC217" s="33">
        <f t="shared" si="132"/>
        <v>81.666666666666671</v>
      </c>
      <c r="BD217" s="28">
        <f t="shared" si="127"/>
        <v>0.93877551020408168</v>
      </c>
      <c r="BE217" s="28">
        <f t="shared" si="128"/>
        <v>0.18775510204081636</v>
      </c>
      <c r="BF217" s="34">
        <f ca="1">Q217+AA217+AF217+AR217+BB217</f>
        <v>3.8</v>
      </c>
      <c r="BG217" s="34">
        <f>AVERAGE(AV217:AZ217)</f>
        <v>78</v>
      </c>
      <c r="BH217" s="35">
        <f>T217+AD217+AI217+AU217+BE217</f>
        <v>0.72747691395612901</v>
      </c>
      <c r="BI217" s="36" t="str">
        <f ca="1">IF(K217&lt;365,"New CE",(IF(BH217&gt;=100%,"Promote",IF(BH217&gt;=90%,"Sangat Baik",IF(BH217&gt;=80%,"Baik",IF(BH217&gt;=70%,"Lebih Dari Cukup",IF(BH217&gt;=60%,"Cukup","Kurang")))))))</f>
        <v>Lebih Dari Cukup</v>
      </c>
      <c r="BJ217" s="36" t="s">
        <v>860</v>
      </c>
      <c r="BK217" s="58" t="s">
        <v>48</v>
      </c>
      <c r="BL217" s="59" t="str">
        <v>Muhamad Ikhwanus Syafa</v>
      </c>
    </row>
    <row r="218" spans="1:64" x14ac:dyDescent="0.35">
      <c r="A218" s="19">
        <v>214</v>
      </c>
      <c r="B218" s="13" t="s">
        <v>550</v>
      </c>
      <c r="C218" s="20" t="s">
        <v>551</v>
      </c>
      <c r="D218" s="76" t="s">
        <v>42</v>
      </c>
      <c r="E218" s="13" t="s">
        <v>64</v>
      </c>
      <c r="F218" s="13" t="s">
        <v>44</v>
      </c>
      <c r="G218" s="13" t="s">
        <v>55</v>
      </c>
      <c r="H218" s="65">
        <v>42751</v>
      </c>
      <c r="I218" s="21">
        <f t="shared" ca="1" si="129"/>
        <v>45974</v>
      </c>
      <c r="J218" s="13" t="str">
        <f t="shared" ca="1" si="112"/>
        <v xml:space="preserve">8 Tahun 9 Bulan 28 Hari </v>
      </c>
      <c r="K218" s="13">
        <f t="shared" ca="1" si="130"/>
        <v>4641120</v>
      </c>
      <c r="L218" s="13">
        <v>872</v>
      </c>
      <c r="M218" s="13">
        <v>15</v>
      </c>
      <c r="N218" s="13">
        <v>5975</v>
      </c>
      <c r="O218" s="22">
        <f t="shared" si="113"/>
        <v>398.33333333333331</v>
      </c>
      <c r="P218" s="13">
        <v>388</v>
      </c>
      <c r="Q218" s="23">
        <f t="shared" si="114"/>
        <v>0.8</v>
      </c>
      <c r="R218" s="24">
        <f t="shared" si="115"/>
        <v>4</v>
      </c>
      <c r="S218" s="25">
        <f t="shared" si="131"/>
        <v>0.97405857740585777</v>
      </c>
      <c r="T218" s="25">
        <f t="shared" si="116"/>
        <v>0.19481171548117157</v>
      </c>
      <c r="U218" s="26">
        <v>23232.785494984568</v>
      </c>
      <c r="V218" s="26">
        <v>0</v>
      </c>
      <c r="W218" s="26">
        <v>0</v>
      </c>
      <c r="X218" s="27">
        <f t="shared" si="134"/>
        <v>0</v>
      </c>
      <c r="Y218" s="27">
        <f t="shared" si="135"/>
        <v>0</v>
      </c>
      <c r="Z218" s="27">
        <f t="shared" si="106"/>
        <v>0</v>
      </c>
      <c r="AA218" s="23">
        <f t="shared" si="133"/>
        <v>0</v>
      </c>
      <c r="AB218" s="24">
        <f t="shared" si="136"/>
        <v>0</v>
      </c>
      <c r="AC218" s="28">
        <f t="shared" si="117"/>
        <v>0</v>
      </c>
      <c r="AD218" s="29">
        <f t="shared" si="118"/>
        <v>0</v>
      </c>
      <c r="AE218" s="30">
        <v>3.6113955308291243E-2</v>
      </c>
      <c r="AF218" s="23">
        <f t="shared" si="119"/>
        <v>1.25</v>
      </c>
      <c r="AG218" s="24">
        <f t="shared" si="111"/>
        <v>5</v>
      </c>
      <c r="AH218" s="28">
        <f t="shared" si="120"/>
        <v>1</v>
      </c>
      <c r="AI218" s="29">
        <f t="shared" si="121"/>
        <v>0.25</v>
      </c>
      <c r="AJ218" s="31">
        <v>1</v>
      </c>
      <c r="AK218" s="31">
        <v>1</v>
      </c>
      <c r="AL218" s="31">
        <v>1</v>
      </c>
      <c r="AM218" s="31">
        <v>0</v>
      </c>
      <c r="AN218" s="31">
        <v>1</v>
      </c>
      <c r="AO218" s="31">
        <v>1</v>
      </c>
      <c r="AP218" s="31">
        <v>0</v>
      </c>
      <c r="AQ218" s="31">
        <v>0</v>
      </c>
      <c r="AR218" s="23">
        <f t="shared" si="122"/>
        <v>1</v>
      </c>
      <c r="AS218" s="24">
        <f t="shared" si="123"/>
        <v>5</v>
      </c>
      <c r="AT218" s="28">
        <f t="shared" si="124"/>
        <v>0.625</v>
      </c>
      <c r="AU218" s="28">
        <f t="shared" si="125"/>
        <v>9.375E-2</v>
      </c>
      <c r="AV218" s="32">
        <v>75</v>
      </c>
      <c r="AW218" s="32">
        <v>75</v>
      </c>
      <c r="AX218" s="32">
        <v>90</v>
      </c>
      <c r="AY218" s="32">
        <v>90</v>
      </c>
      <c r="AZ218" s="32">
        <v>90</v>
      </c>
      <c r="BA218" s="32">
        <v>100</v>
      </c>
      <c r="BB218" s="23">
        <f t="shared" ca="1" si="126"/>
        <v>0.8</v>
      </c>
      <c r="BC218" s="33">
        <f t="shared" si="132"/>
        <v>86.666666666666671</v>
      </c>
      <c r="BD218" s="28">
        <f t="shared" si="127"/>
        <v>0.94230769230769229</v>
      </c>
      <c r="BE218" s="28">
        <f t="shared" si="128"/>
        <v>0.18846153846153846</v>
      </c>
      <c r="BF218" s="34">
        <f ca="1">Q218+AA218+AF218+AR218+BB218</f>
        <v>3.8499999999999996</v>
      </c>
      <c r="BG218" s="34">
        <f>AVERAGE(AV218:AZ218)</f>
        <v>84</v>
      </c>
      <c r="BH218" s="35">
        <f>T218+AD218+AI218+AU218+BE218</f>
        <v>0.72702325394271006</v>
      </c>
      <c r="BI218" s="36" t="str">
        <f ca="1">IF(K218&lt;365,"New CE",(IF(BH218&gt;=100%,"Promote",IF(BH218&gt;=90%,"Sangat Baik",IF(BH218&gt;=80%,"Baik",IF(BH218&gt;=70%,"Lebih Dari Cukup",IF(BH218&gt;=60%,"Cukup","Kurang")))))))</f>
        <v>Lebih Dari Cukup</v>
      </c>
      <c r="BJ218" s="36" t="s">
        <v>860</v>
      </c>
      <c r="BK218" s="58" t="s">
        <v>42</v>
      </c>
      <c r="BL218" s="59" t="e">
        <v>#N/A</v>
      </c>
    </row>
    <row r="219" spans="1:64" x14ac:dyDescent="0.35">
      <c r="A219" s="19">
        <v>215</v>
      </c>
      <c r="B219" s="13" t="s">
        <v>552</v>
      </c>
      <c r="C219" s="20" t="s">
        <v>553</v>
      </c>
      <c r="D219" s="76" t="s">
        <v>48</v>
      </c>
      <c r="E219" s="13" t="s">
        <v>529</v>
      </c>
      <c r="F219" s="13" t="s">
        <v>74</v>
      </c>
      <c r="G219" s="13" t="s">
        <v>51</v>
      </c>
      <c r="H219" s="65">
        <v>44502</v>
      </c>
      <c r="I219" s="21">
        <f t="shared" ca="1" si="129"/>
        <v>45974</v>
      </c>
      <c r="J219" s="13" t="str">
        <f t="shared" ca="1" si="112"/>
        <v xml:space="preserve">4 Tahun 0 Bulan 11 Hari </v>
      </c>
      <c r="K219" s="13">
        <f t="shared" ca="1" si="130"/>
        <v>2119680</v>
      </c>
      <c r="L219" s="13">
        <v>235</v>
      </c>
      <c r="M219" s="13">
        <v>4</v>
      </c>
      <c r="N219" s="13">
        <v>1697</v>
      </c>
      <c r="O219" s="22">
        <f t="shared" si="113"/>
        <v>424.25</v>
      </c>
      <c r="P219" s="13">
        <v>342</v>
      </c>
      <c r="Q219" s="23">
        <f t="shared" si="114"/>
        <v>0.8</v>
      </c>
      <c r="R219" s="24">
        <f t="shared" si="115"/>
        <v>4</v>
      </c>
      <c r="S219" s="25">
        <f t="shared" si="131"/>
        <v>0.80612846199175014</v>
      </c>
      <c r="T219" s="25">
        <f t="shared" si="116"/>
        <v>0.16122569239835005</v>
      </c>
      <c r="U219" s="26">
        <v>13370.307609272873</v>
      </c>
      <c r="V219" s="26">
        <v>7579.7125004822528</v>
      </c>
      <c r="W219" s="26">
        <v>5054.2232696759265</v>
      </c>
      <c r="X219" s="27">
        <f t="shared" si="134"/>
        <v>0</v>
      </c>
      <c r="Y219" s="27">
        <f t="shared" si="135"/>
        <v>0</v>
      </c>
      <c r="Z219" s="27">
        <f t="shared" si="106"/>
        <v>1</v>
      </c>
      <c r="AA219" s="23">
        <f t="shared" si="133"/>
        <v>0.4</v>
      </c>
      <c r="AB219" s="24">
        <f t="shared" si="136"/>
        <v>1</v>
      </c>
      <c r="AC219" s="28">
        <f t="shared" si="117"/>
        <v>0.33333333333333331</v>
      </c>
      <c r="AD219" s="29">
        <f t="shared" si="118"/>
        <v>8.3333333333333329E-2</v>
      </c>
      <c r="AE219" s="30">
        <v>4.3061342592592589E-2</v>
      </c>
      <c r="AF219" s="23">
        <f t="shared" si="119"/>
        <v>1</v>
      </c>
      <c r="AG219" s="24">
        <f t="shared" si="111"/>
        <v>4</v>
      </c>
      <c r="AH219" s="28">
        <f t="shared" si="120"/>
        <v>0.8</v>
      </c>
      <c r="AI219" s="29">
        <f t="shared" si="121"/>
        <v>0.2</v>
      </c>
      <c r="AJ219" s="31">
        <v>1</v>
      </c>
      <c r="AK219" s="31">
        <v>1</v>
      </c>
      <c r="AL219" s="31">
        <v>0</v>
      </c>
      <c r="AM219" s="31">
        <v>0</v>
      </c>
      <c r="AN219" s="31">
        <v>1</v>
      </c>
      <c r="AO219" s="31">
        <v>1</v>
      </c>
      <c r="AP219" s="31">
        <v>1</v>
      </c>
      <c r="AQ219" s="31">
        <v>0</v>
      </c>
      <c r="AR219" s="23">
        <f t="shared" si="122"/>
        <v>1</v>
      </c>
      <c r="AS219" s="24">
        <f t="shared" si="123"/>
        <v>5</v>
      </c>
      <c r="AT219" s="28">
        <f t="shared" si="124"/>
        <v>0.625</v>
      </c>
      <c r="AU219" s="28">
        <f t="shared" si="125"/>
        <v>9.375E-2</v>
      </c>
      <c r="AV219" s="32">
        <v>75</v>
      </c>
      <c r="AW219" s="32">
        <v>75</v>
      </c>
      <c r="AX219" s="32">
        <v>85</v>
      </c>
      <c r="AY219" s="32">
        <v>85</v>
      </c>
      <c r="AZ219" s="32">
        <v>85</v>
      </c>
      <c r="BA219" s="32">
        <v>100</v>
      </c>
      <c r="BB219" s="23">
        <f t="shared" ca="1" si="126"/>
        <v>0.8</v>
      </c>
      <c r="BC219" s="33">
        <f t="shared" si="132"/>
        <v>84.166666666666671</v>
      </c>
      <c r="BD219" s="28">
        <f t="shared" si="127"/>
        <v>0.94059405940594054</v>
      </c>
      <c r="BE219" s="28">
        <f t="shared" si="128"/>
        <v>0.18811881188118812</v>
      </c>
      <c r="BF219" s="34">
        <f ca="1">Q219+AA219+AF219+AR219+BB219</f>
        <v>4</v>
      </c>
      <c r="BG219" s="34">
        <f>AVERAGE(AV219:AZ219)</f>
        <v>81</v>
      </c>
      <c r="BH219" s="35">
        <f>T219+AD219+AI219+AU219+BE219</f>
        <v>0.72642783761287144</v>
      </c>
      <c r="BI219" s="36" t="str">
        <f ca="1">IF(K219&lt;365,"New CE",(IF(BH219&gt;=100%,"Promote",IF(BH219&gt;=90%,"Sangat Baik",IF(BH219&gt;=80%,"Baik",IF(BH219&gt;=70%,"Lebih Dari Cukup",IF(BH219&gt;=60%,"Cukup","Kurang")))))))</f>
        <v>Lebih Dari Cukup</v>
      </c>
      <c r="BJ219" s="36" t="s">
        <v>860</v>
      </c>
      <c r="BK219" s="58" t="s">
        <v>48</v>
      </c>
      <c r="BL219" s="59" t="str">
        <v>Muhammad Alpin</v>
      </c>
    </row>
    <row r="220" spans="1:64" x14ac:dyDescent="0.35">
      <c r="A220" s="19">
        <v>216</v>
      </c>
      <c r="B220" s="13" t="s">
        <v>554</v>
      </c>
      <c r="C220" s="20" t="s">
        <v>555</v>
      </c>
      <c r="D220" s="76" t="s">
        <v>54</v>
      </c>
      <c r="E220" s="13" t="s">
        <v>141</v>
      </c>
      <c r="F220" s="13" t="s">
        <v>44</v>
      </c>
      <c r="G220" s="13" t="s">
        <v>55</v>
      </c>
      <c r="H220" s="65">
        <v>45323</v>
      </c>
      <c r="I220" s="21">
        <f t="shared" ca="1" si="129"/>
        <v>45974</v>
      </c>
      <c r="J220" s="13" t="str">
        <f t="shared" ca="1" si="112"/>
        <v xml:space="preserve">1 Tahun 9 Bulan 12 Hari </v>
      </c>
      <c r="K220" s="13">
        <f t="shared" ca="1" si="130"/>
        <v>937440</v>
      </c>
      <c r="L220" s="13">
        <v>358</v>
      </c>
      <c r="M220" s="13">
        <v>7</v>
      </c>
      <c r="N220" s="13">
        <v>2648</v>
      </c>
      <c r="O220" s="22">
        <f t="shared" si="113"/>
        <v>378.28571428571428</v>
      </c>
      <c r="P220" s="13">
        <v>304</v>
      </c>
      <c r="Q220" s="23">
        <f t="shared" si="114"/>
        <v>0.8</v>
      </c>
      <c r="R220" s="24">
        <f t="shared" si="115"/>
        <v>4</v>
      </c>
      <c r="S220" s="25">
        <f t="shared" si="131"/>
        <v>0.8036253776435045</v>
      </c>
      <c r="T220" s="25">
        <f t="shared" si="116"/>
        <v>0.16072507552870091</v>
      </c>
      <c r="U220" s="26">
        <v>614.82878034284272</v>
      </c>
      <c r="V220" s="26">
        <v>2.9389978213507622E-2</v>
      </c>
      <c r="W220" s="26">
        <v>0</v>
      </c>
      <c r="X220" s="27">
        <f t="shared" si="134"/>
        <v>0</v>
      </c>
      <c r="Y220" s="27">
        <f t="shared" si="135"/>
        <v>1</v>
      </c>
      <c r="Z220" s="27">
        <f t="shared" si="106"/>
        <v>0</v>
      </c>
      <c r="AA220" s="23">
        <f t="shared" si="133"/>
        <v>0.4</v>
      </c>
      <c r="AB220" s="24">
        <f t="shared" si="136"/>
        <v>1</v>
      </c>
      <c r="AC220" s="28">
        <f t="shared" si="117"/>
        <v>0.33333333333333331</v>
      </c>
      <c r="AD220" s="29">
        <f t="shared" si="118"/>
        <v>8.3333333333333329E-2</v>
      </c>
      <c r="AE220" s="30">
        <v>4.8390118634259252E-2</v>
      </c>
      <c r="AF220" s="23">
        <f t="shared" si="119"/>
        <v>1</v>
      </c>
      <c r="AG220" s="24">
        <f t="shared" si="111"/>
        <v>4</v>
      </c>
      <c r="AH220" s="28">
        <f t="shared" si="120"/>
        <v>0.8</v>
      </c>
      <c r="AI220" s="29">
        <f t="shared" si="121"/>
        <v>0.2</v>
      </c>
      <c r="AJ220" s="31">
        <v>1</v>
      </c>
      <c r="AK220" s="31">
        <v>1</v>
      </c>
      <c r="AL220" s="31">
        <v>1</v>
      </c>
      <c r="AM220" s="31">
        <v>0</v>
      </c>
      <c r="AN220" s="31">
        <v>0</v>
      </c>
      <c r="AO220" s="31">
        <v>1</v>
      </c>
      <c r="AP220" s="31">
        <v>0</v>
      </c>
      <c r="AQ220" s="31">
        <v>1</v>
      </c>
      <c r="AR220" s="23">
        <f t="shared" si="122"/>
        <v>1</v>
      </c>
      <c r="AS220" s="24">
        <f t="shared" si="123"/>
        <v>5</v>
      </c>
      <c r="AT220" s="28">
        <f t="shared" si="124"/>
        <v>0.625</v>
      </c>
      <c r="AU220" s="28">
        <f t="shared" si="125"/>
        <v>9.375E-2</v>
      </c>
      <c r="AV220" s="32">
        <v>75</v>
      </c>
      <c r="AW220" s="32">
        <v>75</v>
      </c>
      <c r="AX220" s="32">
        <v>80</v>
      </c>
      <c r="AY220" s="32">
        <v>80</v>
      </c>
      <c r="AZ220" s="32">
        <v>80</v>
      </c>
      <c r="BA220" s="32">
        <v>100</v>
      </c>
      <c r="BB220" s="23">
        <f t="shared" ca="1" si="126"/>
        <v>0.8</v>
      </c>
      <c r="BC220" s="33">
        <f t="shared" si="132"/>
        <v>81.666666666666671</v>
      </c>
      <c r="BD220" s="28">
        <f t="shared" si="127"/>
        <v>0.93877551020408168</v>
      </c>
      <c r="BE220" s="28">
        <f t="shared" si="128"/>
        <v>0.18775510204081636</v>
      </c>
      <c r="BF220" s="34">
        <f ca="1">Q220+AA220+AF220+AR220+BB220</f>
        <v>4</v>
      </c>
      <c r="BG220" s="34">
        <f>AVERAGE(AV220:AZ220)</f>
        <v>78</v>
      </c>
      <c r="BH220" s="35">
        <f>T220+AD220+AI220+AU220+BE220</f>
        <v>0.72556351090285065</v>
      </c>
      <c r="BI220" s="36" t="str">
        <f ca="1">IF(K220&lt;365,"New CE",(IF(BH220&gt;=100%,"Promote",IF(BH220&gt;=90%,"Sangat Baik",IF(BH220&gt;=80%,"Baik",IF(BH220&gt;=70%,"Lebih Dari Cukup",IF(BH220&gt;=60%,"Cukup","Kurang")))))))</f>
        <v>Lebih Dari Cukup</v>
      </c>
      <c r="BJ220" s="36" t="s">
        <v>860</v>
      </c>
      <c r="BK220" s="58" t="s">
        <v>54</v>
      </c>
      <c r="BL220" s="59" t="e">
        <v>#N/A</v>
      </c>
    </row>
    <row r="221" spans="1:64" x14ac:dyDescent="0.35">
      <c r="A221" s="19">
        <v>217</v>
      </c>
      <c r="B221" s="13" t="s">
        <v>556</v>
      </c>
      <c r="C221" s="20" t="s">
        <v>557</v>
      </c>
      <c r="D221" s="76" t="s">
        <v>48</v>
      </c>
      <c r="E221" s="13" t="s">
        <v>98</v>
      </c>
      <c r="F221" s="13" t="s">
        <v>50</v>
      </c>
      <c r="G221" s="13" t="s">
        <v>55</v>
      </c>
      <c r="H221" s="65">
        <v>43740</v>
      </c>
      <c r="I221" s="21">
        <f t="shared" ca="1" si="129"/>
        <v>45974</v>
      </c>
      <c r="J221" s="13" t="str">
        <f t="shared" ca="1" si="112"/>
        <v xml:space="preserve">6 Tahun 1 Bulan 11 Hari </v>
      </c>
      <c r="K221" s="13">
        <f t="shared" ca="1" si="130"/>
        <v>3216960</v>
      </c>
      <c r="L221" s="13">
        <v>1040</v>
      </c>
      <c r="M221" s="13">
        <v>17</v>
      </c>
      <c r="N221" s="13">
        <v>7455</v>
      </c>
      <c r="O221" s="22">
        <f t="shared" si="113"/>
        <v>438.52941176470586</v>
      </c>
      <c r="P221" s="13">
        <v>609</v>
      </c>
      <c r="Q221" s="23">
        <f t="shared" si="114"/>
        <v>1</v>
      </c>
      <c r="R221" s="24">
        <f t="shared" si="115"/>
        <v>5</v>
      </c>
      <c r="S221" s="25">
        <f t="shared" si="131"/>
        <v>1.3887323943661973</v>
      </c>
      <c r="T221" s="25">
        <f t="shared" si="116"/>
        <v>0.2777464788732395</v>
      </c>
      <c r="U221" s="26">
        <v>9672.336168708076</v>
      </c>
      <c r="V221" s="26">
        <v>0</v>
      </c>
      <c r="W221" s="26">
        <v>0</v>
      </c>
      <c r="X221" s="27">
        <f t="shared" si="134"/>
        <v>0</v>
      </c>
      <c r="Y221" s="27">
        <f t="shared" si="135"/>
        <v>0</v>
      </c>
      <c r="Z221" s="27">
        <f t="shared" si="106"/>
        <v>0</v>
      </c>
      <c r="AA221" s="23">
        <f t="shared" si="133"/>
        <v>0</v>
      </c>
      <c r="AB221" s="24">
        <f t="shared" si="136"/>
        <v>0</v>
      </c>
      <c r="AC221" s="28">
        <f t="shared" si="117"/>
        <v>0</v>
      </c>
      <c r="AD221" s="29">
        <f t="shared" si="118"/>
        <v>0</v>
      </c>
      <c r="AE221" s="30">
        <v>5.5878932696137008E-2</v>
      </c>
      <c r="AF221" s="23">
        <f t="shared" si="119"/>
        <v>1</v>
      </c>
      <c r="AG221" s="24">
        <f t="shared" si="111"/>
        <v>4</v>
      </c>
      <c r="AH221" s="28">
        <f t="shared" si="120"/>
        <v>0.8</v>
      </c>
      <c r="AI221" s="29">
        <f t="shared" si="121"/>
        <v>0.2</v>
      </c>
      <c r="AJ221" s="31">
        <v>1</v>
      </c>
      <c r="AK221" s="31">
        <v>1</v>
      </c>
      <c r="AL221" s="31">
        <v>1</v>
      </c>
      <c r="AM221" s="31">
        <v>0</v>
      </c>
      <c r="AN221" s="31">
        <v>0</v>
      </c>
      <c r="AO221" s="31">
        <v>0</v>
      </c>
      <c r="AP221" s="31">
        <v>0</v>
      </c>
      <c r="AQ221" s="31">
        <v>0</v>
      </c>
      <c r="AR221" s="23">
        <f t="shared" si="122"/>
        <v>0.6</v>
      </c>
      <c r="AS221" s="24">
        <f t="shared" si="123"/>
        <v>3</v>
      </c>
      <c r="AT221" s="28">
        <f t="shared" si="124"/>
        <v>0.375</v>
      </c>
      <c r="AU221" s="28">
        <f t="shared" si="125"/>
        <v>5.6249999999999994E-2</v>
      </c>
      <c r="AV221" s="32">
        <v>75</v>
      </c>
      <c r="AW221" s="32">
        <v>75</v>
      </c>
      <c r="AX221" s="32">
        <v>90</v>
      </c>
      <c r="AY221" s="32">
        <v>90</v>
      </c>
      <c r="AZ221" s="32">
        <v>75</v>
      </c>
      <c r="BA221" s="32">
        <v>100</v>
      </c>
      <c r="BB221" s="23">
        <f t="shared" ca="1" si="126"/>
        <v>0.8</v>
      </c>
      <c r="BC221" s="33">
        <f t="shared" si="132"/>
        <v>84.166666666666671</v>
      </c>
      <c r="BD221" s="28">
        <f t="shared" si="127"/>
        <v>0.94059405940594054</v>
      </c>
      <c r="BE221" s="28">
        <f t="shared" si="128"/>
        <v>0.18811881188118812</v>
      </c>
      <c r="BF221" s="34">
        <f ca="1">Q221+AA221+AF221+AR221+BB221</f>
        <v>3.4000000000000004</v>
      </c>
      <c r="BG221" s="34">
        <f>AVERAGE(AV221:AZ221)</f>
        <v>81</v>
      </c>
      <c r="BH221" s="35">
        <f>T221+AD221+AI221+AU221+BE221</f>
        <v>0.72211529075442771</v>
      </c>
      <c r="BI221" s="36" t="str">
        <f ca="1">IF(K221&lt;365,"New CE",(IF(BH221&gt;=100%,"Promote",IF(BH221&gt;=90%,"Sangat Baik",IF(BH221&gt;=80%,"Baik",IF(BH221&gt;=70%,"Lebih Dari Cukup",IF(BH221&gt;=60%,"Cukup","Kurang")))))))</f>
        <v>Lebih Dari Cukup</v>
      </c>
      <c r="BJ221" s="36" t="s">
        <v>860</v>
      </c>
      <c r="BK221" s="58" t="s">
        <v>48</v>
      </c>
      <c r="BL221" s="59" t="e">
        <v>#N/A</v>
      </c>
    </row>
    <row r="222" spans="1:64" x14ac:dyDescent="0.35">
      <c r="A222" s="19">
        <v>218</v>
      </c>
      <c r="B222" s="13" t="s">
        <v>558</v>
      </c>
      <c r="C222" s="20" t="s">
        <v>559</v>
      </c>
      <c r="D222" s="76" t="s">
        <v>42</v>
      </c>
      <c r="E222" s="13" t="s">
        <v>300</v>
      </c>
      <c r="F222" s="13" t="s">
        <v>74</v>
      </c>
      <c r="G222" s="13" t="s">
        <v>61</v>
      </c>
      <c r="H222" s="65">
        <v>43010</v>
      </c>
      <c r="I222" s="21">
        <f t="shared" ca="1" si="129"/>
        <v>45974</v>
      </c>
      <c r="J222" s="13" t="str">
        <f t="shared" ca="1" si="112"/>
        <v xml:space="preserve">8 Tahun 1 Bulan 11 Hari </v>
      </c>
      <c r="K222" s="13">
        <f t="shared" ca="1" si="130"/>
        <v>4268160</v>
      </c>
      <c r="L222" s="13">
        <v>156</v>
      </c>
      <c r="M222" s="13">
        <v>4</v>
      </c>
      <c r="N222" s="13">
        <v>1290</v>
      </c>
      <c r="O222" s="22">
        <f t="shared" si="113"/>
        <v>322.5</v>
      </c>
      <c r="P222" s="13">
        <v>231</v>
      </c>
      <c r="Q222" s="23">
        <f t="shared" si="114"/>
        <v>0.6</v>
      </c>
      <c r="R222" s="24">
        <f t="shared" si="115"/>
        <v>3</v>
      </c>
      <c r="S222" s="25">
        <f t="shared" si="131"/>
        <v>0.71627906976744182</v>
      </c>
      <c r="T222" s="25">
        <f t="shared" si="116"/>
        <v>0.14325581395348838</v>
      </c>
      <c r="U222" s="26">
        <v>4905.0680195820823</v>
      </c>
      <c r="V222" s="26">
        <v>0</v>
      </c>
      <c r="W222" s="26">
        <v>11335.255940393517</v>
      </c>
      <c r="X222" s="27">
        <f t="shared" si="134"/>
        <v>0</v>
      </c>
      <c r="Y222" s="27">
        <f t="shared" si="135"/>
        <v>0</v>
      </c>
      <c r="Z222" s="27">
        <f t="shared" si="106"/>
        <v>1</v>
      </c>
      <c r="AA222" s="23">
        <f t="shared" si="133"/>
        <v>0.4</v>
      </c>
      <c r="AB222" s="24">
        <f t="shared" si="136"/>
        <v>1</v>
      </c>
      <c r="AC222" s="28">
        <f t="shared" si="117"/>
        <v>0.33333333333333331</v>
      </c>
      <c r="AD222" s="29">
        <f t="shared" si="118"/>
        <v>8.3333333333333329E-2</v>
      </c>
      <c r="AE222" s="30">
        <v>3.8739803791887122E-2</v>
      </c>
      <c r="AF222" s="23">
        <f t="shared" si="119"/>
        <v>1.25</v>
      </c>
      <c r="AG222" s="24">
        <f t="shared" si="111"/>
        <v>5</v>
      </c>
      <c r="AH222" s="28">
        <f t="shared" si="120"/>
        <v>1</v>
      </c>
      <c r="AI222" s="29">
        <f t="shared" si="121"/>
        <v>0.25</v>
      </c>
      <c r="AJ222" s="31">
        <v>1</v>
      </c>
      <c r="AK222" s="31">
        <v>1</v>
      </c>
      <c r="AL222" s="31">
        <v>1</v>
      </c>
      <c r="AM222" s="31">
        <v>0</v>
      </c>
      <c r="AN222" s="31">
        <v>0</v>
      </c>
      <c r="AO222" s="31">
        <v>0</v>
      </c>
      <c r="AP222" s="31">
        <v>0</v>
      </c>
      <c r="AQ222" s="31">
        <v>0</v>
      </c>
      <c r="AR222" s="23">
        <f t="shared" si="122"/>
        <v>0.6</v>
      </c>
      <c r="AS222" s="24">
        <f t="shared" si="123"/>
        <v>3</v>
      </c>
      <c r="AT222" s="28">
        <f t="shared" si="124"/>
        <v>0.375</v>
      </c>
      <c r="AU222" s="28">
        <f t="shared" si="125"/>
        <v>5.6249999999999994E-2</v>
      </c>
      <c r="AV222" s="32">
        <v>75</v>
      </c>
      <c r="AW222" s="32">
        <v>75</v>
      </c>
      <c r="AX222" s="32">
        <v>85</v>
      </c>
      <c r="AY222" s="32">
        <v>90</v>
      </c>
      <c r="AZ222" s="32">
        <v>85</v>
      </c>
      <c r="BA222" s="32">
        <v>100</v>
      </c>
      <c r="BB222" s="23">
        <f t="shared" ca="1" si="126"/>
        <v>0.8</v>
      </c>
      <c r="BC222" s="33">
        <f t="shared" si="132"/>
        <v>85</v>
      </c>
      <c r="BD222" s="28">
        <f t="shared" si="127"/>
        <v>0.94117647058823528</v>
      </c>
      <c r="BE222" s="28">
        <f t="shared" si="128"/>
        <v>0.18823529411764706</v>
      </c>
      <c r="BF222" s="34">
        <f ca="1">Q222+AA222+AF222+AR222+BB222</f>
        <v>3.6500000000000004</v>
      </c>
      <c r="BG222" s="34">
        <f>AVERAGE(AV222:AZ222)</f>
        <v>82</v>
      </c>
      <c r="BH222" s="35">
        <f>T222+AD222+AI222+AU222+BE222</f>
        <v>0.72107444140446875</v>
      </c>
      <c r="BI222" s="36" t="str">
        <f ca="1">IF(K222&lt;365,"New CE",(IF(BH222&gt;=100%,"Promote",IF(BH222&gt;=90%,"Sangat Baik",IF(BH222&gt;=80%,"Baik",IF(BH222&gt;=70%,"Lebih Dari Cukup",IF(BH222&gt;=60%,"Cukup","Kurang")))))))</f>
        <v>Lebih Dari Cukup</v>
      </c>
      <c r="BJ222" s="36" t="s">
        <v>860</v>
      </c>
      <c r="BK222" s="58" t="s">
        <v>42</v>
      </c>
      <c r="BL222" s="59" t="str">
        <v>Graldi Firson Sualang</v>
      </c>
    </row>
    <row r="223" spans="1:64" x14ac:dyDescent="0.35">
      <c r="A223" s="19">
        <v>219</v>
      </c>
      <c r="B223" s="13" t="s">
        <v>560</v>
      </c>
      <c r="C223" s="20" t="s">
        <v>561</v>
      </c>
      <c r="D223" s="76" t="s">
        <v>54</v>
      </c>
      <c r="E223" s="13" t="s">
        <v>86</v>
      </c>
      <c r="F223" s="13" t="s">
        <v>74</v>
      </c>
      <c r="G223" s="13" t="s">
        <v>61</v>
      </c>
      <c r="H223" s="65">
        <v>45173</v>
      </c>
      <c r="I223" s="21">
        <f t="shared" ca="1" si="129"/>
        <v>45974</v>
      </c>
      <c r="J223" s="13" t="str">
        <f t="shared" ca="1" si="112"/>
        <v xml:space="preserve">2 Tahun 2 Bulan 9 Hari </v>
      </c>
      <c r="K223" s="13">
        <f t="shared" ca="1" si="130"/>
        <v>1153440</v>
      </c>
      <c r="L223" s="13">
        <v>171</v>
      </c>
      <c r="M223" s="13">
        <v>4</v>
      </c>
      <c r="N223" s="13">
        <v>1473</v>
      </c>
      <c r="O223" s="22">
        <f t="shared" si="113"/>
        <v>368.25</v>
      </c>
      <c r="P223" s="13">
        <v>356</v>
      </c>
      <c r="Q223" s="23">
        <f t="shared" si="114"/>
        <v>0.8</v>
      </c>
      <c r="R223" s="24">
        <f t="shared" si="115"/>
        <v>4</v>
      </c>
      <c r="S223" s="25">
        <f t="shared" si="131"/>
        <v>0.96673455532926</v>
      </c>
      <c r="T223" s="25">
        <f t="shared" si="116"/>
        <v>0.193346911065852</v>
      </c>
      <c r="U223" s="26">
        <v>7334.4273678315421</v>
      </c>
      <c r="V223" s="26">
        <v>5687.7633174189814</v>
      </c>
      <c r="W223" s="26">
        <v>9101.4204112654315</v>
      </c>
      <c r="X223" s="27">
        <f t="shared" si="134"/>
        <v>0</v>
      </c>
      <c r="Y223" s="27">
        <f t="shared" si="135"/>
        <v>0</v>
      </c>
      <c r="Z223" s="27">
        <f t="shared" si="106"/>
        <v>1</v>
      </c>
      <c r="AA223" s="23">
        <f t="shared" si="133"/>
        <v>0.4</v>
      </c>
      <c r="AB223" s="24">
        <f t="shared" si="136"/>
        <v>1</v>
      </c>
      <c r="AC223" s="28">
        <f t="shared" si="117"/>
        <v>0.33333333333333331</v>
      </c>
      <c r="AD223" s="29">
        <f t="shared" si="118"/>
        <v>8.3333333333333329E-2</v>
      </c>
      <c r="AE223" s="30">
        <v>6.6682130915637877E-2</v>
      </c>
      <c r="AF223" s="23">
        <f t="shared" si="119"/>
        <v>1</v>
      </c>
      <c r="AG223" s="24">
        <f t="shared" ref="AG223:AG253" si="137">IF(AE223="",0,IF(AE223&lt;=TIME(1,0,0),5,IF(AE223&lt;=TIME(2,0,0),4,IF(AE223&lt;=TIME(3,0,0),3,IF(AE223&lt;=TIME(4,0,0),2,IF(AE223&lt;TIME(8,0,0),1,0))))))</f>
        <v>4</v>
      </c>
      <c r="AH223" s="28">
        <f t="shared" si="120"/>
        <v>0.8</v>
      </c>
      <c r="AI223" s="29">
        <f t="shared" si="121"/>
        <v>0.2</v>
      </c>
      <c r="AJ223" s="31">
        <v>1</v>
      </c>
      <c r="AK223" s="31">
        <v>1</v>
      </c>
      <c r="AL223" s="31">
        <v>1</v>
      </c>
      <c r="AM223" s="31">
        <v>0</v>
      </c>
      <c r="AN223" s="31">
        <v>0</v>
      </c>
      <c r="AO223" s="31">
        <v>0</v>
      </c>
      <c r="AP223" s="31">
        <v>0</v>
      </c>
      <c r="AQ223" s="31">
        <v>0</v>
      </c>
      <c r="AR223" s="23">
        <f t="shared" si="122"/>
        <v>0.6</v>
      </c>
      <c r="AS223" s="24">
        <f t="shared" si="123"/>
        <v>3</v>
      </c>
      <c r="AT223" s="28">
        <f t="shared" si="124"/>
        <v>0.375</v>
      </c>
      <c r="AU223" s="28">
        <f t="shared" si="125"/>
        <v>5.6249999999999994E-2</v>
      </c>
      <c r="AV223" s="32">
        <v>75</v>
      </c>
      <c r="AW223" s="32">
        <v>75</v>
      </c>
      <c r="AX223" s="32">
        <v>80</v>
      </c>
      <c r="AY223" s="32">
        <v>80</v>
      </c>
      <c r="AZ223" s="32">
        <v>80</v>
      </c>
      <c r="BA223" s="32">
        <v>100</v>
      </c>
      <c r="BB223" s="23">
        <f t="shared" ca="1" si="126"/>
        <v>0.8</v>
      </c>
      <c r="BC223" s="33">
        <f t="shared" si="132"/>
        <v>81.666666666666671</v>
      </c>
      <c r="BD223" s="28">
        <f t="shared" si="127"/>
        <v>0.93877551020408168</v>
      </c>
      <c r="BE223" s="28">
        <f t="shared" si="128"/>
        <v>0.18775510204081636</v>
      </c>
      <c r="BF223" s="34">
        <f ca="1">Q223+AA223+AF223+AR223+BB223</f>
        <v>3.6000000000000005</v>
      </c>
      <c r="BG223" s="34">
        <f>AVERAGE(AV223:AZ223)</f>
        <v>78</v>
      </c>
      <c r="BH223" s="35">
        <f>T223+AD223+AI223+AU223+BE223</f>
        <v>0.72068534644000171</v>
      </c>
      <c r="BI223" s="36" t="str">
        <f ca="1">IF(K223&lt;365,"New CE",(IF(BH223&gt;=100%,"Promote",IF(BH223&gt;=90%,"Sangat Baik",IF(BH223&gt;=80%,"Baik",IF(BH223&gt;=70%,"Lebih Dari Cukup",IF(BH223&gt;=60%,"Cukup","Kurang")))))))</f>
        <v>Lebih Dari Cukup</v>
      </c>
      <c r="BJ223" s="36" t="s">
        <v>860</v>
      </c>
      <c r="BK223" s="58" t="s">
        <v>54</v>
      </c>
      <c r="BL223" s="59" t="str">
        <v>Muh. Amri Irianto</v>
      </c>
    </row>
    <row r="224" spans="1:64" x14ac:dyDescent="0.35">
      <c r="A224" s="19">
        <v>220</v>
      </c>
      <c r="B224" s="13" t="s">
        <v>562</v>
      </c>
      <c r="C224" s="20" t="s">
        <v>563</v>
      </c>
      <c r="D224" s="76" t="s">
        <v>54</v>
      </c>
      <c r="E224" s="13" t="s">
        <v>98</v>
      </c>
      <c r="F224" s="13" t="s">
        <v>50</v>
      </c>
      <c r="G224" s="13" t="s">
        <v>55</v>
      </c>
      <c r="H224" s="65">
        <v>45306</v>
      </c>
      <c r="I224" s="21">
        <f t="shared" ca="1" si="129"/>
        <v>45974</v>
      </c>
      <c r="J224" s="13" t="str">
        <f t="shared" ca="1" si="112"/>
        <v xml:space="preserve">1 Tahun 9 Bulan 29 Hari </v>
      </c>
      <c r="K224" s="13">
        <f t="shared" ca="1" si="130"/>
        <v>961920</v>
      </c>
      <c r="L224" s="13">
        <v>1040</v>
      </c>
      <c r="M224" s="13">
        <v>17</v>
      </c>
      <c r="N224" s="13">
        <v>7455</v>
      </c>
      <c r="O224" s="22">
        <f t="shared" si="113"/>
        <v>438.52941176470586</v>
      </c>
      <c r="P224" s="13">
        <v>299</v>
      </c>
      <c r="Q224" s="23">
        <f t="shared" si="114"/>
        <v>0.6</v>
      </c>
      <c r="R224" s="24">
        <f t="shared" si="115"/>
        <v>3</v>
      </c>
      <c r="S224" s="25">
        <f t="shared" si="131"/>
        <v>0.68182427900737763</v>
      </c>
      <c r="T224" s="25">
        <f t="shared" si="116"/>
        <v>0.13636485580147553</v>
      </c>
      <c r="U224" s="26">
        <v>2.0835450542005411E-2</v>
      </c>
      <c r="V224" s="26">
        <v>0</v>
      </c>
      <c r="W224" s="26">
        <v>0</v>
      </c>
      <c r="X224" s="27">
        <f t="shared" si="134"/>
        <v>1</v>
      </c>
      <c r="Y224" s="27">
        <f t="shared" si="135"/>
        <v>0</v>
      </c>
      <c r="Z224" s="27">
        <f t="shared" ref="Z224:Z285" si="138">IF(W224=TIME(0,0,0),0, IF(W224&gt;=TIME(24,0,0), 1, 0))</f>
        <v>0</v>
      </c>
      <c r="AA224" s="23">
        <f t="shared" si="133"/>
        <v>0.4</v>
      </c>
      <c r="AB224" s="24">
        <f t="shared" si="136"/>
        <v>1</v>
      </c>
      <c r="AC224" s="28">
        <f t="shared" si="117"/>
        <v>0.33333333333333331</v>
      </c>
      <c r="AD224" s="29">
        <f t="shared" si="118"/>
        <v>8.3333333333333329E-2</v>
      </c>
      <c r="AE224" s="30">
        <v>6.2293666968599025E-2</v>
      </c>
      <c r="AF224" s="23">
        <f t="shared" si="119"/>
        <v>1</v>
      </c>
      <c r="AG224" s="24">
        <f t="shared" si="137"/>
        <v>4</v>
      </c>
      <c r="AH224" s="28">
        <f t="shared" si="120"/>
        <v>0.8</v>
      </c>
      <c r="AI224" s="29">
        <f t="shared" si="121"/>
        <v>0.2</v>
      </c>
      <c r="AJ224" s="31">
        <v>1</v>
      </c>
      <c r="AK224" s="31">
        <v>1</v>
      </c>
      <c r="AL224" s="31">
        <v>1</v>
      </c>
      <c r="AM224" s="31">
        <v>1</v>
      </c>
      <c r="AN224" s="31">
        <v>1</v>
      </c>
      <c r="AO224" s="31">
        <v>0</v>
      </c>
      <c r="AP224" s="31">
        <v>0</v>
      </c>
      <c r="AQ224" s="31">
        <v>1</v>
      </c>
      <c r="AR224" s="23">
        <f t="shared" si="122"/>
        <v>1</v>
      </c>
      <c r="AS224" s="24">
        <f t="shared" si="123"/>
        <v>6</v>
      </c>
      <c r="AT224" s="28">
        <f t="shared" si="124"/>
        <v>0.75</v>
      </c>
      <c r="AU224" s="28">
        <f t="shared" si="125"/>
        <v>0.11249999999999999</v>
      </c>
      <c r="AV224" s="32">
        <v>75</v>
      </c>
      <c r="AW224" s="32">
        <v>75</v>
      </c>
      <c r="AX224" s="32">
        <v>90</v>
      </c>
      <c r="AY224" s="32">
        <v>85</v>
      </c>
      <c r="AZ224" s="32">
        <v>80</v>
      </c>
      <c r="BA224" s="32">
        <v>100</v>
      </c>
      <c r="BB224" s="23">
        <f t="shared" ca="1" si="126"/>
        <v>0.8</v>
      </c>
      <c r="BC224" s="33">
        <f t="shared" si="132"/>
        <v>84.166666666666671</v>
      </c>
      <c r="BD224" s="28">
        <f t="shared" si="127"/>
        <v>0.94059405940594054</v>
      </c>
      <c r="BE224" s="28">
        <f t="shared" si="128"/>
        <v>0.18811881188118812</v>
      </c>
      <c r="BF224" s="34">
        <f ca="1">Q224+AA224+AF224+AR224+BB224</f>
        <v>3.8</v>
      </c>
      <c r="BG224" s="34">
        <f>AVERAGE(AV224:AZ224)</f>
        <v>81</v>
      </c>
      <c r="BH224" s="35">
        <f>T224+AD224+AI224+AU224+BE224</f>
        <v>0.72031700101599694</v>
      </c>
      <c r="BI224" s="36" t="str">
        <f ca="1">IF(K224&lt;365,"New CE",(IF(BH224&gt;=100%,"Promote",IF(BH224&gt;=90%,"Sangat Baik",IF(BH224&gt;=80%,"Baik",IF(BH224&gt;=70%,"Lebih Dari Cukup",IF(BH224&gt;=60%,"Cukup","Kurang")))))))</f>
        <v>Lebih Dari Cukup</v>
      </c>
      <c r="BJ224" s="36" t="s">
        <v>860</v>
      </c>
      <c r="BK224" s="58" t="s">
        <v>54</v>
      </c>
      <c r="BL224" s="59" t="e">
        <v>#N/A</v>
      </c>
    </row>
    <row r="225" spans="1:64" x14ac:dyDescent="0.35">
      <c r="A225" s="19">
        <v>221</v>
      </c>
      <c r="B225" s="13" t="s">
        <v>79</v>
      </c>
      <c r="C225" s="20" t="s">
        <v>80</v>
      </c>
      <c r="D225" s="76" t="s">
        <v>48</v>
      </c>
      <c r="E225" s="13" t="s">
        <v>98</v>
      </c>
      <c r="F225" s="13" t="s">
        <v>50</v>
      </c>
      <c r="G225" s="13" t="s">
        <v>61</v>
      </c>
      <c r="H225" s="65">
        <v>43418</v>
      </c>
      <c r="I225" s="21">
        <f t="shared" ca="1" si="129"/>
        <v>45974</v>
      </c>
      <c r="J225" s="13" t="str">
        <f t="shared" ca="1" si="112"/>
        <v xml:space="preserve">6 Tahun 11 Bulan 30 Hari </v>
      </c>
      <c r="K225" s="13">
        <f t="shared" ca="1" si="130"/>
        <v>3680640</v>
      </c>
      <c r="L225" s="13">
        <v>221</v>
      </c>
      <c r="M225" s="13">
        <v>4</v>
      </c>
      <c r="N225" s="13">
        <v>1669</v>
      </c>
      <c r="O225" s="22">
        <f t="shared" si="113"/>
        <v>417.25</v>
      </c>
      <c r="P225" s="13">
        <v>412</v>
      </c>
      <c r="Q225" s="23">
        <f t="shared" si="114"/>
        <v>0.8</v>
      </c>
      <c r="R225" s="24">
        <f t="shared" si="115"/>
        <v>4</v>
      </c>
      <c r="S225" s="25">
        <f t="shared" si="131"/>
        <v>0.98741761533852601</v>
      </c>
      <c r="T225" s="25">
        <f t="shared" si="116"/>
        <v>0.19748352306770522</v>
      </c>
      <c r="U225" s="26">
        <v>11015.846586349611</v>
      </c>
      <c r="V225" s="26">
        <v>0.12777777777777777</v>
      </c>
      <c r="W225" s="26">
        <v>22687.96420283565</v>
      </c>
      <c r="X225" s="27">
        <f t="shared" si="134"/>
        <v>0</v>
      </c>
      <c r="Y225" s="27">
        <f t="shared" si="135"/>
        <v>0</v>
      </c>
      <c r="Z225" s="27">
        <f t="shared" si="138"/>
        <v>1</v>
      </c>
      <c r="AA225" s="23">
        <f t="shared" si="133"/>
        <v>0.4</v>
      </c>
      <c r="AB225" s="24">
        <f t="shared" si="136"/>
        <v>1</v>
      </c>
      <c r="AC225" s="28">
        <f t="shared" si="117"/>
        <v>0.33333333333333331</v>
      </c>
      <c r="AD225" s="29">
        <f t="shared" si="118"/>
        <v>8.3333333333333329E-2</v>
      </c>
      <c r="AE225" s="30">
        <v>0.15665509259259258</v>
      </c>
      <c r="AF225" s="23">
        <f t="shared" si="119"/>
        <v>0.5</v>
      </c>
      <c r="AG225" s="24">
        <f t="shared" si="137"/>
        <v>2</v>
      </c>
      <c r="AH225" s="28">
        <f t="shared" si="120"/>
        <v>0.4</v>
      </c>
      <c r="AI225" s="29">
        <f t="shared" si="121"/>
        <v>0.1</v>
      </c>
      <c r="AJ225" s="31">
        <v>1</v>
      </c>
      <c r="AK225" s="31">
        <v>1</v>
      </c>
      <c r="AL225" s="31">
        <v>1</v>
      </c>
      <c r="AM225" s="31">
        <v>1</v>
      </c>
      <c r="AN225" s="31">
        <v>1</v>
      </c>
      <c r="AO225" s="31">
        <v>1</v>
      </c>
      <c r="AP225" s="31">
        <v>1</v>
      </c>
      <c r="AQ225" s="31">
        <v>1</v>
      </c>
      <c r="AR225" s="23">
        <f t="shared" si="122"/>
        <v>1</v>
      </c>
      <c r="AS225" s="24">
        <f t="shared" si="123"/>
        <v>8</v>
      </c>
      <c r="AT225" s="28">
        <f t="shared" si="124"/>
        <v>1</v>
      </c>
      <c r="AU225" s="28">
        <f t="shared" si="125"/>
        <v>0.15</v>
      </c>
      <c r="AV225" s="32">
        <v>75</v>
      </c>
      <c r="AW225" s="32">
        <v>65</v>
      </c>
      <c r="AX225" s="32">
        <v>80</v>
      </c>
      <c r="AY225" s="32">
        <v>70</v>
      </c>
      <c r="AZ225" s="32">
        <v>75</v>
      </c>
      <c r="BA225" s="32">
        <v>100</v>
      </c>
      <c r="BB225" s="23">
        <f t="shared" ca="1" si="126"/>
        <v>0.8</v>
      </c>
      <c r="BC225" s="33">
        <f t="shared" si="132"/>
        <v>77.5</v>
      </c>
      <c r="BD225" s="28">
        <f t="shared" si="127"/>
        <v>0.93548387096774199</v>
      </c>
      <c r="BE225" s="28">
        <f t="shared" si="128"/>
        <v>0.18709677419354842</v>
      </c>
      <c r="BF225" s="34">
        <f ca="1">Q225+AA225+AF225+AR225+BB225</f>
        <v>3.5</v>
      </c>
      <c r="BG225" s="34">
        <f>AVERAGE(AV225:AZ225)</f>
        <v>73</v>
      </c>
      <c r="BH225" s="35">
        <f>T225+AD225+AI225+AU225+BE225</f>
        <v>0.71791363059458702</v>
      </c>
      <c r="BI225" s="36" t="str">
        <f ca="1">IF(K225&lt;365,"New CE",(IF(BH225&gt;=100%,"Promote",IF(BH225&gt;=90%,"Sangat Baik",IF(BH225&gt;=80%,"Baik",IF(BH225&gt;=70%,"Lebih Dari Cukup",IF(BH225&gt;=60%,"Cukup","Kurang")))))))</f>
        <v>Lebih Dari Cukup</v>
      </c>
      <c r="BJ225" s="36" t="s">
        <v>860</v>
      </c>
      <c r="BK225" s="58" t="s">
        <v>48</v>
      </c>
      <c r="BL225" s="59" t="str">
        <v>Remondo Extrada Simanjuntak</v>
      </c>
    </row>
    <row r="226" spans="1:64" x14ac:dyDescent="0.35">
      <c r="A226" s="19">
        <v>222</v>
      </c>
      <c r="B226" s="13" t="s">
        <v>564</v>
      </c>
      <c r="C226" s="20" t="s">
        <v>565</v>
      </c>
      <c r="D226" s="76" t="s">
        <v>54</v>
      </c>
      <c r="E226" s="13" t="s">
        <v>95</v>
      </c>
      <c r="F226" s="13" t="s">
        <v>50</v>
      </c>
      <c r="G226" s="13" t="s">
        <v>61</v>
      </c>
      <c r="H226" s="65">
        <v>45173</v>
      </c>
      <c r="I226" s="21">
        <f t="shared" ca="1" si="129"/>
        <v>45974</v>
      </c>
      <c r="J226" s="13" t="str">
        <f t="shared" ca="1" si="112"/>
        <v xml:space="preserve">2 Tahun 2 Bulan 9 Hari </v>
      </c>
      <c r="K226" s="13">
        <f t="shared" ca="1" si="130"/>
        <v>1153440</v>
      </c>
      <c r="L226" s="13">
        <v>897</v>
      </c>
      <c r="M226" s="13">
        <v>13</v>
      </c>
      <c r="N226" s="13">
        <v>6212</v>
      </c>
      <c r="O226" s="22">
        <f t="shared" si="113"/>
        <v>477.84615384615387</v>
      </c>
      <c r="P226" s="13">
        <v>456</v>
      </c>
      <c r="Q226" s="23">
        <f t="shared" si="114"/>
        <v>0.8</v>
      </c>
      <c r="R226" s="24">
        <f t="shared" si="115"/>
        <v>4</v>
      </c>
      <c r="S226" s="25">
        <f t="shared" si="131"/>
        <v>0.95428203477141016</v>
      </c>
      <c r="T226" s="25">
        <f t="shared" si="116"/>
        <v>0.19085640695428205</v>
      </c>
      <c r="U226" s="26">
        <v>3.2900308641975302E-2</v>
      </c>
      <c r="V226" s="26">
        <v>0</v>
      </c>
      <c r="W226" s="26">
        <v>0</v>
      </c>
      <c r="X226" s="27">
        <f t="shared" si="134"/>
        <v>1</v>
      </c>
      <c r="Y226" s="27">
        <f t="shared" si="135"/>
        <v>0</v>
      </c>
      <c r="Z226" s="27">
        <f t="shared" si="138"/>
        <v>0</v>
      </c>
      <c r="AA226" s="23">
        <f t="shared" si="133"/>
        <v>0.4</v>
      </c>
      <c r="AB226" s="24">
        <f t="shared" si="136"/>
        <v>1</v>
      </c>
      <c r="AC226" s="28">
        <f t="shared" si="117"/>
        <v>0.33333333333333331</v>
      </c>
      <c r="AD226" s="29">
        <f t="shared" si="118"/>
        <v>8.3333333333333329E-2</v>
      </c>
      <c r="AE226" s="30">
        <v>6.6379793059842263E-2</v>
      </c>
      <c r="AF226" s="23">
        <f t="shared" si="119"/>
        <v>1</v>
      </c>
      <c r="AG226" s="24">
        <f t="shared" si="137"/>
        <v>4</v>
      </c>
      <c r="AH226" s="28">
        <f t="shared" si="120"/>
        <v>0.8</v>
      </c>
      <c r="AI226" s="29">
        <f t="shared" si="121"/>
        <v>0.2</v>
      </c>
      <c r="AJ226" s="31">
        <v>1</v>
      </c>
      <c r="AK226" s="31">
        <v>1</v>
      </c>
      <c r="AL226" s="31">
        <v>1</v>
      </c>
      <c r="AM226" s="31">
        <v>0</v>
      </c>
      <c r="AN226" s="31">
        <v>0</v>
      </c>
      <c r="AO226" s="31">
        <v>0</v>
      </c>
      <c r="AP226" s="31">
        <v>0</v>
      </c>
      <c r="AQ226" s="31">
        <v>0</v>
      </c>
      <c r="AR226" s="23">
        <f t="shared" si="122"/>
        <v>0.6</v>
      </c>
      <c r="AS226" s="24">
        <f t="shared" si="123"/>
        <v>3</v>
      </c>
      <c r="AT226" s="28">
        <f t="shared" si="124"/>
        <v>0.375</v>
      </c>
      <c r="AU226" s="28">
        <f t="shared" si="125"/>
        <v>5.6249999999999994E-2</v>
      </c>
      <c r="AV226" s="32">
        <v>75</v>
      </c>
      <c r="AW226" s="32">
        <v>75</v>
      </c>
      <c r="AX226" s="32">
        <v>90</v>
      </c>
      <c r="AY226" s="32">
        <v>85</v>
      </c>
      <c r="AZ226" s="32">
        <v>80</v>
      </c>
      <c r="BA226" s="32">
        <v>100</v>
      </c>
      <c r="BB226" s="23">
        <f t="shared" ca="1" si="126"/>
        <v>0.8</v>
      </c>
      <c r="BC226" s="33">
        <f t="shared" si="132"/>
        <v>84.166666666666671</v>
      </c>
      <c r="BD226" s="28">
        <f t="shared" si="127"/>
        <v>0.94059405940594054</v>
      </c>
      <c r="BE226" s="28">
        <f t="shared" si="128"/>
        <v>0.18811881188118812</v>
      </c>
      <c r="BF226" s="34">
        <f ca="1">Q226+AA226+AF226+AR226+BB226</f>
        <v>3.6000000000000005</v>
      </c>
      <c r="BG226" s="34">
        <f>AVERAGE(AV226:AZ226)</f>
        <v>81</v>
      </c>
      <c r="BH226" s="35">
        <f>T226+AD226+AI226+AU226+BE226</f>
        <v>0.7185585521688036</v>
      </c>
      <c r="BI226" s="36" t="str">
        <f ca="1">IF(K226&lt;365,"New CE",(IF(BH226&gt;=100%,"Promote",IF(BH226&gt;=90%,"Sangat Baik",IF(BH226&gt;=80%,"Baik",IF(BH226&gt;=70%,"Lebih Dari Cukup",IF(BH226&gt;=60%,"Cukup","Kurang")))))))</f>
        <v>Lebih Dari Cukup</v>
      </c>
      <c r="BJ226" s="36" t="s">
        <v>860</v>
      </c>
      <c r="BK226" s="58" t="s">
        <v>54</v>
      </c>
      <c r="BL226" s="59" t="e">
        <v>#N/A</v>
      </c>
    </row>
    <row r="227" spans="1:64" x14ac:dyDescent="0.35">
      <c r="A227" s="19">
        <v>223</v>
      </c>
      <c r="B227" s="13" t="s">
        <v>566</v>
      </c>
      <c r="C227" s="20" t="s">
        <v>567</v>
      </c>
      <c r="D227" s="76" t="s">
        <v>54</v>
      </c>
      <c r="E227" s="13" t="s">
        <v>64</v>
      </c>
      <c r="F227" s="13" t="s">
        <v>44</v>
      </c>
      <c r="G227" s="13" t="s">
        <v>61</v>
      </c>
      <c r="H227" s="65">
        <v>45131</v>
      </c>
      <c r="I227" s="21">
        <f t="shared" ca="1" si="129"/>
        <v>45974</v>
      </c>
      <c r="J227" s="13" t="str">
        <f t="shared" ca="1" si="112"/>
        <v xml:space="preserve">2 Tahun 3 Bulan 20 Hari </v>
      </c>
      <c r="K227" s="13">
        <f t="shared" ca="1" si="130"/>
        <v>1213920</v>
      </c>
      <c r="L227" s="13">
        <v>872</v>
      </c>
      <c r="M227" s="13">
        <v>15</v>
      </c>
      <c r="N227" s="13">
        <v>5975</v>
      </c>
      <c r="O227" s="22">
        <f t="shared" si="113"/>
        <v>398.33333333333331</v>
      </c>
      <c r="P227" s="13">
        <v>380</v>
      </c>
      <c r="Q227" s="23">
        <f t="shared" si="114"/>
        <v>0.8</v>
      </c>
      <c r="R227" s="24">
        <f t="shared" si="115"/>
        <v>4</v>
      </c>
      <c r="S227" s="25">
        <f t="shared" si="131"/>
        <v>0.95397489539748959</v>
      </c>
      <c r="T227" s="25">
        <f t="shared" si="116"/>
        <v>0.19079497907949794</v>
      </c>
      <c r="U227" s="26">
        <v>909.78342476851844</v>
      </c>
      <c r="V227" s="26">
        <v>9.5522280092592594E-3</v>
      </c>
      <c r="W227" s="26">
        <v>0</v>
      </c>
      <c r="X227" s="27">
        <f t="shared" si="134"/>
        <v>0</v>
      </c>
      <c r="Y227" s="27">
        <f t="shared" si="135"/>
        <v>1</v>
      </c>
      <c r="Z227" s="27">
        <f t="shared" si="138"/>
        <v>0</v>
      </c>
      <c r="AA227" s="23">
        <f t="shared" si="133"/>
        <v>0.4</v>
      </c>
      <c r="AB227" s="24">
        <f t="shared" si="136"/>
        <v>1</v>
      </c>
      <c r="AC227" s="28">
        <f t="shared" si="117"/>
        <v>0.33333333333333331</v>
      </c>
      <c r="AD227" s="29">
        <f t="shared" si="118"/>
        <v>8.3333333333333329E-2</v>
      </c>
      <c r="AE227" s="30">
        <v>6.8783284231200892E-2</v>
      </c>
      <c r="AF227" s="23">
        <f t="shared" si="119"/>
        <v>1</v>
      </c>
      <c r="AG227" s="24">
        <f t="shared" si="137"/>
        <v>4</v>
      </c>
      <c r="AH227" s="28">
        <f t="shared" si="120"/>
        <v>0.8</v>
      </c>
      <c r="AI227" s="29">
        <f t="shared" si="121"/>
        <v>0.2</v>
      </c>
      <c r="AJ227" s="31">
        <v>1</v>
      </c>
      <c r="AK227" s="31">
        <v>1</v>
      </c>
      <c r="AL227" s="31">
        <v>1</v>
      </c>
      <c r="AM227" s="31">
        <v>0</v>
      </c>
      <c r="AN227" s="31">
        <v>0</v>
      </c>
      <c r="AO227" s="31">
        <v>0</v>
      </c>
      <c r="AP227" s="31">
        <v>0</v>
      </c>
      <c r="AQ227" s="31">
        <v>0</v>
      </c>
      <c r="AR227" s="23">
        <f t="shared" si="122"/>
        <v>0.6</v>
      </c>
      <c r="AS227" s="24">
        <f t="shared" si="123"/>
        <v>3</v>
      </c>
      <c r="AT227" s="28">
        <f t="shared" si="124"/>
        <v>0.375</v>
      </c>
      <c r="AU227" s="28">
        <f t="shared" si="125"/>
        <v>5.6249999999999994E-2</v>
      </c>
      <c r="AV227" s="32">
        <v>75</v>
      </c>
      <c r="AW227" s="32">
        <v>75</v>
      </c>
      <c r="AX227" s="32">
        <v>80</v>
      </c>
      <c r="AY227" s="32">
        <v>80</v>
      </c>
      <c r="AZ227" s="32">
        <v>80</v>
      </c>
      <c r="BA227" s="32">
        <v>100</v>
      </c>
      <c r="BB227" s="23">
        <f t="shared" ca="1" si="126"/>
        <v>0.8</v>
      </c>
      <c r="BC227" s="33">
        <f t="shared" si="132"/>
        <v>81.666666666666671</v>
      </c>
      <c r="BD227" s="28">
        <f t="shared" si="127"/>
        <v>0.93877551020408168</v>
      </c>
      <c r="BE227" s="28">
        <f t="shared" si="128"/>
        <v>0.18775510204081636</v>
      </c>
      <c r="BF227" s="34">
        <f ca="1">Q227+AA227+AF227+AR227+BB227</f>
        <v>3.6000000000000005</v>
      </c>
      <c r="BG227" s="34">
        <f>AVERAGE(AV227:AZ227)</f>
        <v>78</v>
      </c>
      <c r="BH227" s="35">
        <f>T227+AD227+AI227+AU227+BE227</f>
        <v>0.71813341445364764</v>
      </c>
      <c r="BI227" s="36" t="str">
        <f ca="1">IF(K227&lt;365,"New CE",(IF(BH227&gt;=100%,"Promote",IF(BH227&gt;=90%,"Sangat Baik",IF(BH227&gt;=80%,"Baik",IF(BH227&gt;=70%,"Lebih Dari Cukup",IF(BH227&gt;=60%,"Cukup","Kurang")))))))</f>
        <v>Lebih Dari Cukup</v>
      </c>
      <c r="BJ227" s="36" t="s">
        <v>860</v>
      </c>
      <c r="BK227" s="58" t="s">
        <v>54</v>
      </c>
      <c r="BL227" s="59" t="e">
        <v>#N/A</v>
      </c>
    </row>
    <row r="228" spans="1:64" x14ac:dyDescent="0.35">
      <c r="A228" s="19">
        <v>224</v>
      </c>
      <c r="B228" s="13" t="s">
        <v>568</v>
      </c>
      <c r="C228" s="20" t="s">
        <v>569</v>
      </c>
      <c r="D228" s="76" t="s">
        <v>48</v>
      </c>
      <c r="E228" s="13" t="s">
        <v>257</v>
      </c>
      <c r="F228" s="13" t="s">
        <v>44</v>
      </c>
      <c r="G228" s="13" t="s">
        <v>51</v>
      </c>
      <c r="H228" s="65">
        <v>44746</v>
      </c>
      <c r="I228" s="21">
        <f t="shared" ca="1" si="129"/>
        <v>45974</v>
      </c>
      <c r="J228" s="13" t="str">
        <f t="shared" ca="1" si="112"/>
        <v xml:space="preserve">3 Tahun 4 Bulan 9 Hari </v>
      </c>
      <c r="K228" s="13">
        <f t="shared" ca="1" si="130"/>
        <v>1768320</v>
      </c>
      <c r="L228" s="13">
        <v>507</v>
      </c>
      <c r="M228" s="13">
        <v>10</v>
      </c>
      <c r="N228" s="13">
        <v>3304</v>
      </c>
      <c r="O228" s="22">
        <f t="shared" si="113"/>
        <v>330.4</v>
      </c>
      <c r="P228" s="13">
        <v>315</v>
      </c>
      <c r="Q228" s="23">
        <f t="shared" si="114"/>
        <v>0.8</v>
      </c>
      <c r="R228" s="24">
        <f t="shared" si="115"/>
        <v>4</v>
      </c>
      <c r="S228" s="25">
        <f t="shared" si="131"/>
        <v>0.95338983050847459</v>
      </c>
      <c r="T228" s="25">
        <f t="shared" si="116"/>
        <v>0.19067796610169493</v>
      </c>
      <c r="U228" s="26">
        <v>2707.8334273079049</v>
      </c>
      <c r="V228" s="26">
        <v>8.1655092592592599E-2</v>
      </c>
      <c r="W228" s="26">
        <v>0</v>
      </c>
      <c r="X228" s="27">
        <f t="shared" si="134"/>
        <v>0</v>
      </c>
      <c r="Y228" s="27">
        <f t="shared" si="135"/>
        <v>1</v>
      </c>
      <c r="Z228" s="27">
        <f t="shared" si="138"/>
        <v>0</v>
      </c>
      <c r="AA228" s="23">
        <f t="shared" si="133"/>
        <v>0.4</v>
      </c>
      <c r="AB228" s="24">
        <f t="shared" si="136"/>
        <v>1</v>
      </c>
      <c r="AC228" s="28">
        <f t="shared" si="117"/>
        <v>0.33333333333333331</v>
      </c>
      <c r="AD228" s="29">
        <f t="shared" si="118"/>
        <v>8.3333333333333329E-2</v>
      </c>
      <c r="AE228" s="30">
        <v>5.2954089981299024E-2</v>
      </c>
      <c r="AF228" s="23">
        <f t="shared" si="119"/>
        <v>1</v>
      </c>
      <c r="AG228" s="24">
        <f t="shared" si="137"/>
        <v>4</v>
      </c>
      <c r="AH228" s="28">
        <f t="shared" si="120"/>
        <v>0.8</v>
      </c>
      <c r="AI228" s="29">
        <f t="shared" si="121"/>
        <v>0.2</v>
      </c>
      <c r="AJ228" s="31">
        <v>1</v>
      </c>
      <c r="AK228" s="31">
        <v>1</v>
      </c>
      <c r="AL228" s="31">
        <v>1</v>
      </c>
      <c r="AM228" s="31">
        <v>0</v>
      </c>
      <c r="AN228" s="31">
        <v>0</v>
      </c>
      <c r="AO228" s="31">
        <v>0</v>
      </c>
      <c r="AP228" s="31">
        <v>0</v>
      </c>
      <c r="AQ228" s="31">
        <v>0</v>
      </c>
      <c r="AR228" s="23">
        <f t="shared" si="122"/>
        <v>0.6</v>
      </c>
      <c r="AS228" s="24">
        <f t="shared" si="123"/>
        <v>3</v>
      </c>
      <c r="AT228" s="28">
        <f t="shared" si="124"/>
        <v>0.375</v>
      </c>
      <c r="AU228" s="28">
        <f t="shared" si="125"/>
        <v>5.6249999999999994E-2</v>
      </c>
      <c r="AV228" s="32">
        <v>75</v>
      </c>
      <c r="AW228" s="32">
        <v>75</v>
      </c>
      <c r="AX228" s="32">
        <v>80</v>
      </c>
      <c r="AY228" s="32">
        <v>80</v>
      </c>
      <c r="AZ228" s="32">
        <v>80</v>
      </c>
      <c r="BA228" s="32">
        <v>100</v>
      </c>
      <c r="BB228" s="23">
        <f t="shared" si="126"/>
        <v>0.8</v>
      </c>
      <c r="BC228" s="33">
        <f t="shared" si="132"/>
        <v>81.666666666666671</v>
      </c>
      <c r="BD228" s="28">
        <f t="shared" si="127"/>
        <v>0.93877551020408168</v>
      </c>
      <c r="BE228" s="28">
        <f t="shared" si="128"/>
        <v>0.18775510204081636</v>
      </c>
      <c r="BF228" s="34">
        <f>Q228+AA228+AF228+AR228+BB228</f>
        <v>3.6000000000000005</v>
      </c>
      <c r="BG228" s="34">
        <f>AVERAGE(AV228:AZ228)</f>
        <v>78</v>
      </c>
      <c r="BH228" s="35">
        <f>T228+AD228+AI228+AU228+BE228</f>
        <v>0.71801640147584467</v>
      </c>
      <c r="BI228" s="36" t="s">
        <v>859</v>
      </c>
      <c r="BJ228" s="36" t="s">
        <v>859</v>
      </c>
      <c r="BK228" s="58" t="s">
        <v>48</v>
      </c>
      <c r="BL228" s="59" t="e">
        <v>#N/A</v>
      </c>
    </row>
    <row r="229" spans="1:64" x14ac:dyDescent="0.35">
      <c r="A229" s="19">
        <v>225</v>
      </c>
      <c r="B229" s="13" t="s">
        <v>570</v>
      </c>
      <c r="C229" s="20" t="s">
        <v>571</v>
      </c>
      <c r="D229" s="76" t="s">
        <v>48</v>
      </c>
      <c r="E229" s="13" t="s">
        <v>89</v>
      </c>
      <c r="F229" s="13" t="s">
        <v>74</v>
      </c>
      <c r="G229" s="13" t="s">
        <v>51</v>
      </c>
      <c r="H229" s="65">
        <v>44746</v>
      </c>
      <c r="I229" s="21">
        <f t="shared" ca="1" si="129"/>
        <v>45974</v>
      </c>
      <c r="J229" s="13" t="str">
        <f t="shared" ca="1" si="112"/>
        <v xml:space="preserve">3 Tahun 4 Bulan 9 Hari </v>
      </c>
      <c r="K229" s="13">
        <f t="shared" ca="1" si="130"/>
        <v>1768320</v>
      </c>
      <c r="L229" s="13">
        <v>448</v>
      </c>
      <c r="M229" s="13">
        <v>7</v>
      </c>
      <c r="N229" s="13">
        <v>2614</v>
      </c>
      <c r="O229" s="22">
        <f t="shared" si="113"/>
        <v>373.42857142857144</v>
      </c>
      <c r="P229" s="13">
        <v>356</v>
      </c>
      <c r="Q229" s="23">
        <f t="shared" si="114"/>
        <v>0.8</v>
      </c>
      <c r="R229" s="24">
        <f t="shared" si="115"/>
        <v>4</v>
      </c>
      <c r="S229" s="25">
        <f t="shared" si="131"/>
        <v>0.95332823259372601</v>
      </c>
      <c r="T229" s="25">
        <f t="shared" si="116"/>
        <v>0.19066564651874521</v>
      </c>
      <c r="U229" s="26">
        <v>6155.9339026208399</v>
      </c>
      <c r="V229" s="26">
        <v>0</v>
      </c>
      <c r="W229" s="26">
        <v>0.11083333333333333</v>
      </c>
      <c r="X229" s="27">
        <f t="shared" si="134"/>
        <v>0</v>
      </c>
      <c r="Y229" s="27">
        <f t="shared" si="135"/>
        <v>0</v>
      </c>
      <c r="Z229" s="27">
        <f t="shared" si="138"/>
        <v>1</v>
      </c>
      <c r="AA229" s="23">
        <f t="shared" si="133"/>
        <v>0.4</v>
      </c>
      <c r="AB229" s="24">
        <f t="shared" si="136"/>
        <v>1</v>
      </c>
      <c r="AC229" s="28">
        <f t="shared" si="117"/>
        <v>0.33333333333333331</v>
      </c>
      <c r="AD229" s="29">
        <f t="shared" si="118"/>
        <v>8.3333333333333329E-2</v>
      </c>
      <c r="AE229" s="30">
        <v>6.5538898687046848E-2</v>
      </c>
      <c r="AF229" s="23">
        <f t="shared" si="119"/>
        <v>1</v>
      </c>
      <c r="AG229" s="24">
        <f t="shared" si="137"/>
        <v>4</v>
      </c>
      <c r="AH229" s="28">
        <f t="shared" si="120"/>
        <v>0.8</v>
      </c>
      <c r="AI229" s="29">
        <f t="shared" si="121"/>
        <v>0.2</v>
      </c>
      <c r="AJ229" s="31">
        <v>1</v>
      </c>
      <c r="AK229" s="31">
        <v>1</v>
      </c>
      <c r="AL229" s="31">
        <v>1</v>
      </c>
      <c r="AM229" s="31">
        <v>0</v>
      </c>
      <c r="AN229" s="31">
        <v>0</v>
      </c>
      <c r="AO229" s="31">
        <v>0</v>
      </c>
      <c r="AP229" s="31">
        <v>0</v>
      </c>
      <c r="AQ229" s="31">
        <v>0</v>
      </c>
      <c r="AR229" s="23">
        <f t="shared" si="122"/>
        <v>0.6</v>
      </c>
      <c r="AS229" s="24">
        <f t="shared" si="123"/>
        <v>3</v>
      </c>
      <c r="AT229" s="28">
        <f t="shared" si="124"/>
        <v>0.375</v>
      </c>
      <c r="AU229" s="28">
        <f t="shared" si="125"/>
        <v>5.6249999999999994E-2</v>
      </c>
      <c r="AV229" s="32">
        <v>75</v>
      </c>
      <c r="AW229" s="32">
        <v>75</v>
      </c>
      <c r="AX229" s="32">
        <v>80</v>
      </c>
      <c r="AY229" s="32">
        <v>80</v>
      </c>
      <c r="AZ229" s="32">
        <v>80</v>
      </c>
      <c r="BA229" s="32">
        <v>100</v>
      </c>
      <c r="BB229" s="23">
        <f t="shared" ca="1" si="126"/>
        <v>0.8</v>
      </c>
      <c r="BC229" s="33">
        <f t="shared" si="132"/>
        <v>81.666666666666671</v>
      </c>
      <c r="BD229" s="28">
        <f t="shared" si="127"/>
        <v>0.93877551020408168</v>
      </c>
      <c r="BE229" s="28">
        <f t="shared" si="128"/>
        <v>0.18775510204081636</v>
      </c>
      <c r="BF229" s="34">
        <f ca="1">Q229+AA229+AF229+AR229+BB229</f>
        <v>3.6000000000000005</v>
      </c>
      <c r="BG229" s="34">
        <f>AVERAGE(AV229:AZ229)</f>
        <v>78</v>
      </c>
      <c r="BH229" s="35">
        <f>T229+AD229+AI229+AU229+BE229</f>
        <v>0.71800408189289489</v>
      </c>
      <c r="BI229" s="36" t="str">
        <f ca="1">IF(K229&lt;365,"New CE",(IF(BH229&gt;=100%,"Promote",IF(BH229&gt;=90%,"Sangat Baik",IF(BH229&gt;=80%,"Baik",IF(BH229&gt;=70%,"Lebih Dari Cukup",IF(BH229&gt;=60%,"Cukup","Kurang")))))))</f>
        <v>Lebih Dari Cukup</v>
      </c>
      <c r="BJ229" s="36" t="s">
        <v>860</v>
      </c>
      <c r="BK229" s="58" t="s">
        <v>48</v>
      </c>
      <c r="BL229" s="59" t="str">
        <v>Rizaldi</v>
      </c>
    </row>
    <row r="230" spans="1:64" x14ac:dyDescent="0.35">
      <c r="A230" s="19">
        <v>226</v>
      </c>
      <c r="B230" s="13" t="s">
        <v>572</v>
      </c>
      <c r="C230" s="20" t="s">
        <v>573</v>
      </c>
      <c r="D230" s="76" t="s">
        <v>48</v>
      </c>
      <c r="E230" s="13" t="s">
        <v>141</v>
      </c>
      <c r="F230" s="13" t="s">
        <v>44</v>
      </c>
      <c r="G230" s="13" t="s">
        <v>51</v>
      </c>
      <c r="H230" s="65">
        <v>44621</v>
      </c>
      <c r="I230" s="21">
        <f t="shared" ca="1" si="129"/>
        <v>45974</v>
      </c>
      <c r="J230" s="13" t="str">
        <f t="shared" ca="1" si="112"/>
        <v xml:space="preserve">3 Tahun 8 Bulan 12 Hari </v>
      </c>
      <c r="K230" s="13">
        <f t="shared" ca="1" si="130"/>
        <v>1948320</v>
      </c>
      <c r="L230" s="13">
        <v>358</v>
      </c>
      <c r="M230" s="13">
        <v>7</v>
      </c>
      <c r="N230" s="13">
        <v>2648</v>
      </c>
      <c r="O230" s="22">
        <f t="shared" si="113"/>
        <v>378.28571428571428</v>
      </c>
      <c r="P230" s="13">
        <v>358</v>
      </c>
      <c r="Q230" s="23">
        <f t="shared" si="114"/>
        <v>0.8</v>
      </c>
      <c r="R230" s="24">
        <f t="shared" si="115"/>
        <v>4</v>
      </c>
      <c r="S230" s="25">
        <f t="shared" si="131"/>
        <v>0.9463746223564955</v>
      </c>
      <c r="T230" s="25">
        <f t="shared" si="116"/>
        <v>0.18927492447129912</v>
      </c>
      <c r="U230" s="26">
        <v>2933.9260173984467</v>
      </c>
      <c r="V230" s="26">
        <v>22682.225358796299</v>
      </c>
      <c r="W230" s="26">
        <v>5.226851851851852E-2</v>
      </c>
      <c r="X230" s="27">
        <f t="shared" si="134"/>
        <v>0</v>
      </c>
      <c r="Y230" s="27">
        <f t="shared" si="135"/>
        <v>0</v>
      </c>
      <c r="Z230" s="27">
        <f t="shared" si="138"/>
        <v>1</v>
      </c>
      <c r="AA230" s="23">
        <f t="shared" si="133"/>
        <v>0.4</v>
      </c>
      <c r="AB230" s="24">
        <f t="shared" si="136"/>
        <v>1</v>
      </c>
      <c r="AC230" s="28">
        <f t="shared" si="117"/>
        <v>0.33333333333333331</v>
      </c>
      <c r="AD230" s="29">
        <f t="shared" si="118"/>
        <v>8.3333333333333329E-2</v>
      </c>
      <c r="AE230" s="30">
        <v>6.0551601516675053E-2</v>
      </c>
      <c r="AF230" s="23">
        <f t="shared" si="119"/>
        <v>1</v>
      </c>
      <c r="AG230" s="24">
        <f t="shared" si="137"/>
        <v>4</v>
      </c>
      <c r="AH230" s="28">
        <f t="shared" si="120"/>
        <v>0.8</v>
      </c>
      <c r="AI230" s="29">
        <f t="shared" si="121"/>
        <v>0.2</v>
      </c>
      <c r="AJ230" s="31">
        <v>1</v>
      </c>
      <c r="AK230" s="31">
        <v>1</v>
      </c>
      <c r="AL230" s="31">
        <v>0</v>
      </c>
      <c r="AM230" s="31">
        <v>0</v>
      </c>
      <c r="AN230" s="31">
        <v>0</v>
      </c>
      <c r="AO230" s="31">
        <v>0</v>
      </c>
      <c r="AP230" s="31">
        <v>0</v>
      </c>
      <c r="AQ230" s="31">
        <v>1</v>
      </c>
      <c r="AR230" s="23">
        <f t="shared" si="122"/>
        <v>0.6</v>
      </c>
      <c r="AS230" s="24">
        <f t="shared" si="123"/>
        <v>3</v>
      </c>
      <c r="AT230" s="28">
        <f t="shared" si="124"/>
        <v>0.375</v>
      </c>
      <c r="AU230" s="28">
        <f t="shared" si="125"/>
        <v>5.6249999999999994E-2</v>
      </c>
      <c r="AV230" s="32">
        <v>75</v>
      </c>
      <c r="AW230" s="32">
        <v>75</v>
      </c>
      <c r="AX230" s="32">
        <v>80</v>
      </c>
      <c r="AY230" s="32">
        <v>75</v>
      </c>
      <c r="AZ230" s="32">
        <v>75</v>
      </c>
      <c r="BA230" s="32">
        <v>100</v>
      </c>
      <c r="BB230" s="23">
        <f t="shared" ca="1" si="126"/>
        <v>0.8</v>
      </c>
      <c r="BC230" s="33">
        <f t="shared" si="132"/>
        <v>80</v>
      </c>
      <c r="BD230" s="28">
        <f t="shared" si="127"/>
        <v>0.9375</v>
      </c>
      <c r="BE230" s="28">
        <f t="shared" si="128"/>
        <v>0.1875</v>
      </c>
      <c r="BF230" s="34">
        <f ca="1">Q230+AA230+AF230+AR230+BB230</f>
        <v>3.6000000000000005</v>
      </c>
      <c r="BG230" s="34">
        <f>AVERAGE(AV230:AZ230)</f>
        <v>76</v>
      </c>
      <c r="BH230" s="35">
        <f>T230+AD230+AI230+AU230+BE230</f>
        <v>0.71635825780463247</v>
      </c>
      <c r="BI230" s="36" t="str">
        <f ca="1">IF(K230&lt;365,"New CE",(IF(BH230&gt;=100%,"Promote",IF(BH230&gt;=90%,"Sangat Baik",IF(BH230&gt;=80%,"Baik",IF(BH230&gt;=70%,"Lebih Dari Cukup",IF(BH230&gt;=60%,"Cukup","Kurang")))))))</f>
        <v>Lebih Dari Cukup</v>
      </c>
      <c r="BJ230" s="36" t="s">
        <v>860</v>
      </c>
      <c r="BK230" s="58" t="s">
        <v>48</v>
      </c>
      <c r="BL230" s="59" t="e">
        <v>#N/A</v>
      </c>
    </row>
    <row r="231" spans="1:64" x14ac:dyDescent="0.35">
      <c r="A231" s="19">
        <v>227</v>
      </c>
      <c r="B231" s="13" t="s">
        <v>574</v>
      </c>
      <c r="C231" s="20" t="s">
        <v>575</v>
      </c>
      <c r="D231" s="76" t="s">
        <v>48</v>
      </c>
      <c r="E231" s="13" t="s">
        <v>67</v>
      </c>
      <c r="F231" s="13" t="s">
        <v>44</v>
      </c>
      <c r="G231" s="13" t="s">
        <v>51</v>
      </c>
      <c r="H231" s="65">
        <v>44466</v>
      </c>
      <c r="I231" s="21">
        <f t="shared" ca="1" si="129"/>
        <v>45974</v>
      </c>
      <c r="J231" s="13" t="str">
        <f t="shared" ca="1" si="112"/>
        <v xml:space="preserve">4 Tahun 1 Bulan 17 Hari </v>
      </c>
      <c r="K231" s="13">
        <f t="shared" ca="1" si="130"/>
        <v>2171520</v>
      </c>
      <c r="L231" s="13">
        <v>625</v>
      </c>
      <c r="M231" s="13">
        <v>10</v>
      </c>
      <c r="N231" s="13">
        <v>4149</v>
      </c>
      <c r="O231" s="22">
        <f t="shared" si="113"/>
        <v>414.9</v>
      </c>
      <c r="P231" s="13">
        <v>288</v>
      </c>
      <c r="Q231" s="23">
        <f t="shared" si="114"/>
        <v>0.6</v>
      </c>
      <c r="R231" s="24">
        <f t="shared" si="115"/>
        <v>3</v>
      </c>
      <c r="S231" s="25">
        <f t="shared" si="131"/>
        <v>0.69414316702819956</v>
      </c>
      <c r="T231" s="25">
        <f t="shared" si="116"/>
        <v>0.13882863340563992</v>
      </c>
      <c r="U231" s="26">
        <v>1.2636959876543209E-2</v>
      </c>
      <c r="V231" s="26">
        <v>1260.9576070601852</v>
      </c>
      <c r="W231" s="26">
        <v>0</v>
      </c>
      <c r="X231" s="27">
        <f t="shared" si="134"/>
        <v>1</v>
      </c>
      <c r="Y231" s="27">
        <f t="shared" si="135"/>
        <v>0</v>
      </c>
      <c r="Z231" s="27">
        <f t="shared" si="138"/>
        <v>0</v>
      </c>
      <c r="AA231" s="23">
        <f t="shared" si="133"/>
        <v>0.4</v>
      </c>
      <c r="AB231" s="24">
        <f t="shared" si="136"/>
        <v>1</v>
      </c>
      <c r="AC231" s="28">
        <f t="shared" si="117"/>
        <v>0.33333333333333331</v>
      </c>
      <c r="AD231" s="29">
        <f t="shared" si="118"/>
        <v>8.3333333333333329E-2</v>
      </c>
      <c r="AE231" s="30">
        <v>3.1055759803921563E-2</v>
      </c>
      <c r="AF231" s="23">
        <f t="shared" si="119"/>
        <v>1.25</v>
      </c>
      <c r="AG231" s="24">
        <f t="shared" si="137"/>
        <v>5</v>
      </c>
      <c r="AH231" s="28">
        <f t="shared" si="120"/>
        <v>1</v>
      </c>
      <c r="AI231" s="29">
        <f t="shared" si="121"/>
        <v>0.25</v>
      </c>
      <c r="AJ231" s="31">
        <v>1</v>
      </c>
      <c r="AK231" s="31">
        <v>1</v>
      </c>
      <c r="AL231" s="31">
        <v>1</v>
      </c>
      <c r="AM231" s="31">
        <v>0</v>
      </c>
      <c r="AN231" s="31">
        <v>0</v>
      </c>
      <c r="AO231" s="31">
        <v>0</v>
      </c>
      <c r="AP231" s="31">
        <v>0</v>
      </c>
      <c r="AQ231" s="31">
        <v>0</v>
      </c>
      <c r="AR231" s="23">
        <f t="shared" si="122"/>
        <v>0.6</v>
      </c>
      <c r="AS231" s="24">
        <f t="shared" si="123"/>
        <v>3</v>
      </c>
      <c r="AT231" s="28">
        <f t="shared" si="124"/>
        <v>0.375</v>
      </c>
      <c r="AU231" s="28">
        <f t="shared" si="125"/>
        <v>5.6249999999999994E-2</v>
      </c>
      <c r="AV231" s="32">
        <v>75</v>
      </c>
      <c r="AW231" s="32">
        <v>75</v>
      </c>
      <c r="AX231" s="32">
        <v>80</v>
      </c>
      <c r="AY231" s="32">
        <v>80</v>
      </c>
      <c r="AZ231" s="32">
        <v>80</v>
      </c>
      <c r="BA231" s="32">
        <v>100</v>
      </c>
      <c r="BB231" s="23">
        <f t="shared" ca="1" si="126"/>
        <v>0.8</v>
      </c>
      <c r="BC231" s="33">
        <f t="shared" si="132"/>
        <v>81.666666666666671</v>
      </c>
      <c r="BD231" s="28">
        <f t="shared" si="127"/>
        <v>0.93877551020408168</v>
      </c>
      <c r="BE231" s="28">
        <f t="shared" si="128"/>
        <v>0.18775510204081636</v>
      </c>
      <c r="BF231" s="34">
        <f ca="1">Q231+AA231+AF231+AR231+BB231</f>
        <v>3.6500000000000004</v>
      </c>
      <c r="BG231" s="34">
        <f>AVERAGE(AV231:AZ231)</f>
        <v>78</v>
      </c>
      <c r="BH231" s="35">
        <f>T231+AD231+AI231+AU231+BE231</f>
        <v>0.71616706877978964</v>
      </c>
      <c r="BI231" s="36" t="str">
        <f ca="1">IF(K231&lt;365,"New CE",(IF(BH231&gt;=100%,"Promote",IF(BH231&gt;=90%,"Sangat Baik",IF(BH231&gt;=80%,"Baik",IF(BH231&gt;=70%,"Lebih Dari Cukup",IF(BH231&gt;=60%,"Cukup","Kurang")))))))</f>
        <v>Lebih Dari Cukup</v>
      </c>
      <c r="BJ231" s="36" t="s">
        <v>860</v>
      </c>
      <c r="BK231" s="58" t="s">
        <v>48</v>
      </c>
      <c r="BL231" s="59" t="e">
        <v>#N/A</v>
      </c>
    </row>
    <row r="232" spans="1:64" x14ac:dyDescent="0.35">
      <c r="A232" s="19">
        <v>228</v>
      </c>
      <c r="B232" s="13" t="s">
        <v>576</v>
      </c>
      <c r="C232" s="20" t="s">
        <v>577</v>
      </c>
      <c r="D232" s="76" t="s">
        <v>54</v>
      </c>
      <c r="E232" s="13" t="s">
        <v>98</v>
      </c>
      <c r="F232" s="13" t="s">
        <v>50</v>
      </c>
      <c r="G232" s="13" t="s">
        <v>61</v>
      </c>
      <c r="H232" s="65">
        <v>45075</v>
      </c>
      <c r="I232" s="21">
        <f t="shared" ca="1" si="129"/>
        <v>45974</v>
      </c>
      <c r="J232" s="13" t="str">
        <f t="shared" ca="1" si="112"/>
        <v xml:space="preserve">2 Tahun 5 Bulan 15 Hari </v>
      </c>
      <c r="K232" s="13">
        <f t="shared" ca="1" si="130"/>
        <v>1294560</v>
      </c>
      <c r="L232" s="13">
        <v>1040</v>
      </c>
      <c r="M232" s="13">
        <v>17</v>
      </c>
      <c r="N232" s="13">
        <v>7455</v>
      </c>
      <c r="O232" s="22">
        <f t="shared" si="113"/>
        <v>438.52941176470586</v>
      </c>
      <c r="P232" s="13">
        <v>470</v>
      </c>
      <c r="Q232" s="23">
        <f t="shared" si="114"/>
        <v>1</v>
      </c>
      <c r="R232" s="24">
        <f t="shared" si="115"/>
        <v>5</v>
      </c>
      <c r="S232" s="25">
        <f t="shared" si="131"/>
        <v>1.0717639168343394</v>
      </c>
      <c r="T232" s="25">
        <f t="shared" si="116"/>
        <v>0.21435278336686789</v>
      </c>
      <c r="U232" s="26">
        <v>2650.3747678443005</v>
      </c>
      <c r="V232" s="26">
        <v>0</v>
      </c>
      <c r="W232" s="26">
        <v>0</v>
      </c>
      <c r="X232" s="27">
        <f t="shared" si="134"/>
        <v>0</v>
      </c>
      <c r="Y232" s="27">
        <f t="shared" si="135"/>
        <v>0</v>
      </c>
      <c r="Z232" s="27">
        <f t="shared" si="138"/>
        <v>0</v>
      </c>
      <c r="AA232" s="23">
        <f t="shared" si="133"/>
        <v>0</v>
      </c>
      <c r="AB232" s="24">
        <f t="shared" si="136"/>
        <v>0</v>
      </c>
      <c r="AC232" s="28">
        <f t="shared" si="117"/>
        <v>0</v>
      </c>
      <c r="AD232" s="29">
        <f t="shared" si="118"/>
        <v>0</v>
      </c>
      <c r="AE232" s="30">
        <v>6.1843976789289282E-2</v>
      </c>
      <c r="AF232" s="23">
        <f t="shared" si="119"/>
        <v>1</v>
      </c>
      <c r="AG232" s="24">
        <f t="shared" si="137"/>
        <v>4</v>
      </c>
      <c r="AH232" s="28">
        <f t="shared" si="120"/>
        <v>0.8</v>
      </c>
      <c r="AI232" s="29">
        <f t="shared" si="121"/>
        <v>0.2</v>
      </c>
      <c r="AJ232" s="31">
        <v>1</v>
      </c>
      <c r="AK232" s="31">
        <v>1</v>
      </c>
      <c r="AL232" s="31">
        <v>1</v>
      </c>
      <c r="AM232" s="31">
        <v>0</v>
      </c>
      <c r="AN232" s="31">
        <v>1</v>
      </c>
      <c r="AO232" s="31">
        <v>1</v>
      </c>
      <c r="AP232" s="31">
        <v>0</v>
      </c>
      <c r="AQ232" s="31">
        <v>1</v>
      </c>
      <c r="AR232" s="23">
        <f t="shared" si="122"/>
        <v>1</v>
      </c>
      <c r="AS232" s="24">
        <f t="shared" si="123"/>
        <v>6</v>
      </c>
      <c r="AT232" s="28">
        <f t="shared" si="124"/>
        <v>0.75</v>
      </c>
      <c r="AU232" s="28">
        <f t="shared" si="125"/>
        <v>0.11249999999999999</v>
      </c>
      <c r="AV232" s="32">
        <v>75</v>
      </c>
      <c r="AW232" s="32">
        <v>75</v>
      </c>
      <c r="AX232" s="32">
        <v>90</v>
      </c>
      <c r="AY232" s="32">
        <v>85</v>
      </c>
      <c r="AZ232" s="32">
        <v>80</v>
      </c>
      <c r="BA232" s="32">
        <v>100</v>
      </c>
      <c r="BB232" s="23">
        <f t="shared" ca="1" si="126"/>
        <v>0.8</v>
      </c>
      <c r="BC232" s="33">
        <f t="shared" si="132"/>
        <v>84.166666666666671</v>
      </c>
      <c r="BD232" s="28">
        <f t="shared" si="127"/>
        <v>0.94059405940594054</v>
      </c>
      <c r="BE232" s="28">
        <f t="shared" si="128"/>
        <v>0.18811881188118812</v>
      </c>
      <c r="BF232" s="34">
        <f ca="1">Q232+AA232+AF232+AR232+BB232</f>
        <v>3.8</v>
      </c>
      <c r="BG232" s="34">
        <f>AVERAGE(AV232:AZ232)</f>
        <v>81</v>
      </c>
      <c r="BH232" s="35">
        <f>T232+AD232+AI232+AU232+BE232</f>
        <v>0.71497159524805598</v>
      </c>
      <c r="BI232" s="36" t="str">
        <f ca="1">IF(K232&lt;365,"New CE",(IF(BH232&gt;=100%,"Promote",IF(BH232&gt;=90%,"Sangat Baik",IF(BH232&gt;=80%,"Baik",IF(BH232&gt;=70%,"Lebih Dari Cukup",IF(BH232&gt;=60%,"Cukup","Kurang")))))))</f>
        <v>Lebih Dari Cukup</v>
      </c>
      <c r="BJ232" s="36" t="s">
        <v>860</v>
      </c>
      <c r="BK232" s="58" t="s">
        <v>54</v>
      </c>
      <c r="BL232" s="59" t="e">
        <v>#N/A</v>
      </c>
    </row>
    <row r="233" spans="1:64" x14ac:dyDescent="0.35">
      <c r="A233" s="19">
        <v>229</v>
      </c>
      <c r="B233" s="13" t="s">
        <v>578</v>
      </c>
      <c r="C233" s="20" t="s">
        <v>579</v>
      </c>
      <c r="D233" s="76" t="s">
        <v>42</v>
      </c>
      <c r="E233" s="13" t="s">
        <v>580</v>
      </c>
      <c r="F233" s="13" t="s">
        <v>50</v>
      </c>
      <c r="G233" s="13" t="s">
        <v>51</v>
      </c>
      <c r="H233" s="65">
        <v>44621</v>
      </c>
      <c r="I233" s="21">
        <f t="shared" ca="1" si="129"/>
        <v>45974</v>
      </c>
      <c r="J233" s="13" t="str">
        <f t="shared" ca="1" si="112"/>
        <v xml:space="preserve">3 Tahun 8 Bulan 12 Hari </v>
      </c>
      <c r="K233" s="13">
        <f t="shared" ca="1" si="130"/>
        <v>1948320</v>
      </c>
      <c r="L233" s="13">
        <v>194</v>
      </c>
      <c r="M233" s="13">
        <v>2</v>
      </c>
      <c r="N233" s="13">
        <v>1461</v>
      </c>
      <c r="O233" s="22">
        <f t="shared" si="113"/>
        <v>730.5</v>
      </c>
      <c r="P233" s="13">
        <v>463</v>
      </c>
      <c r="Q233" s="23">
        <f t="shared" si="114"/>
        <v>0.6</v>
      </c>
      <c r="R233" s="24">
        <f t="shared" si="115"/>
        <v>3</v>
      </c>
      <c r="S233" s="25">
        <f t="shared" si="131"/>
        <v>0.63381245722108148</v>
      </c>
      <c r="T233" s="25">
        <f t="shared" si="116"/>
        <v>0.12676249144421631</v>
      </c>
      <c r="U233" s="26">
        <v>12613.150640689304</v>
      </c>
      <c r="V233" s="26">
        <v>0</v>
      </c>
      <c r="W233" s="26">
        <v>0</v>
      </c>
      <c r="X233" s="27">
        <f t="shared" si="134"/>
        <v>0</v>
      </c>
      <c r="Y233" s="27">
        <f t="shared" si="135"/>
        <v>0</v>
      </c>
      <c r="Z233" s="27">
        <f t="shared" si="138"/>
        <v>0</v>
      </c>
      <c r="AA233" s="23">
        <f t="shared" si="133"/>
        <v>0</v>
      </c>
      <c r="AB233" s="24">
        <f t="shared" si="136"/>
        <v>0</v>
      </c>
      <c r="AC233" s="28">
        <f t="shared" si="117"/>
        <v>0</v>
      </c>
      <c r="AD233" s="29">
        <f t="shared" si="118"/>
        <v>0</v>
      </c>
      <c r="AE233" s="30">
        <v>3.2730373855037839E-2</v>
      </c>
      <c r="AF233" s="23">
        <f t="shared" si="119"/>
        <v>1.25</v>
      </c>
      <c r="AG233" s="24">
        <f t="shared" si="137"/>
        <v>5</v>
      </c>
      <c r="AH233" s="28">
        <f t="shared" si="120"/>
        <v>1</v>
      </c>
      <c r="AI233" s="29">
        <f t="shared" si="121"/>
        <v>0.25</v>
      </c>
      <c r="AJ233" s="31">
        <v>1</v>
      </c>
      <c r="AK233" s="31">
        <v>1</v>
      </c>
      <c r="AL233" s="31">
        <v>1</v>
      </c>
      <c r="AM233" s="31">
        <v>1</v>
      </c>
      <c r="AN233" s="31">
        <v>1</v>
      </c>
      <c r="AO233" s="31">
        <v>1</v>
      </c>
      <c r="AP233" s="31">
        <v>1</v>
      </c>
      <c r="AQ233" s="31">
        <v>1</v>
      </c>
      <c r="AR233" s="23">
        <f t="shared" si="122"/>
        <v>1</v>
      </c>
      <c r="AS233" s="24">
        <f t="shared" si="123"/>
        <v>8</v>
      </c>
      <c r="AT233" s="28">
        <f t="shared" si="124"/>
        <v>1</v>
      </c>
      <c r="AU233" s="28">
        <f t="shared" si="125"/>
        <v>0.15</v>
      </c>
      <c r="AV233" s="32">
        <v>75</v>
      </c>
      <c r="AW233" s="32">
        <v>75</v>
      </c>
      <c r="AX233" s="32">
        <v>90</v>
      </c>
      <c r="AY233" s="32">
        <v>90</v>
      </c>
      <c r="AZ233" s="32">
        <v>90</v>
      </c>
      <c r="BA233" s="32">
        <v>100</v>
      </c>
      <c r="BB233" s="23">
        <f t="shared" ca="1" si="126"/>
        <v>0.8</v>
      </c>
      <c r="BC233" s="33">
        <f t="shared" si="132"/>
        <v>86.666666666666671</v>
      </c>
      <c r="BD233" s="28">
        <f t="shared" si="127"/>
        <v>0.94230769230769229</v>
      </c>
      <c r="BE233" s="28">
        <f t="shared" si="128"/>
        <v>0.18846153846153846</v>
      </c>
      <c r="BF233" s="34">
        <f ca="1">Q233+AA233+AF233+AR233+BB233</f>
        <v>3.6500000000000004</v>
      </c>
      <c r="BG233" s="34">
        <f>AVERAGE(AV233:AZ233)</f>
        <v>84</v>
      </c>
      <c r="BH233" s="35">
        <f>T233+AD233+AI233+AU233+BE233</f>
        <v>0.71522402990575473</v>
      </c>
      <c r="BI233" s="36" t="str">
        <f ca="1">IF(K233&lt;365,"New CE",(IF(BH233&gt;=100%,"Promote",IF(BH233&gt;=90%,"Sangat Baik",IF(BH233&gt;=80%,"Baik",IF(BH233&gt;=70%,"Lebih Dari Cukup",IF(BH233&gt;=60%,"Cukup","Kurang")))))))</f>
        <v>Lebih Dari Cukup</v>
      </c>
      <c r="BJ233" s="36" t="s">
        <v>860</v>
      </c>
      <c r="BK233" s="58" t="s">
        <v>42</v>
      </c>
      <c r="BL233" s="59" t="e">
        <v>#N/A</v>
      </c>
    </row>
    <row r="234" spans="1:64" x14ac:dyDescent="0.35">
      <c r="A234" s="19">
        <v>230</v>
      </c>
      <c r="B234" s="13" t="s">
        <v>581</v>
      </c>
      <c r="C234" s="20" t="s">
        <v>582</v>
      </c>
      <c r="D234" s="76" t="s">
        <v>48</v>
      </c>
      <c r="E234" s="13" t="s">
        <v>117</v>
      </c>
      <c r="F234" s="13" t="s">
        <v>74</v>
      </c>
      <c r="G234" s="13" t="s">
        <v>55</v>
      </c>
      <c r="H234" s="65">
        <v>44172</v>
      </c>
      <c r="I234" s="21">
        <f t="shared" ca="1" si="129"/>
        <v>45974</v>
      </c>
      <c r="J234" s="13" t="str">
        <f t="shared" ca="1" si="112"/>
        <v xml:space="preserve">4 Tahun 11 Bulan 6 Hari </v>
      </c>
      <c r="K234" s="13">
        <f t="shared" ca="1" si="130"/>
        <v>2594880</v>
      </c>
      <c r="L234" s="13">
        <v>401</v>
      </c>
      <c r="M234" s="13">
        <v>7</v>
      </c>
      <c r="N234" s="13">
        <v>2754</v>
      </c>
      <c r="O234" s="22">
        <f t="shared" si="113"/>
        <v>393.42857142857144</v>
      </c>
      <c r="P234" s="13">
        <v>302</v>
      </c>
      <c r="Q234" s="23">
        <f t="shared" si="114"/>
        <v>0.6</v>
      </c>
      <c r="R234" s="24">
        <f t="shared" si="115"/>
        <v>3</v>
      </c>
      <c r="S234" s="25">
        <f t="shared" si="131"/>
        <v>0.76761074800290485</v>
      </c>
      <c r="T234" s="25">
        <f t="shared" si="116"/>
        <v>0.15352214960058097</v>
      </c>
      <c r="U234" s="26">
        <v>12608.325884452159</v>
      </c>
      <c r="V234" s="26">
        <v>2.3881172839506169E-2</v>
      </c>
      <c r="W234" s="26">
        <v>19449.241188822751</v>
      </c>
      <c r="X234" s="27">
        <f t="shared" si="134"/>
        <v>0</v>
      </c>
      <c r="Y234" s="27">
        <f t="shared" si="135"/>
        <v>1</v>
      </c>
      <c r="Z234" s="27">
        <f t="shared" si="138"/>
        <v>1</v>
      </c>
      <c r="AA234" s="23">
        <f t="shared" si="133"/>
        <v>0.8</v>
      </c>
      <c r="AB234" s="24">
        <f t="shared" si="136"/>
        <v>2</v>
      </c>
      <c r="AC234" s="28">
        <f t="shared" si="117"/>
        <v>0.66666666666666663</v>
      </c>
      <c r="AD234" s="29">
        <f t="shared" si="118"/>
        <v>0.16666666666666666</v>
      </c>
      <c r="AE234" s="30">
        <v>8.4378554894179891E-2</v>
      </c>
      <c r="AF234" s="23">
        <f t="shared" si="119"/>
        <v>0.75</v>
      </c>
      <c r="AG234" s="24">
        <f t="shared" si="137"/>
        <v>3</v>
      </c>
      <c r="AH234" s="28">
        <f t="shared" si="120"/>
        <v>0.6</v>
      </c>
      <c r="AI234" s="29">
        <f t="shared" si="121"/>
        <v>0.15</v>
      </c>
      <c r="AJ234" s="31">
        <v>1</v>
      </c>
      <c r="AK234" s="31">
        <v>1</v>
      </c>
      <c r="AL234" s="31">
        <v>1</v>
      </c>
      <c r="AM234" s="31">
        <v>0</v>
      </c>
      <c r="AN234" s="31">
        <v>0</v>
      </c>
      <c r="AO234" s="31">
        <v>0</v>
      </c>
      <c r="AP234" s="31">
        <v>0</v>
      </c>
      <c r="AQ234" s="31">
        <v>0</v>
      </c>
      <c r="AR234" s="23">
        <f t="shared" si="122"/>
        <v>0.6</v>
      </c>
      <c r="AS234" s="24">
        <f t="shared" si="123"/>
        <v>3</v>
      </c>
      <c r="AT234" s="28">
        <f t="shared" si="124"/>
        <v>0.375</v>
      </c>
      <c r="AU234" s="28">
        <f t="shared" si="125"/>
        <v>5.6249999999999994E-2</v>
      </c>
      <c r="AV234" s="32">
        <v>75</v>
      </c>
      <c r="AW234" s="32">
        <v>75</v>
      </c>
      <c r="AX234" s="32">
        <v>80</v>
      </c>
      <c r="AY234" s="32">
        <v>75</v>
      </c>
      <c r="AZ234" s="32">
        <v>80</v>
      </c>
      <c r="BA234" s="32">
        <v>100</v>
      </c>
      <c r="BB234" s="23">
        <f t="shared" ca="1" si="126"/>
        <v>0.8</v>
      </c>
      <c r="BC234" s="33">
        <f t="shared" si="132"/>
        <v>80.833333333333329</v>
      </c>
      <c r="BD234" s="28">
        <f t="shared" si="127"/>
        <v>0.93814432989690721</v>
      </c>
      <c r="BE234" s="28">
        <f t="shared" si="128"/>
        <v>0.18762886597938144</v>
      </c>
      <c r="BF234" s="34">
        <f ca="1">Q234+AA234+AF234+AR234+BB234</f>
        <v>3.55</v>
      </c>
      <c r="BG234" s="34">
        <f>AVERAGE(AV234:AZ234)</f>
        <v>77</v>
      </c>
      <c r="BH234" s="35">
        <f>T234+AD234+AI234+AU234+BE234</f>
        <v>0.71406768224662909</v>
      </c>
      <c r="BI234" s="36" t="str">
        <f ca="1">IF(K234&lt;365,"New CE",(IF(BH234&gt;=100%,"Promote",IF(BH234&gt;=90%,"Sangat Baik",IF(BH234&gt;=80%,"Baik",IF(BH234&gt;=70%,"Lebih Dari Cukup",IF(BH234&gt;=60%,"Cukup","Kurang")))))))</f>
        <v>Lebih Dari Cukup</v>
      </c>
      <c r="BJ234" s="36" t="s">
        <v>860</v>
      </c>
      <c r="BK234" s="58" t="s">
        <v>48</v>
      </c>
      <c r="BL234" s="59" t="str">
        <v>Irfan Marsa Allya</v>
      </c>
    </row>
    <row r="235" spans="1:64" x14ac:dyDescent="0.35">
      <c r="A235" s="19">
        <v>231</v>
      </c>
      <c r="B235" s="13" t="s">
        <v>583</v>
      </c>
      <c r="C235" s="20" t="s">
        <v>584</v>
      </c>
      <c r="D235" s="76" t="s">
        <v>54</v>
      </c>
      <c r="E235" s="13" t="s">
        <v>187</v>
      </c>
      <c r="F235" s="13" t="s">
        <v>74</v>
      </c>
      <c r="G235" s="13" t="s">
        <v>61</v>
      </c>
      <c r="H235" s="65">
        <v>45131</v>
      </c>
      <c r="I235" s="21">
        <f t="shared" ca="1" si="129"/>
        <v>45974</v>
      </c>
      <c r="J235" s="13" t="str">
        <f t="shared" ca="1" si="112"/>
        <v xml:space="preserve">2 Tahun 3 Bulan 20 Hari </v>
      </c>
      <c r="K235" s="13">
        <f t="shared" ca="1" si="130"/>
        <v>1213920</v>
      </c>
      <c r="L235" s="13">
        <v>684</v>
      </c>
      <c r="M235" s="13">
        <v>10</v>
      </c>
      <c r="N235" s="13">
        <v>4972</v>
      </c>
      <c r="O235" s="22">
        <f t="shared" si="113"/>
        <v>497.2</v>
      </c>
      <c r="P235" s="13">
        <v>464</v>
      </c>
      <c r="Q235" s="23">
        <f t="shared" si="114"/>
        <v>0.8</v>
      </c>
      <c r="R235" s="24">
        <f t="shared" si="115"/>
        <v>4</v>
      </c>
      <c r="S235" s="25">
        <f t="shared" si="131"/>
        <v>0.93322606596942881</v>
      </c>
      <c r="T235" s="25">
        <f t="shared" si="116"/>
        <v>0.18664521319388577</v>
      </c>
      <c r="U235" s="26">
        <v>2394.2730746832353</v>
      </c>
      <c r="V235" s="26">
        <v>11365.40554976852</v>
      </c>
      <c r="W235" s="26">
        <v>22743.896503472224</v>
      </c>
      <c r="X235" s="27">
        <f t="shared" si="134"/>
        <v>0</v>
      </c>
      <c r="Y235" s="27">
        <f t="shared" si="135"/>
        <v>0</v>
      </c>
      <c r="Z235" s="27">
        <f t="shared" si="138"/>
        <v>1</v>
      </c>
      <c r="AA235" s="23">
        <f t="shared" si="133"/>
        <v>0.4</v>
      </c>
      <c r="AB235" s="24">
        <f t="shared" si="136"/>
        <v>1</v>
      </c>
      <c r="AC235" s="28">
        <f t="shared" si="117"/>
        <v>0.33333333333333331</v>
      </c>
      <c r="AD235" s="29">
        <f t="shared" si="118"/>
        <v>8.3333333333333329E-2</v>
      </c>
      <c r="AE235" s="30">
        <v>6.3575881436992554E-2</v>
      </c>
      <c r="AF235" s="23">
        <f t="shared" si="119"/>
        <v>1</v>
      </c>
      <c r="AG235" s="24">
        <f t="shared" si="137"/>
        <v>4</v>
      </c>
      <c r="AH235" s="28">
        <f t="shared" si="120"/>
        <v>0.8</v>
      </c>
      <c r="AI235" s="29">
        <f t="shared" si="121"/>
        <v>0.2</v>
      </c>
      <c r="AJ235" s="31">
        <v>1</v>
      </c>
      <c r="AK235" s="31">
        <v>1</v>
      </c>
      <c r="AL235" s="31">
        <v>0</v>
      </c>
      <c r="AM235" s="31">
        <v>0</v>
      </c>
      <c r="AN235" s="31">
        <v>0</v>
      </c>
      <c r="AO235" s="31">
        <v>1</v>
      </c>
      <c r="AP235" s="31">
        <v>0</v>
      </c>
      <c r="AQ235" s="31">
        <v>0</v>
      </c>
      <c r="AR235" s="23">
        <f t="shared" si="122"/>
        <v>0.6</v>
      </c>
      <c r="AS235" s="24">
        <f t="shared" si="123"/>
        <v>3</v>
      </c>
      <c r="AT235" s="28">
        <f t="shared" si="124"/>
        <v>0.375</v>
      </c>
      <c r="AU235" s="28">
        <f t="shared" si="125"/>
        <v>5.6249999999999994E-2</v>
      </c>
      <c r="AV235" s="32">
        <v>75</v>
      </c>
      <c r="AW235" s="32">
        <v>75</v>
      </c>
      <c r="AX235" s="32">
        <v>80</v>
      </c>
      <c r="AY235" s="32">
        <v>80</v>
      </c>
      <c r="AZ235" s="32">
        <v>80</v>
      </c>
      <c r="BA235" s="32">
        <v>100</v>
      </c>
      <c r="BB235" s="23">
        <f t="shared" ca="1" si="126"/>
        <v>0.8</v>
      </c>
      <c r="BC235" s="33">
        <f t="shared" si="132"/>
        <v>81.666666666666671</v>
      </c>
      <c r="BD235" s="28">
        <f t="shared" si="127"/>
        <v>0.93877551020408168</v>
      </c>
      <c r="BE235" s="28">
        <f t="shared" si="128"/>
        <v>0.18775510204081636</v>
      </c>
      <c r="BF235" s="34">
        <f ca="1">Q235+AA235+AF235+AR235+BB235</f>
        <v>3.6000000000000005</v>
      </c>
      <c r="BG235" s="34">
        <f>AVERAGE(AV235:AZ235)</f>
        <v>78</v>
      </c>
      <c r="BH235" s="35">
        <f>T235+AD235+AI235+AU235+BE235</f>
        <v>0.71398364856803542</v>
      </c>
      <c r="BI235" s="36" t="str">
        <f ca="1">IF(K235&lt;365,"New CE",(IF(BH235&gt;=100%,"Promote",IF(BH235&gt;=90%,"Sangat Baik",IF(BH235&gt;=80%,"Baik",IF(BH235&gt;=70%,"Lebih Dari Cukup",IF(BH235&gt;=60%,"Cukup","Kurang")))))))</f>
        <v>Lebih Dari Cukup</v>
      </c>
      <c r="BJ235" s="36" t="s">
        <v>860</v>
      </c>
      <c r="BK235" s="58" t="s">
        <v>54</v>
      </c>
      <c r="BL235" s="59" t="str">
        <v>Ofeber Tafonao</v>
      </c>
    </row>
    <row r="236" spans="1:64" x14ac:dyDescent="0.35">
      <c r="A236" s="19">
        <v>232</v>
      </c>
      <c r="B236" s="13" t="s">
        <v>585</v>
      </c>
      <c r="C236" s="20" t="s">
        <v>586</v>
      </c>
      <c r="D236" s="76" t="s">
        <v>54</v>
      </c>
      <c r="E236" s="13" t="s">
        <v>49</v>
      </c>
      <c r="F236" s="13" t="s">
        <v>50</v>
      </c>
      <c r="G236" s="13" t="s">
        <v>55</v>
      </c>
      <c r="H236" s="65">
        <v>45243</v>
      </c>
      <c r="I236" s="21">
        <f t="shared" ca="1" si="129"/>
        <v>45974</v>
      </c>
      <c r="J236" s="13" t="str">
        <f t="shared" ca="1" si="112"/>
        <v xml:space="preserve">2 Tahun 0 Bulan 0 Hari </v>
      </c>
      <c r="K236" s="13">
        <f t="shared" ca="1" si="130"/>
        <v>1052640</v>
      </c>
      <c r="L236" s="13">
        <v>893</v>
      </c>
      <c r="M236" s="13">
        <v>14</v>
      </c>
      <c r="N236" s="13">
        <v>6172</v>
      </c>
      <c r="O236" s="22">
        <f t="shared" si="113"/>
        <v>440.85714285714283</v>
      </c>
      <c r="P236" s="13">
        <v>409</v>
      </c>
      <c r="Q236" s="23">
        <f t="shared" si="114"/>
        <v>0.8</v>
      </c>
      <c r="R236" s="24">
        <f t="shared" si="115"/>
        <v>4</v>
      </c>
      <c r="S236" s="25">
        <f t="shared" si="131"/>
        <v>0.92773817239144529</v>
      </c>
      <c r="T236" s="25">
        <f t="shared" si="116"/>
        <v>0.18554763447828906</v>
      </c>
      <c r="U236" s="26">
        <v>3.7386126045400245E-2</v>
      </c>
      <c r="V236" s="26">
        <v>0</v>
      </c>
      <c r="W236" s="26">
        <v>0</v>
      </c>
      <c r="X236" s="27">
        <f t="shared" si="134"/>
        <v>1</v>
      </c>
      <c r="Y236" s="27">
        <f t="shared" si="135"/>
        <v>0</v>
      </c>
      <c r="Z236" s="27">
        <f t="shared" si="138"/>
        <v>0</v>
      </c>
      <c r="AA236" s="23">
        <f t="shared" si="133"/>
        <v>0.4</v>
      </c>
      <c r="AB236" s="24">
        <f t="shared" si="136"/>
        <v>1</v>
      </c>
      <c r="AC236" s="28">
        <f t="shared" si="117"/>
        <v>0.33333333333333331</v>
      </c>
      <c r="AD236" s="29">
        <f t="shared" si="118"/>
        <v>8.3333333333333329E-2</v>
      </c>
      <c r="AE236" s="30">
        <v>5.2064766589506165E-2</v>
      </c>
      <c r="AF236" s="23">
        <f t="shared" si="119"/>
        <v>1</v>
      </c>
      <c r="AG236" s="24">
        <f t="shared" si="137"/>
        <v>4</v>
      </c>
      <c r="AH236" s="28">
        <f t="shared" si="120"/>
        <v>0.8</v>
      </c>
      <c r="AI236" s="29">
        <f t="shared" si="121"/>
        <v>0.2</v>
      </c>
      <c r="AJ236" s="31">
        <v>1</v>
      </c>
      <c r="AK236" s="31">
        <v>1</v>
      </c>
      <c r="AL236" s="31">
        <v>1</v>
      </c>
      <c r="AM236" s="31">
        <v>0</v>
      </c>
      <c r="AN236" s="31">
        <v>0</v>
      </c>
      <c r="AO236" s="31">
        <v>0</v>
      </c>
      <c r="AP236" s="31">
        <v>0</v>
      </c>
      <c r="AQ236" s="31">
        <v>0</v>
      </c>
      <c r="AR236" s="23">
        <f t="shared" si="122"/>
        <v>0.6</v>
      </c>
      <c r="AS236" s="24">
        <f t="shared" si="123"/>
        <v>3</v>
      </c>
      <c r="AT236" s="28">
        <f t="shared" si="124"/>
        <v>0.375</v>
      </c>
      <c r="AU236" s="28">
        <f t="shared" si="125"/>
        <v>5.6249999999999994E-2</v>
      </c>
      <c r="AV236" s="32">
        <v>75</v>
      </c>
      <c r="AW236" s="32">
        <v>75</v>
      </c>
      <c r="AX236" s="32">
        <v>75</v>
      </c>
      <c r="AY236" s="32">
        <v>85</v>
      </c>
      <c r="AZ236" s="32">
        <v>80</v>
      </c>
      <c r="BA236" s="32">
        <v>100</v>
      </c>
      <c r="BB236" s="23">
        <f t="shared" ca="1" si="126"/>
        <v>0.8</v>
      </c>
      <c r="BC236" s="33">
        <f t="shared" si="132"/>
        <v>81.666666666666671</v>
      </c>
      <c r="BD236" s="28">
        <f t="shared" si="127"/>
        <v>0.93877551020408168</v>
      </c>
      <c r="BE236" s="28">
        <f t="shared" si="128"/>
        <v>0.18775510204081636</v>
      </c>
      <c r="BF236" s="34">
        <f ca="1">Q236+AA236+AF236+AR236+BB236</f>
        <v>3.6000000000000005</v>
      </c>
      <c r="BG236" s="34">
        <f>AVERAGE(AV236:AZ236)</f>
        <v>78</v>
      </c>
      <c r="BH236" s="35">
        <f>T236+AD236+AI236+AU236+BE236</f>
        <v>0.71288606985243874</v>
      </c>
      <c r="BI236" s="36" t="str">
        <f ca="1">IF(K236&lt;365,"New CE",(IF(BH236&gt;=100%,"Promote",IF(BH236&gt;=90%,"Sangat Baik",IF(BH236&gt;=80%,"Baik",IF(BH236&gt;=70%,"Lebih Dari Cukup",IF(BH236&gt;=60%,"Cukup","Kurang")))))))</f>
        <v>Lebih Dari Cukup</v>
      </c>
      <c r="BJ236" s="36" t="s">
        <v>860</v>
      </c>
      <c r="BK236" s="58" t="s">
        <v>54</v>
      </c>
      <c r="BL236" s="59" t="e">
        <v>#N/A</v>
      </c>
    </row>
    <row r="237" spans="1:64" x14ac:dyDescent="0.35">
      <c r="A237" s="19">
        <v>233</v>
      </c>
      <c r="B237" s="13" t="s">
        <v>587</v>
      </c>
      <c r="C237" s="20" t="s">
        <v>588</v>
      </c>
      <c r="D237" s="76" t="s">
        <v>54</v>
      </c>
      <c r="E237" s="13" t="s">
        <v>257</v>
      </c>
      <c r="F237" s="13" t="s">
        <v>44</v>
      </c>
      <c r="G237" s="13" t="s">
        <v>45</v>
      </c>
      <c r="H237" s="65">
        <v>45173</v>
      </c>
      <c r="I237" s="21">
        <f t="shared" ca="1" si="129"/>
        <v>45974</v>
      </c>
      <c r="J237" s="13" t="str">
        <f t="shared" ca="1" si="112"/>
        <v xml:space="preserve">2 Tahun 2 Bulan 9 Hari </v>
      </c>
      <c r="K237" s="13">
        <f t="shared" ca="1" si="130"/>
        <v>1153440</v>
      </c>
      <c r="L237" s="13">
        <v>507</v>
      </c>
      <c r="M237" s="13">
        <v>10</v>
      </c>
      <c r="N237" s="13">
        <v>3304</v>
      </c>
      <c r="O237" s="22">
        <f t="shared" si="113"/>
        <v>330.4</v>
      </c>
      <c r="P237" s="13">
        <v>255</v>
      </c>
      <c r="Q237" s="23">
        <f t="shared" si="114"/>
        <v>0.6</v>
      </c>
      <c r="R237" s="24">
        <f t="shared" si="115"/>
        <v>3</v>
      </c>
      <c r="S237" s="25">
        <f t="shared" si="131"/>
        <v>0.77179176755447942</v>
      </c>
      <c r="T237" s="25">
        <f t="shared" si="116"/>
        <v>0.15435835351089588</v>
      </c>
      <c r="U237" s="26">
        <v>1298.2119533730158</v>
      </c>
      <c r="V237" s="26">
        <v>2.8402777777777777E-2</v>
      </c>
      <c r="W237" s="26">
        <v>0</v>
      </c>
      <c r="X237" s="27">
        <f t="shared" si="134"/>
        <v>0</v>
      </c>
      <c r="Y237" s="27">
        <f t="shared" si="135"/>
        <v>1</v>
      </c>
      <c r="Z237" s="27">
        <f t="shared" si="138"/>
        <v>0</v>
      </c>
      <c r="AA237" s="23">
        <f t="shared" si="133"/>
        <v>0.4</v>
      </c>
      <c r="AB237" s="24">
        <f t="shared" si="136"/>
        <v>1</v>
      </c>
      <c r="AC237" s="28">
        <f t="shared" si="117"/>
        <v>0.33333333333333331</v>
      </c>
      <c r="AD237" s="29">
        <f t="shared" si="118"/>
        <v>8.3333333333333329E-2</v>
      </c>
      <c r="AE237" s="30">
        <v>3.7436761563599805E-2</v>
      </c>
      <c r="AF237" s="23">
        <f t="shared" si="119"/>
        <v>1.25</v>
      </c>
      <c r="AG237" s="24">
        <f t="shared" si="137"/>
        <v>5</v>
      </c>
      <c r="AH237" s="28">
        <f t="shared" si="120"/>
        <v>1</v>
      </c>
      <c r="AI237" s="29">
        <f t="shared" si="121"/>
        <v>0.25</v>
      </c>
      <c r="AJ237" s="31">
        <v>1</v>
      </c>
      <c r="AK237" s="31">
        <v>1</v>
      </c>
      <c r="AL237" s="31">
        <v>0</v>
      </c>
      <c r="AM237" s="31">
        <v>0</v>
      </c>
      <c r="AN237" s="31">
        <v>0</v>
      </c>
      <c r="AO237" s="31">
        <v>0</v>
      </c>
      <c r="AP237" s="31">
        <v>0</v>
      </c>
      <c r="AQ237" s="31">
        <v>0</v>
      </c>
      <c r="AR237" s="23">
        <f t="shared" si="122"/>
        <v>0.4</v>
      </c>
      <c r="AS237" s="24">
        <f t="shared" si="123"/>
        <v>2</v>
      </c>
      <c r="AT237" s="28">
        <f t="shared" si="124"/>
        <v>0.25</v>
      </c>
      <c r="AU237" s="28">
        <f t="shared" si="125"/>
        <v>3.7499999999999999E-2</v>
      </c>
      <c r="AV237" s="32">
        <v>75</v>
      </c>
      <c r="AW237" s="32">
        <v>75</v>
      </c>
      <c r="AX237" s="32">
        <v>75</v>
      </c>
      <c r="AY237" s="32">
        <v>80</v>
      </c>
      <c r="AZ237" s="32">
        <v>75</v>
      </c>
      <c r="BA237" s="32">
        <v>100</v>
      </c>
      <c r="BB237" s="23">
        <f t="shared" ca="1" si="126"/>
        <v>0.8</v>
      </c>
      <c r="BC237" s="33">
        <f t="shared" si="132"/>
        <v>80</v>
      </c>
      <c r="BD237" s="28">
        <f t="shared" si="127"/>
        <v>0.9375</v>
      </c>
      <c r="BE237" s="28">
        <f t="shared" si="128"/>
        <v>0.1875</v>
      </c>
      <c r="BF237" s="34">
        <f ca="1">Q237+AA237+AF237+AR237+BB237</f>
        <v>3.45</v>
      </c>
      <c r="BG237" s="34">
        <f>AVERAGE(AV237:AZ237)</f>
        <v>76</v>
      </c>
      <c r="BH237" s="35">
        <f>T237+AD237+AI237+AU237+BE237</f>
        <v>0.71269168684422923</v>
      </c>
      <c r="BI237" s="36" t="str">
        <f ca="1">IF(K237&lt;365,"New CE",(IF(BH237&gt;=100%,"Promote",IF(BH237&gt;=90%,"Sangat Baik",IF(BH237&gt;=80%,"Baik",IF(BH237&gt;=70%,"Lebih Dari Cukup",IF(BH237&gt;=60%,"Cukup","Kurang")))))))</f>
        <v>Lebih Dari Cukup</v>
      </c>
      <c r="BJ237" s="36" t="s">
        <v>860</v>
      </c>
      <c r="BK237" s="58" t="s">
        <v>54</v>
      </c>
      <c r="BL237" s="59" t="e">
        <v>#N/A</v>
      </c>
    </row>
    <row r="238" spans="1:64" x14ac:dyDescent="0.35">
      <c r="A238" s="19">
        <v>234</v>
      </c>
      <c r="B238" s="13" t="s">
        <v>589</v>
      </c>
      <c r="C238" s="20" t="s">
        <v>590</v>
      </c>
      <c r="D238" s="76" t="s">
        <v>48</v>
      </c>
      <c r="E238" s="13" t="s">
        <v>174</v>
      </c>
      <c r="F238" s="13" t="s">
        <v>50</v>
      </c>
      <c r="G238" s="13" t="s">
        <v>51</v>
      </c>
      <c r="H238" s="65">
        <v>44746</v>
      </c>
      <c r="I238" s="21">
        <f t="shared" ca="1" si="129"/>
        <v>45974</v>
      </c>
      <c r="J238" s="13" t="str">
        <f t="shared" ca="1" si="112"/>
        <v xml:space="preserve">3 Tahun 4 Bulan 9 Hari </v>
      </c>
      <c r="K238" s="13">
        <f t="shared" ca="1" si="130"/>
        <v>1768320</v>
      </c>
      <c r="L238" s="13">
        <v>218</v>
      </c>
      <c r="M238" s="13">
        <v>4</v>
      </c>
      <c r="N238" s="13">
        <v>1692</v>
      </c>
      <c r="O238" s="22">
        <f t="shared" si="113"/>
        <v>423</v>
      </c>
      <c r="P238" s="13">
        <v>392</v>
      </c>
      <c r="Q238" s="23">
        <f t="shared" si="114"/>
        <v>0.8</v>
      </c>
      <c r="R238" s="24">
        <f t="shared" si="115"/>
        <v>4</v>
      </c>
      <c r="S238" s="25">
        <f t="shared" si="131"/>
        <v>0.92671394799054374</v>
      </c>
      <c r="T238" s="25">
        <f t="shared" si="116"/>
        <v>0.18534278959810876</v>
      </c>
      <c r="U238" s="26">
        <v>4688.8521326126383</v>
      </c>
      <c r="V238" s="26">
        <v>6067.0346057098768</v>
      </c>
      <c r="W238" s="26">
        <v>8.551504629629629E-2</v>
      </c>
      <c r="X238" s="27">
        <f t="shared" si="134"/>
        <v>0</v>
      </c>
      <c r="Y238" s="27">
        <f t="shared" si="135"/>
        <v>0</v>
      </c>
      <c r="Z238" s="27">
        <f t="shared" si="138"/>
        <v>1</v>
      </c>
      <c r="AA238" s="23">
        <f t="shared" si="133"/>
        <v>0.4</v>
      </c>
      <c r="AB238" s="24">
        <f t="shared" si="136"/>
        <v>1</v>
      </c>
      <c r="AC238" s="28">
        <f t="shared" si="117"/>
        <v>0.33333333333333331</v>
      </c>
      <c r="AD238" s="29">
        <f t="shared" si="118"/>
        <v>8.3333333333333329E-2</v>
      </c>
      <c r="AE238" s="30">
        <v>6.5946534008128221E-2</v>
      </c>
      <c r="AF238" s="23">
        <f t="shared" si="119"/>
        <v>1</v>
      </c>
      <c r="AG238" s="24">
        <f t="shared" si="137"/>
        <v>4</v>
      </c>
      <c r="AH238" s="28">
        <f t="shared" si="120"/>
        <v>0.8</v>
      </c>
      <c r="AI238" s="29">
        <f t="shared" si="121"/>
        <v>0.2</v>
      </c>
      <c r="AJ238" s="31">
        <v>1</v>
      </c>
      <c r="AK238" s="31">
        <v>1</v>
      </c>
      <c r="AL238" s="31">
        <v>1</v>
      </c>
      <c r="AM238" s="31">
        <v>0</v>
      </c>
      <c r="AN238" s="31">
        <v>0</v>
      </c>
      <c r="AO238" s="31">
        <v>0</v>
      </c>
      <c r="AP238" s="31">
        <v>0</v>
      </c>
      <c r="AQ238" s="31">
        <v>0</v>
      </c>
      <c r="AR238" s="23">
        <f t="shared" si="122"/>
        <v>0.6</v>
      </c>
      <c r="AS238" s="24">
        <f t="shared" si="123"/>
        <v>3</v>
      </c>
      <c r="AT238" s="28">
        <f t="shared" si="124"/>
        <v>0.375</v>
      </c>
      <c r="AU238" s="28">
        <f t="shared" si="125"/>
        <v>5.6249999999999994E-2</v>
      </c>
      <c r="AV238" s="32">
        <v>75</v>
      </c>
      <c r="AW238" s="32">
        <v>75</v>
      </c>
      <c r="AX238" s="32">
        <v>90</v>
      </c>
      <c r="AY238" s="32">
        <v>90</v>
      </c>
      <c r="AZ238" s="32">
        <v>80</v>
      </c>
      <c r="BA238" s="32">
        <v>100</v>
      </c>
      <c r="BB238" s="23">
        <f t="shared" ca="1" si="126"/>
        <v>0.8</v>
      </c>
      <c r="BC238" s="33">
        <f t="shared" si="132"/>
        <v>85</v>
      </c>
      <c r="BD238" s="28">
        <f t="shared" si="127"/>
        <v>0.94117647058823528</v>
      </c>
      <c r="BE238" s="28">
        <f t="shared" si="128"/>
        <v>0.18823529411764706</v>
      </c>
      <c r="BF238" s="34">
        <f ca="1">Q238+AA238+AF238+AR238+BB238</f>
        <v>3.6000000000000005</v>
      </c>
      <c r="BG238" s="34">
        <f>AVERAGE(AV238:AZ238)</f>
        <v>82</v>
      </c>
      <c r="BH238" s="35">
        <f>T238+AD238+AI238+AU238+BE238</f>
        <v>0.7131614170490892</v>
      </c>
      <c r="BI238" s="36" t="str">
        <f ca="1">IF(K238&lt;365,"New CE",(IF(BH238&gt;=100%,"Promote",IF(BH238&gt;=90%,"Sangat Baik",IF(BH238&gt;=80%,"Baik",IF(BH238&gt;=70%,"Lebih Dari Cukup",IF(BH238&gt;=60%,"Cukup","Kurang")))))))</f>
        <v>Lebih Dari Cukup</v>
      </c>
      <c r="BJ238" s="36" t="s">
        <v>860</v>
      </c>
      <c r="BK238" s="58" t="s">
        <v>48</v>
      </c>
      <c r="BL238" s="59" t="e">
        <v>#N/A</v>
      </c>
    </row>
    <row r="239" spans="1:64" x14ac:dyDescent="0.35">
      <c r="A239" s="19">
        <v>235</v>
      </c>
      <c r="B239" s="13" t="s">
        <v>591</v>
      </c>
      <c r="C239" s="20" t="s">
        <v>592</v>
      </c>
      <c r="D239" s="76" t="s">
        <v>54</v>
      </c>
      <c r="E239" s="13" t="s">
        <v>49</v>
      </c>
      <c r="F239" s="13" t="s">
        <v>50</v>
      </c>
      <c r="G239" s="13" t="s">
        <v>75</v>
      </c>
      <c r="H239" s="65">
        <v>45383</v>
      </c>
      <c r="I239" s="21">
        <f t="shared" ca="1" si="129"/>
        <v>45974</v>
      </c>
      <c r="J239" s="13" t="str">
        <f t="shared" ca="1" si="112"/>
        <v xml:space="preserve">1 Tahun 7 Bulan 12 Hari </v>
      </c>
      <c r="K239" s="13">
        <f t="shared" ca="1" si="130"/>
        <v>851040</v>
      </c>
      <c r="L239" s="13">
        <v>893</v>
      </c>
      <c r="M239" s="13">
        <v>14</v>
      </c>
      <c r="N239" s="13">
        <v>6172</v>
      </c>
      <c r="O239" s="22">
        <f t="shared" si="113"/>
        <v>440.85714285714283</v>
      </c>
      <c r="P239" s="13">
        <v>199</v>
      </c>
      <c r="Q239" s="23">
        <f t="shared" si="114"/>
        <v>0.4</v>
      </c>
      <c r="R239" s="24">
        <f t="shared" si="115"/>
        <v>2</v>
      </c>
      <c r="S239" s="25">
        <f t="shared" si="131"/>
        <v>0.45139338950097213</v>
      </c>
      <c r="T239" s="25">
        <f t="shared" si="116"/>
        <v>9.0278677900194435E-2</v>
      </c>
      <c r="U239" s="26">
        <v>1.927179783950618E-2</v>
      </c>
      <c r="V239" s="26">
        <v>0</v>
      </c>
      <c r="W239" s="26">
        <v>0</v>
      </c>
      <c r="X239" s="27">
        <f t="shared" si="134"/>
        <v>1</v>
      </c>
      <c r="Y239" s="27">
        <f t="shared" si="135"/>
        <v>0</v>
      </c>
      <c r="Z239" s="27">
        <f t="shared" si="138"/>
        <v>0</v>
      </c>
      <c r="AA239" s="23">
        <f t="shared" ref="AA239:AA253" si="139">IF(AB239=3, 1.25, IF(AB239=2, 0.8, IF(AB239=1, 0.4, IF(AB239=0, 0, 0))))</f>
        <v>0.4</v>
      </c>
      <c r="AB239" s="24">
        <f t="shared" si="136"/>
        <v>1</v>
      </c>
      <c r="AC239" s="28">
        <f t="shared" si="117"/>
        <v>0.33333333333333331</v>
      </c>
      <c r="AD239" s="29">
        <f t="shared" si="118"/>
        <v>8.3333333333333329E-2</v>
      </c>
      <c r="AE239" s="30">
        <v>4.587459742351048E-2</v>
      </c>
      <c r="AF239" s="23">
        <f t="shared" si="119"/>
        <v>1</v>
      </c>
      <c r="AG239" s="24">
        <f t="shared" si="137"/>
        <v>4</v>
      </c>
      <c r="AH239" s="28">
        <f t="shared" si="120"/>
        <v>0.8</v>
      </c>
      <c r="AI239" s="29">
        <f t="shared" si="121"/>
        <v>0.2</v>
      </c>
      <c r="AJ239" s="31">
        <v>1</v>
      </c>
      <c r="AK239" s="31">
        <v>1</v>
      </c>
      <c r="AL239" s="31">
        <v>1</v>
      </c>
      <c r="AM239" s="31">
        <v>1</v>
      </c>
      <c r="AN239" s="31">
        <v>1</v>
      </c>
      <c r="AO239" s="31">
        <v>1</v>
      </c>
      <c r="AP239" s="31">
        <v>1</v>
      </c>
      <c r="AQ239" s="31">
        <v>1</v>
      </c>
      <c r="AR239" s="23">
        <f t="shared" si="122"/>
        <v>1</v>
      </c>
      <c r="AS239" s="24">
        <f t="shared" si="123"/>
        <v>8</v>
      </c>
      <c r="AT239" s="28">
        <f t="shared" si="124"/>
        <v>1</v>
      </c>
      <c r="AU239" s="28">
        <f t="shared" si="125"/>
        <v>0.15</v>
      </c>
      <c r="AV239" s="32">
        <v>75</v>
      </c>
      <c r="AW239" s="32">
        <v>75</v>
      </c>
      <c r="AX239" s="32">
        <v>90</v>
      </c>
      <c r="AY239" s="32">
        <v>85</v>
      </c>
      <c r="AZ239" s="32">
        <v>80</v>
      </c>
      <c r="BA239" s="32">
        <v>100</v>
      </c>
      <c r="BB239" s="23">
        <f t="shared" ca="1" si="126"/>
        <v>0.8</v>
      </c>
      <c r="BC239" s="33">
        <f t="shared" si="132"/>
        <v>84.166666666666671</v>
      </c>
      <c r="BD239" s="28">
        <f t="shared" si="127"/>
        <v>0.94059405940594054</v>
      </c>
      <c r="BE239" s="28">
        <f t="shared" si="128"/>
        <v>0.18811881188118812</v>
      </c>
      <c r="BF239" s="34">
        <f ca="1">Q239+AA239+AF239+AR239+BB239</f>
        <v>3.5999999999999996</v>
      </c>
      <c r="BG239" s="34">
        <f>AVERAGE(AV239:AZ239)</f>
        <v>81</v>
      </c>
      <c r="BH239" s="35">
        <f>T239+AD239+AI239+AU239+BE239</f>
        <v>0.71173082311471592</v>
      </c>
      <c r="BI239" s="36" t="str">
        <f ca="1">IF(K239&lt;365,"New CE",(IF(BH239&gt;=100%,"Promote",IF(BH239&gt;=90%,"Sangat Baik",IF(BH239&gt;=80%,"Baik",IF(BH239&gt;=70%,"Lebih Dari Cukup",IF(BH239&gt;=60%,"Cukup","Kurang")))))))</f>
        <v>Lebih Dari Cukup</v>
      </c>
      <c r="BJ239" s="36" t="s">
        <v>860</v>
      </c>
      <c r="BK239" s="58" t="s">
        <v>54</v>
      </c>
      <c r="BL239" s="59" t="e">
        <v>#N/A</v>
      </c>
    </row>
    <row r="240" spans="1:64" x14ac:dyDescent="0.35">
      <c r="A240" s="19">
        <v>236</v>
      </c>
      <c r="B240" s="13" t="s">
        <v>593</v>
      </c>
      <c r="C240" s="20" t="s">
        <v>594</v>
      </c>
      <c r="D240" s="76" t="s">
        <v>48</v>
      </c>
      <c r="E240" s="13" t="s">
        <v>595</v>
      </c>
      <c r="F240" s="13" t="s">
        <v>50</v>
      </c>
      <c r="G240" s="13" t="s">
        <v>51</v>
      </c>
      <c r="H240" s="65">
        <v>44585</v>
      </c>
      <c r="I240" s="21">
        <f t="shared" ca="1" si="129"/>
        <v>45974</v>
      </c>
      <c r="J240" s="13" t="str">
        <f t="shared" ca="1" si="112"/>
        <v xml:space="preserve">3 Tahun 9 Bulan 20 Hari </v>
      </c>
      <c r="K240" s="13">
        <f t="shared" ca="1" si="130"/>
        <v>2000160</v>
      </c>
      <c r="L240" s="13">
        <v>50</v>
      </c>
      <c r="M240" s="13">
        <v>1</v>
      </c>
      <c r="N240" s="13">
        <v>313</v>
      </c>
      <c r="O240" s="22">
        <f t="shared" si="113"/>
        <v>313</v>
      </c>
      <c r="P240" s="13">
        <v>288</v>
      </c>
      <c r="Q240" s="23">
        <f t="shared" si="114"/>
        <v>0.8</v>
      </c>
      <c r="R240" s="24">
        <f t="shared" si="115"/>
        <v>4</v>
      </c>
      <c r="S240" s="25">
        <f t="shared" si="131"/>
        <v>0.92012779552715651</v>
      </c>
      <c r="T240" s="25">
        <f t="shared" si="116"/>
        <v>0.18402555910543131</v>
      </c>
      <c r="U240" s="26">
        <v>5688.3871513310187</v>
      </c>
      <c r="V240" s="26">
        <v>0</v>
      </c>
      <c r="W240" s="26">
        <v>8524.1270580150467</v>
      </c>
      <c r="X240" s="27">
        <f t="shared" si="134"/>
        <v>0</v>
      </c>
      <c r="Y240" s="27">
        <f t="shared" si="135"/>
        <v>0</v>
      </c>
      <c r="Z240" s="27">
        <f t="shared" si="138"/>
        <v>1</v>
      </c>
      <c r="AA240" s="23">
        <f t="shared" si="139"/>
        <v>0.4</v>
      </c>
      <c r="AB240" s="24">
        <f t="shared" si="136"/>
        <v>1</v>
      </c>
      <c r="AC240" s="28">
        <f t="shared" si="117"/>
        <v>0.33333333333333331</v>
      </c>
      <c r="AD240" s="29">
        <f t="shared" si="118"/>
        <v>8.3333333333333329E-2</v>
      </c>
      <c r="AE240" s="30">
        <v>7.9629045080433974E-2</v>
      </c>
      <c r="AF240" s="23">
        <f t="shared" si="119"/>
        <v>1</v>
      </c>
      <c r="AG240" s="24">
        <f t="shared" si="137"/>
        <v>4</v>
      </c>
      <c r="AH240" s="28">
        <f t="shared" si="120"/>
        <v>0.8</v>
      </c>
      <c r="AI240" s="29">
        <f t="shared" si="121"/>
        <v>0.2</v>
      </c>
      <c r="AJ240" s="31">
        <v>1</v>
      </c>
      <c r="AK240" s="31">
        <v>1</v>
      </c>
      <c r="AL240" s="31">
        <v>1</v>
      </c>
      <c r="AM240" s="31">
        <v>0</v>
      </c>
      <c r="AN240" s="31">
        <v>0</v>
      </c>
      <c r="AO240" s="31">
        <v>0</v>
      </c>
      <c r="AP240" s="31">
        <v>0</v>
      </c>
      <c r="AQ240" s="31">
        <v>0</v>
      </c>
      <c r="AR240" s="23">
        <f t="shared" si="122"/>
        <v>0.6</v>
      </c>
      <c r="AS240" s="24">
        <f t="shared" si="123"/>
        <v>3</v>
      </c>
      <c r="AT240" s="28">
        <f t="shared" si="124"/>
        <v>0.375</v>
      </c>
      <c r="AU240" s="28">
        <f t="shared" si="125"/>
        <v>5.6249999999999994E-2</v>
      </c>
      <c r="AV240" s="32">
        <v>75</v>
      </c>
      <c r="AW240" s="32">
        <v>75</v>
      </c>
      <c r="AX240" s="32">
        <v>90</v>
      </c>
      <c r="AY240" s="32">
        <v>90</v>
      </c>
      <c r="AZ240" s="32">
        <v>75</v>
      </c>
      <c r="BA240" s="32">
        <v>100</v>
      </c>
      <c r="BB240" s="23">
        <f t="shared" ca="1" si="126"/>
        <v>0.8</v>
      </c>
      <c r="BC240" s="33">
        <f t="shared" si="132"/>
        <v>84.166666666666671</v>
      </c>
      <c r="BD240" s="28">
        <f t="shared" si="127"/>
        <v>0.94059405940594054</v>
      </c>
      <c r="BE240" s="28">
        <f t="shared" si="128"/>
        <v>0.18811881188118812</v>
      </c>
      <c r="BF240" s="34">
        <f ca="1">Q240+AA240+AF240+AR240+BB240</f>
        <v>3.6000000000000005</v>
      </c>
      <c r="BG240" s="34">
        <f>AVERAGE(AV240:AZ240)</f>
        <v>81</v>
      </c>
      <c r="BH240" s="35">
        <f>T240+AD240+AI240+AU240+BE240</f>
        <v>0.7117277043199528</v>
      </c>
      <c r="BI240" s="36" t="str">
        <f ca="1">IF(K240&lt;365,"New CE",(IF(BH240&gt;=100%,"Promote",IF(BH240&gt;=90%,"Sangat Baik",IF(BH240&gt;=80%,"Baik",IF(BH240&gt;=70%,"Lebih Dari Cukup",IF(BH240&gt;=60%,"Cukup","Kurang")))))))</f>
        <v>Lebih Dari Cukup</v>
      </c>
      <c r="BJ240" s="36" t="s">
        <v>860</v>
      </c>
      <c r="BK240" s="58" t="s">
        <v>48</v>
      </c>
      <c r="BL240" s="59" t="e">
        <v>#N/A</v>
      </c>
    </row>
    <row r="241" spans="1:65" x14ac:dyDescent="0.35">
      <c r="A241" s="19">
        <v>237</v>
      </c>
      <c r="B241" s="13" t="s">
        <v>596</v>
      </c>
      <c r="C241" s="20" t="s">
        <v>597</v>
      </c>
      <c r="D241" s="76" t="s">
        <v>54</v>
      </c>
      <c r="E241" s="13" t="s">
        <v>192</v>
      </c>
      <c r="F241" s="13" t="s">
        <v>50</v>
      </c>
      <c r="G241" s="13" t="s">
        <v>61</v>
      </c>
      <c r="H241" s="65">
        <v>44935</v>
      </c>
      <c r="I241" s="21">
        <f t="shared" ca="1" si="129"/>
        <v>45974</v>
      </c>
      <c r="J241" s="13" t="str">
        <f t="shared" ca="1" si="112"/>
        <v xml:space="preserve">2 Tahun 10 Bulan 4 Hari </v>
      </c>
      <c r="K241" s="13">
        <f t="shared" ca="1" si="130"/>
        <v>1496160</v>
      </c>
      <c r="L241" s="13">
        <v>510</v>
      </c>
      <c r="M241" s="13">
        <v>9</v>
      </c>
      <c r="N241" s="13">
        <v>3962</v>
      </c>
      <c r="O241" s="22">
        <f t="shared" si="113"/>
        <v>440.22222222222223</v>
      </c>
      <c r="P241" s="13">
        <v>505</v>
      </c>
      <c r="Q241" s="23">
        <f t="shared" si="114"/>
        <v>1</v>
      </c>
      <c r="R241" s="24">
        <f t="shared" si="115"/>
        <v>5</v>
      </c>
      <c r="S241" s="25">
        <f t="shared" si="131"/>
        <v>1.1471479050984352</v>
      </c>
      <c r="T241" s="25">
        <f t="shared" si="116"/>
        <v>0.22942958101968705</v>
      </c>
      <c r="U241" s="26">
        <v>834.1401342167859</v>
      </c>
      <c r="V241" s="26">
        <v>0</v>
      </c>
      <c r="W241" s="26">
        <v>0</v>
      </c>
      <c r="X241" s="27">
        <f t="shared" si="134"/>
        <v>0</v>
      </c>
      <c r="Y241" s="27">
        <f t="shared" si="135"/>
        <v>0</v>
      </c>
      <c r="Z241" s="27">
        <f t="shared" si="138"/>
        <v>0</v>
      </c>
      <c r="AA241" s="23">
        <f t="shared" si="139"/>
        <v>0</v>
      </c>
      <c r="AB241" s="24">
        <f t="shared" si="136"/>
        <v>0</v>
      </c>
      <c r="AC241" s="28">
        <f t="shared" si="117"/>
        <v>0</v>
      </c>
      <c r="AD241" s="29">
        <f t="shared" si="118"/>
        <v>0</v>
      </c>
      <c r="AE241" s="30">
        <v>6.7556268553035786E-2</v>
      </c>
      <c r="AF241" s="23">
        <f t="shared" si="119"/>
        <v>1</v>
      </c>
      <c r="AG241" s="24">
        <f t="shared" si="137"/>
        <v>4</v>
      </c>
      <c r="AH241" s="28">
        <f t="shared" si="120"/>
        <v>0.8</v>
      </c>
      <c r="AI241" s="29">
        <f t="shared" si="121"/>
        <v>0.2</v>
      </c>
      <c r="AJ241" s="31">
        <v>1</v>
      </c>
      <c r="AK241" s="31">
        <v>1</v>
      </c>
      <c r="AL241" s="31">
        <v>1</v>
      </c>
      <c r="AM241" s="31">
        <v>1</v>
      </c>
      <c r="AN241" s="31">
        <v>0</v>
      </c>
      <c r="AO241" s="31">
        <v>0</v>
      </c>
      <c r="AP241" s="31">
        <v>0</v>
      </c>
      <c r="AQ241" s="31">
        <v>1</v>
      </c>
      <c r="AR241" s="23">
        <f t="shared" si="122"/>
        <v>1</v>
      </c>
      <c r="AS241" s="24">
        <f t="shared" si="123"/>
        <v>5</v>
      </c>
      <c r="AT241" s="28">
        <f t="shared" si="124"/>
        <v>0.625</v>
      </c>
      <c r="AU241" s="28">
        <f t="shared" si="125"/>
        <v>9.375E-2</v>
      </c>
      <c r="AV241" s="32">
        <v>75</v>
      </c>
      <c r="AW241" s="32">
        <v>75</v>
      </c>
      <c r="AX241" s="32">
        <v>75</v>
      </c>
      <c r="AY241" s="32">
        <v>80</v>
      </c>
      <c r="AZ241" s="32">
        <v>80</v>
      </c>
      <c r="BA241" s="32">
        <v>100</v>
      </c>
      <c r="BB241" s="23">
        <f t="shared" ca="1" si="126"/>
        <v>0.8</v>
      </c>
      <c r="BC241" s="33">
        <f t="shared" si="132"/>
        <v>80.833333333333329</v>
      </c>
      <c r="BD241" s="28">
        <f t="shared" si="127"/>
        <v>0.93814432989690721</v>
      </c>
      <c r="BE241" s="28">
        <f t="shared" si="128"/>
        <v>0.18762886597938144</v>
      </c>
      <c r="BF241" s="34">
        <f ca="1">Q241+AA241+AF241+AR241+BB241</f>
        <v>3.8</v>
      </c>
      <c r="BG241" s="34">
        <f>AVERAGE(AV241:AZ241)</f>
        <v>77</v>
      </c>
      <c r="BH241" s="35">
        <f>T241+AD241+AI241+AU241+BE241</f>
        <v>0.71080844699906853</v>
      </c>
      <c r="BI241" s="36" t="str">
        <f ca="1">IF(K241&lt;365,"New CE",(IF(BH241&gt;=100%,"Promote",IF(BH241&gt;=90%,"Sangat Baik",IF(BH241&gt;=80%,"Baik",IF(BH241&gt;=70%,"Lebih Dari Cukup",IF(BH241&gt;=60%,"Cukup","Kurang")))))))</f>
        <v>Lebih Dari Cukup</v>
      </c>
      <c r="BJ241" s="36" t="s">
        <v>860</v>
      </c>
      <c r="BK241" s="58" t="s">
        <v>54</v>
      </c>
      <c r="BL241" s="59" t="e">
        <v>#N/A</v>
      </c>
    </row>
    <row r="242" spans="1:65" x14ac:dyDescent="0.35">
      <c r="A242" s="19">
        <v>238</v>
      </c>
      <c r="B242" s="13" t="s">
        <v>598</v>
      </c>
      <c r="C242" s="20" t="s">
        <v>599</v>
      </c>
      <c r="D242" s="76" t="s">
        <v>48</v>
      </c>
      <c r="E242" s="13" t="s">
        <v>133</v>
      </c>
      <c r="F242" s="13" t="s">
        <v>50</v>
      </c>
      <c r="G242" s="13" t="s">
        <v>45</v>
      </c>
      <c r="H242" s="65">
        <v>43740</v>
      </c>
      <c r="I242" s="21">
        <f t="shared" ca="1" si="129"/>
        <v>45974</v>
      </c>
      <c r="J242" s="13" t="str">
        <f t="shared" ca="1" si="112"/>
        <v xml:space="preserve">6 Tahun 1 Bulan 11 Hari </v>
      </c>
      <c r="K242" s="13">
        <f t="shared" ca="1" si="130"/>
        <v>3216960</v>
      </c>
      <c r="L242" s="13">
        <v>760</v>
      </c>
      <c r="M242" s="13">
        <v>13</v>
      </c>
      <c r="N242" s="13">
        <v>5863</v>
      </c>
      <c r="O242" s="22">
        <f t="shared" si="113"/>
        <v>451</v>
      </c>
      <c r="P242" s="13">
        <v>402</v>
      </c>
      <c r="Q242" s="23">
        <f t="shared" si="114"/>
        <v>0.8</v>
      </c>
      <c r="R242" s="24">
        <f t="shared" si="115"/>
        <v>4</v>
      </c>
      <c r="S242" s="25">
        <f t="shared" si="131"/>
        <v>0.89135254988913526</v>
      </c>
      <c r="T242" s="25">
        <f t="shared" si="116"/>
        <v>0.17827050997782706</v>
      </c>
      <c r="U242" s="26">
        <v>2303.8328611404127</v>
      </c>
      <c r="V242" s="26">
        <v>15186.819710648146</v>
      </c>
      <c r="W242" s="26">
        <v>0</v>
      </c>
      <c r="X242" s="27">
        <f t="shared" si="134"/>
        <v>0</v>
      </c>
      <c r="Y242" s="27">
        <f t="shared" si="135"/>
        <v>0</v>
      </c>
      <c r="Z242" s="27">
        <f t="shared" si="138"/>
        <v>0</v>
      </c>
      <c r="AA242" s="23">
        <f t="shared" si="139"/>
        <v>0</v>
      </c>
      <c r="AB242" s="24">
        <f t="shared" si="136"/>
        <v>0</v>
      </c>
      <c r="AC242" s="28">
        <f t="shared" si="117"/>
        <v>0</v>
      </c>
      <c r="AD242" s="29">
        <f t="shared" si="118"/>
        <v>0</v>
      </c>
      <c r="AE242" s="30">
        <v>2.6851715457039529E-2</v>
      </c>
      <c r="AF242" s="23">
        <f t="shared" si="119"/>
        <v>1.25</v>
      </c>
      <c r="AG242" s="24">
        <f t="shared" si="137"/>
        <v>5</v>
      </c>
      <c r="AH242" s="28">
        <f t="shared" si="120"/>
        <v>1</v>
      </c>
      <c r="AI242" s="29">
        <f t="shared" si="121"/>
        <v>0.25</v>
      </c>
      <c r="AJ242" s="31">
        <v>1</v>
      </c>
      <c r="AK242" s="31">
        <v>1</v>
      </c>
      <c r="AL242" s="31">
        <v>1</v>
      </c>
      <c r="AM242" s="31">
        <v>1</v>
      </c>
      <c r="AN242" s="31">
        <v>0</v>
      </c>
      <c r="AO242" s="31">
        <v>0</v>
      </c>
      <c r="AP242" s="31">
        <v>0</v>
      </c>
      <c r="AQ242" s="31">
        <v>1</v>
      </c>
      <c r="AR242" s="23">
        <f t="shared" si="122"/>
        <v>1</v>
      </c>
      <c r="AS242" s="24">
        <f t="shared" si="123"/>
        <v>5</v>
      </c>
      <c r="AT242" s="28">
        <f t="shared" si="124"/>
        <v>0.625</v>
      </c>
      <c r="AU242" s="28">
        <f t="shared" si="125"/>
        <v>9.375E-2</v>
      </c>
      <c r="AV242" s="32">
        <v>75</v>
      </c>
      <c r="AW242" s="32">
        <v>75</v>
      </c>
      <c r="AX242" s="32">
        <v>90</v>
      </c>
      <c r="AY242" s="32">
        <v>90</v>
      </c>
      <c r="AZ242" s="32">
        <v>80</v>
      </c>
      <c r="BA242" s="32">
        <v>100</v>
      </c>
      <c r="BB242" s="23">
        <f t="shared" ca="1" si="126"/>
        <v>0.8</v>
      </c>
      <c r="BC242" s="33">
        <f t="shared" si="132"/>
        <v>85</v>
      </c>
      <c r="BD242" s="28">
        <f t="shared" si="127"/>
        <v>0.94117647058823528</v>
      </c>
      <c r="BE242" s="28">
        <f t="shared" si="128"/>
        <v>0.18823529411764706</v>
      </c>
      <c r="BF242" s="34">
        <f ca="1">Q242+AA242+AF242+AR242+BB242</f>
        <v>3.8499999999999996</v>
      </c>
      <c r="BG242" s="34">
        <f>AVERAGE(AV242:AZ242)</f>
        <v>82</v>
      </c>
      <c r="BH242" s="35">
        <f>T242+AD242+AI242+AU242+BE242</f>
        <v>0.71025580409547406</v>
      </c>
      <c r="BI242" s="36" t="str">
        <f ca="1">IF(K242&lt;365,"New CE",(IF(BH242&gt;=100%,"Promote",IF(BH242&gt;=90%,"Sangat Baik",IF(BH242&gt;=80%,"Baik",IF(BH242&gt;=70%,"Lebih Dari Cukup",IF(BH242&gt;=60%,"Cukup","Kurang")))))))</f>
        <v>Lebih Dari Cukup</v>
      </c>
      <c r="BJ242" s="36" t="s">
        <v>860</v>
      </c>
      <c r="BK242" s="58" t="s">
        <v>48</v>
      </c>
      <c r="BL242" s="59" t="e">
        <v>#N/A</v>
      </c>
    </row>
    <row r="243" spans="1:65" x14ac:dyDescent="0.35">
      <c r="A243" s="19">
        <v>239</v>
      </c>
      <c r="B243" s="13" t="s">
        <v>600</v>
      </c>
      <c r="C243" s="20" t="s">
        <v>601</v>
      </c>
      <c r="D243" s="76" t="s">
        <v>54</v>
      </c>
      <c r="E243" s="13" t="s">
        <v>446</v>
      </c>
      <c r="F243" s="13" t="s">
        <v>44</v>
      </c>
      <c r="G243" s="13" t="s">
        <v>45</v>
      </c>
      <c r="H243" s="65">
        <v>45180</v>
      </c>
      <c r="I243" s="21">
        <f t="shared" ca="1" si="129"/>
        <v>45974</v>
      </c>
      <c r="J243" s="13" t="str">
        <f t="shared" ca="1" si="112"/>
        <v xml:space="preserve">2 Tahun 2 Bulan 2 Hari </v>
      </c>
      <c r="K243" s="13">
        <f t="shared" ca="1" si="130"/>
        <v>1143360</v>
      </c>
      <c r="L243" s="13">
        <v>305</v>
      </c>
      <c r="M243" s="13">
        <v>6</v>
      </c>
      <c r="N243" s="13">
        <v>2018</v>
      </c>
      <c r="O243" s="22">
        <f t="shared" si="113"/>
        <v>336.33333333333331</v>
      </c>
      <c r="P243" s="13">
        <v>369</v>
      </c>
      <c r="Q243" s="23">
        <f t="shared" si="114"/>
        <v>1</v>
      </c>
      <c r="R243" s="24">
        <f t="shared" si="115"/>
        <v>5</v>
      </c>
      <c r="S243" s="25">
        <f t="shared" si="131"/>
        <v>1.0971258671952429</v>
      </c>
      <c r="T243" s="25">
        <f t="shared" si="116"/>
        <v>0.21942517343904858</v>
      </c>
      <c r="U243" s="26">
        <v>7292.6922893518486</v>
      </c>
      <c r="V243" s="26">
        <v>5685.2248350694435</v>
      </c>
      <c r="W243" s="26">
        <v>0</v>
      </c>
      <c r="X243" s="27">
        <f t="shared" si="134"/>
        <v>0</v>
      </c>
      <c r="Y243" s="27">
        <f t="shared" si="135"/>
        <v>0</v>
      </c>
      <c r="Z243" s="27">
        <f t="shared" si="138"/>
        <v>0</v>
      </c>
      <c r="AA243" s="23">
        <f t="shared" si="139"/>
        <v>0</v>
      </c>
      <c r="AB243" s="24">
        <f t="shared" si="136"/>
        <v>0</v>
      </c>
      <c r="AC243" s="28">
        <f t="shared" si="117"/>
        <v>0</v>
      </c>
      <c r="AD243" s="29">
        <f t="shared" si="118"/>
        <v>0</v>
      </c>
      <c r="AE243" s="30">
        <v>0.10316191620879121</v>
      </c>
      <c r="AF243" s="23">
        <f t="shared" si="119"/>
        <v>0.75</v>
      </c>
      <c r="AG243" s="24">
        <f t="shared" si="137"/>
        <v>3</v>
      </c>
      <c r="AH243" s="28">
        <f t="shared" si="120"/>
        <v>0.6</v>
      </c>
      <c r="AI243" s="29">
        <f t="shared" si="121"/>
        <v>0.15</v>
      </c>
      <c r="AJ243" s="31">
        <v>1</v>
      </c>
      <c r="AK243" s="31">
        <v>1</v>
      </c>
      <c r="AL243" s="31">
        <v>1</v>
      </c>
      <c r="AM243" s="31">
        <v>1</v>
      </c>
      <c r="AN243" s="31">
        <v>1</v>
      </c>
      <c r="AO243" s="31">
        <v>1</v>
      </c>
      <c r="AP243" s="31">
        <v>1</v>
      </c>
      <c r="AQ243" s="31">
        <v>1</v>
      </c>
      <c r="AR243" s="23">
        <f t="shared" si="122"/>
        <v>1</v>
      </c>
      <c r="AS243" s="24">
        <f t="shared" si="123"/>
        <v>8</v>
      </c>
      <c r="AT243" s="28">
        <f t="shared" si="124"/>
        <v>1</v>
      </c>
      <c r="AU243" s="28">
        <f t="shared" si="125"/>
        <v>0.15</v>
      </c>
      <c r="AV243" s="32">
        <v>75</v>
      </c>
      <c r="AW243" s="32">
        <v>75</v>
      </c>
      <c r="AX243" s="32">
        <v>85</v>
      </c>
      <c r="AY243" s="32">
        <v>85</v>
      </c>
      <c r="AZ243" s="32">
        <v>85</v>
      </c>
      <c r="BA243" s="32">
        <v>100</v>
      </c>
      <c r="BB243" s="23">
        <f t="shared" ca="1" si="126"/>
        <v>0.8</v>
      </c>
      <c r="BC243" s="33">
        <f t="shared" si="132"/>
        <v>84.166666666666671</v>
      </c>
      <c r="BD243" s="28">
        <f t="shared" si="127"/>
        <v>0.94059405940594054</v>
      </c>
      <c r="BE243" s="28">
        <f t="shared" si="128"/>
        <v>0.18811881188118812</v>
      </c>
      <c r="BF243" s="34">
        <f ca="1">Q243+AA243+AF243+AR243+BB243</f>
        <v>3.55</v>
      </c>
      <c r="BG243" s="34">
        <f>AVERAGE(AV243:AZ243)</f>
        <v>81</v>
      </c>
      <c r="BH243" s="35">
        <f>T243+AD243+AI243+AU243+BE243</f>
        <v>0.70754398532023677</v>
      </c>
      <c r="BI243" s="36" t="str">
        <f ca="1">IF(K243&lt;365,"New CE",(IF(BH243&gt;=100%,"Promote",IF(BH243&gt;=90%,"Sangat Baik",IF(BH243&gt;=80%,"Baik",IF(BH243&gt;=70%,"Lebih Dari Cukup",IF(BH243&gt;=60%,"Cukup","Kurang")))))))</f>
        <v>Lebih Dari Cukup</v>
      </c>
      <c r="BJ243" s="36" t="s">
        <v>860</v>
      </c>
      <c r="BK243" s="58" t="s">
        <v>54</v>
      </c>
      <c r="BL243" s="59" t="str">
        <v>Rizki Aprianto</v>
      </c>
    </row>
    <row r="244" spans="1:65" x14ac:dyDescent="0.35">
      <c r="A244" s="19">
        <v>240</v>
      </c>
      <c r="B244" s="39" t="s">
        <v>602</v>
      </c>
      <c r="C244" s="40" t="s">
        <v>603</v>
      </c>
      <c r="D244" s="77" t="s">
        <v>48</v>
      </c>
      <c r="E244" s="39" t="s">
        <v>480</v>
      </c>
      <c r="F244" s="39" t="s">
        <v>74</v>
      </c>
      <c r="G244" s="39" t="s">
        <v>51</v>
      </c>
      <c r="H244" s="66">
        <v>44692</v>
      </c>
      <c r="I244" s="68">
        <f t="shared" ca="1" si="129"/>
        <v>45974</v>
      </c>
      <c r="J244" s="39" t="str">
        <f t="shared" ca="1" si="112"/>
        <v xml:space="preserve">3 Tahun 6 Bulan 2 Hari </v>
      </c>
      <c r="K244" s="39">
        <f t="shared" ca="1" si="130"/>
        <v>1846080</v>
      </c>
      <c r="L244" s="39">
        <v>54</v>
      </c>
      <c r="M244" s="39">
        <v>2</v>
      </c>
      <c r="N244" s="39">
        <v>546</v>
      </c>
      <c r="O244" s="41">
        <f t="shared" si="113"/>
        <v>273</v>
      </c>
      <c r="P244" s="39">
        <v>287</v>
      </c>
      <c r="Q244" s="42">
        <f t="shared" si="114"/>
        <v>1</v>
      </c>
      <c r="R244" s="43">
        <f t="shared" si="115"/>
        <v>5</v>
      </c>
      <c r="S244" s="44">
        <f t="shared" si="131"/>
        <v>1.0512820512820513</v>
      </c>
      <c r="T244" s="44">
        <f t="shared" si="116"/>
        <v>0.21025641025641029</v>
      </c>
      <c r="U244" s="45">
        <v>12183.35689701897</v>
      </c>
      <c r="V244" s="45">
        <v>11350.184351851851</v>
      </c>
      <c r="W244" s="45">
        <v>12978.278111772486</v>
      </c>
      <c r="X244" s="46">
        <f t="shared" si="134"/>
        <v>0</v>
      </c>
      <c r="Y244" s="46">
        <f t="shared" si="135"/>
        <v>0</v>
      </c>
      <c r="Z244" s="46">
        <f t="shared" si="138"/>
        <v>1</v>
      </c>
      <c r="AA244" s="42">
        <f t="shared" si="139"/>
        <v>0.4</v>
      </c>
      <c r="AB244" s="43">
        <f t="shared" si="136"/>
        <v>1</v>
      </c>
      <c r="AC244" s="47">
        <f t="shared" si="117"/>
        <v>0.33333333333333331</v>
      </c>
      <c r="AD244" s="48">
        <f t="shared" si="118"/>
        <v>8.3333333333333329E-2</v>
      </c>
      <c r="AE244" s="49">
        <v>0.11972931417937548</v>
      </c>
      <c r="AF244" s="42">
        <f t="shared" si="119"/>
        <v>0.75</v>
      </c>
      <c r="AG244" s="43">
        <f t="shared" si="137"/>
        <v>3</v>
      </c>
      <c r="AH244" s="47">
        <f t="shared" si="120"/>
        <v>0.6</v>
      </c>
      <c r="AI244" s="48">
        <f t="shared" si="121"/>
        <v>0.15</v>
      </c>
      <c r="AJ244" s="50">
        <v>1</v>
      </c>
      <c r="AK244" s="50">
        <v>1</v>
      </c>
      <c r="AL244" s="50">
        <v>1</v>
      </c>
      <c r="AM244" s="50">
        <v>0</v>
      </c>
      <c r="AN244" s="50">
        <v>0</v>
      </c>
      <c r="AO244" s="50">
        <v>0</v>
      </c>
      <c r="AP244" s="50">
        <v>0</v>
      </c>
      <c r="AQ244" s="50">
        <v>1</v>
      </c>
      <c r="AR244" s="42">
        <f t="shared" si="122"/>
        <v>0.8</v>
      </c>
      <c r="AS244" s="43">
        <f t="shared" si="123"/>
        <v>4</v>
      </c>
      <c r="AT244" s="47">
        <f t="shared" si="124"/>
        <v>0.5</v>
      </c>
      <c r="AU244" s="47">
        <f t="shared" si="125"/>
        <v>7.4999999999999997E-2</v>
      </c>
      <c r="AV244" s="51">
        <v>75</v>
      </c>
      <c r="AW244" s="51">
        <v>75</v>
      </c>
      <c r="AX244" s="51">
        <v>80</v>
      </c>
      <c r="AY244" s="51">
        <v>85</v>
      </c>
      <c r="AZ244" s="51">
        <v>85</v>
      </c>
      <c r="BA244" s="32">
        <v>100</v>
      </c>
      <c r="BB244" s="42">
        <f t="shared" ca="1" si="126"/>
        <v>0.8</v>
      </c>
      <c r="BC244" s="33">
        <f t="shared" si="132"/>
        <v>83.333333333333329</v>
      </c>
      <c r="BD244" s="47">
        <f t="shared" si="127"/>
        <v>0.94</v>
      </c>
      <c r="BE244" s="47">
        <f t="shared" si="128"/>
        <v>0.188</v>
      </c>
      <c r="BF244" s="52">
        <f ca="1">Q244+AA244+AF244+AR244+BB244</f>
        <v>3.75</v>
      </c>
      <c r="BG244" s="52">
        <f>AVERAGE(AV244:AZ244)</f>
        <v>80</v>
      </c>
      <c r="BH244" s="53">
        <f>T244+AD244+AI244+AU244+BE244</f>
        <v>0.70658974358974347</v>
      </c>
      <c r="BI244" s="69" t="str">
        <f ca="1">IF(K244&lt;365,"New CE",(IF(BH244&gt;=100%,"Promote",IF(BH244&gt;=90%,"Sangat Baik",IF(BH244&gt;=80%,"Baik",IF(BH244&gt;=70%,"Lebih Dari Cukup",IF(BH244&gt;=60%,"Cukup","Kurang")))))))</f>
        <v>Lebih Dari Cukup</v>
      </c>
      <c r="BJ244" s="69" t="s">
        <v>860</v>
      </c>
      <c r="BK244" s="70" t="s">
        <v>48</v>
      </c>
      <c r="BL244" s="71" t="str">
        <v>Jeki Saputra</v>
      </c>
      <c r="BM244" s="72" t="s">
        <v>899</v>
      </c>
    </row>
    <row r="245" spans="1:65" x14ac:dyDescent="0.35">
      <c r="A245" s="19">
        <v>241</v>
      </c>
      <c r="B245" s="13" t="s">
        <v>604</v>
      </c>
      <c r="C245" s="20" t="s">
        <v>605</v>
      </c>
      <c r="D245" s="76" t="s">
        <v>54</v>
      </c>
      <c r="E245" s="13" t="s">
        <v>226</v>
      </c>
      <c r="F245" s="13" t="s">
        <v>74</v>
      </c>
      <c r="G245" s="13" t="s">
        <v>61</v>
      </c>
      <c r="H245" s="65">
        <v>43350</v>
      </c>
      <c r="I245" s="21">
        <f t="shared" ca="1" si="129"/>
        <v>45974</v>
      </c>
      <c r="J245" s="13" t="str">
        <f t="shared" ca="1" si="112"/>
        <v xml:space="preserve">7 Tahun 2 Bulan 6 Hari </v>
      </c>
      <c r="K245" s="13">
        <f t="shared" ca="1" si="130"/>
        <v>3778560</v>
      </c>
      <c r="L245" s="13">
        <v>283</v>
      </c>
      <c r="M245" s="13">
        <v>4</v>
      </c>
      <c r="N245" s="13">
        <v>1878</v>
      </c>
      <c r="O245" s="22">
        <f t="shared" si="113"/>
        <v>469.5</v>
      </c>
      <c r="P245" s="13">
        <v>416</v>
      </c>
      <c r="Q245" s="23">
        <f t="shared" si="114"/>
        <v>0.8</v>
      </c>
      <c r="R245" s="24">
        <f t="shared" si="115"/>
        <v>4</v>
      </c>
      <c r="S245" s="25">
        <f t="shared" si="131"/>
        <v>0.88604898828541001</v>
      </c>
      <c r="T245" s="25">
        <f t="shared" si="116"/>
        <v>0.177209797657082</v>
      </c>
      <c r="U245" s="26">
        <v>8180.8891432870332</v>
      </c>
      <c r="V245" s="26">
        <v>9894.3648495370344</v>
      </c>
      <c r="W245" s="26">
        <v>9065.4840300925916</v>
      </c>
      <c r="X245" s="27">
        <f t="shared" si="134"/>
        <v>0</v>
      </c>
      <c r="Y245" s="27">
        <f t="shared" si="135"/>
        <v>0</v>
      </c>
      <c r="Z245" s="27">
        <f t="shared" si="138"/>
        <v>1</v>
      </c>
      <c r="AA245" s="23">
        <f t="shared" si="139"/>
        <v>0.4</v>
      </c>
      <c r="AB245" s="24">
        <f t="shared" si="136"/>
        <v>1</v>
      </c>
      <c r="AC245" s="28">
        <f t="shared" si="117"/>
        <v>0.33333333333333331</v>
      </c>
      <c r="AD245" s="29">
        <f t="shared" si="118"/>
        <v>8.3333333333333329E-2</v>
      </c>
      <c r="AE245" s="30">
        <v>4.855460094175372E-2</v>
      </c>
      <c r="AF245" s="23">
        <f t="shared" si="119"/>
        <v>1</v>
      </c>
      <c r="AG245" s="24">
        <f t="shared" si="137"/>
        <v>4</v>
      </c>
      <c r="AH245" s="28">
        <f t="shared" si="120"/>
        <v>0.8</v>
      </c>
      <c r="AI245" s="29">
        <f t="shared" si="121"/>
        <v>0.2</v>
      </c>
      <c r="AJ245" s="31">
        <v>1</v>
      </c>
      <c r="AK245" s="31">
        <v>1</v>
      </c>
      <c r="AL245" s="31">
        <v>0</v>
      </c>
      <c r="AM245" s="31">
        <v>0</v>
      </c>
      <c r="AN245" s="31">
        <v>0</v>
      </c>
      <c r="AO245" s="31">
        <v>1</v>
      </c>
      <c r="AP245" s="31">
        <v>0</v>
      </c>
      <c r="AQ245" s="31">
        <v>0</v>
      </c>
      <c r="AR245" s="23">
        <f t="shared" si="122"/>
        <v>0.6</v>
      </c>
      <c r="AS245" s="24">
        <f t="shared" si="123"/>
        <v>3</v>
      </c>
      <c r="AT245" s="28">
        <f t="shared" si="124"/>
        <v>0.375</v>
      </c>
      <c r="AU245" s="28">
        <f t="shared" si="125"/>
        <v>5.6249999999999994E-2</v>
      </c>
      <c r="AV245" s="32">
        <v>75</v>
      </c>
      <c r="AW245" s="32">
        <v>75</v>
      </c>
      <c r="AX245" s="32">
        <v>70</v>
      </c>
      <c r="AY245" s="32">
        <v>70</v>
      </c>
      <c r="AZ245" s="32">
        <v>70</v>
      </c>
      <c r="BA245" s="32">
        <v>100</v>
      </c>
      <c r="BB245" s="23">
        <f t="shared" ca="1" si="126"/>
        <v>0.8</v>
      </c>
      <c r="BC245" s="33">
        <f t="shared" si="132"/>
        <v>76.666666666666671</v>
      </c>
      <c r="BD245" s="28">
        <f t="shared" si="127"/>
        <v>0.93478260869565222</v>
      </c>
      <c r="BE245" s="28">
        <f t="shared" si="128"/>
        <v>0.18695652173913047</v>
      </c>
      <c r="BF245" s="34">
        <f ca="1">Q245+AA245+AF245+AR245+BB245</f>
        <v>3.6000000000000005</v>
      </c>
      <c r="BG245" s="34">
        <f>AVERAGE(AV245:AZ245)</f>
        <v>72</v>
      </c>
      <c r="BH245" s="35">
        <f>T245+AD245+AI245+AU245+BE245</f>
        <v>0.70374965272954582</v>
      </c>
      <c r="BI245" s="36" t="str">
        <f ca="1">IF(K245&lt;365,"New CE",(IF(BH245&gt;=100%,"Promote",IF(BH245&gt;=90%,"Sangat Baik",IF(BH245&gt;=80%,"Baik",IF(BH245&gt;=70%,"Lebih Dari Cukup",IF(BH245&gt;=60%,"Cukup","Kurang")))))))</f>
        <v>Lebih Dari Cukup</v>
      </c>
      <c r="BJ245" s="36" t="s">
        <v>860</v>
      </c>
      <c r="BK245" s="58" t="s">
        <v>54</v>
      </c>
      <c r="BL245" s="59" t="str">
        <v>Robert Parulian</v>
      </c>
    </row>
    <row r="246" spans="1:65" x14ac:dyDescent="0.35">
      <c r="A246" s="19">
        <v>242</v>
      </c>
      <c r="B246" s="13" t="s">
        <v>606</v>
      </c>
      <c r="C246" s="20" t="s">
        <v>607</v>
      </c>
      <c r="D246" s="76" t="s">
        <v>42</v>
      </c>
      <c r="E246" s="13" t="s">
        <v>349</v>
      </c>
      <c r="F246" s="13" t="s">
        <v>50</v>
      </c>
      <c r="G246" s="13" t="s">
        <v>55</v>
      </c>
      <c r="H246" s="65">
        <v>43892</v>
      </c>
      <c r="I246" s="21">
        <f t="shared" ca="1" si="129"/>
        <v>45974</v>
      </c>
      <c r="J246" s="13" t="str">
        <f t="shared" ca="1" si="112"/>
        <v xml:space="preserve">5 Tahun 8 Bulan 11 Hari </v>
      </c>
      <c r="K246" s="13">
        <f t="shared" ca="1" si="130"/>
        <v>2998080</v>
      </c>
      <c r="L246" s="13">
        <v>338</v>
      </c>
      <c r="M246" s="13">
        <v>6</v>
      </c>
      <c r="N246" s="13">
        <v>2750</v>
      </c>
      <c r="O246" s="22">
        <f t="shared" si="113"/>
        <v>458.33333333333331</v>
      </c>
      <c r="P246" s="13">
        <v>405</v>
      </c>
      <c r="Q246" s="23">
        <f t="shared" si="114"/>
        <v>0.8</v>
      </c>
      <c r="R246" s="24">
        <f t="shared" si="115"/>
        <v>4</v>
      </c>
      <c r="S246" s="25">
        <f t="shared" si="131"/>
        <v>0.88363636363636366</v>
      </c>
      <c r="T246" s="25">
        <f t="shared" si="116"/>
        <v>0.17672727272727273</v>
      </c>
      <c r="U246" s="26">
        <v>6944.5768082719205</v>
      </c>
      <c r="V246" s="26">
        <v>9.4907407407407406E-3</v>
      </c>
      <c r="W246" s="26">
        <v>0</v>
      </c>
      <c r="X246" s="27">
        <f t="shared" si="134"/>
        <v>0</v>
      </c>
      <c r="Y246" s="27">
        <f t="shared" si="135"/>
        <v>1</v>
      </c>
      <c r="Z246" s="27">
        <f t="shared" si="138"/>
        <v>0</v>
      </c>
      <c r="AA246" s="23">
        <f t="shared" si="139"/>
        <v>0.4</v>
      </c>
      <c r="AB246" s="24">
        <f t="shared" si="136"/>
        <v>1</v>
      </c>
      <c r="AC246" s="28">
        <f t="shared" si="117"/>
        <v>0.33333333333333331</v>
      </c>
      <c r="AD246" s="29">
        <f t="shared" si="118"/>
        <v>8.3333333333333329E-2</v>
      </c>
      <c r="AE246" s="30">
        <v>4.7841332029444766E-2</v>
      </c>
      <c r="AF246" s="23">
        <f t="shared" si="119"/>
        <v>1</v>
      </c>
      <c r="AG246" s="24">
        <f t="shared" si="137"/>
        <v>4</v>
      </c>
      <c r="AH246" s="28">
        <f t="shared" si="120"/>
        <v>0.8</v>
      </c>
      <c r="AI246" s="29">
        <f t="shared" si="121"/>
        <v>0.2</v>
      </c>
      <c r="AJ246" s="31">
        <v>1</v>
      </c>
      <c r="AK246" s="31">
        <v>1</v>
      </c>
      <c r="AL246" s="31">
        <v>1</v>
      </c>
      <c r="AM246" s="31">
        <v>0</v>
      </c>
      <c r="AN246" s="31">
        <v>0</v>
      </c>
      <c r="AO246" s="31">
        <v>0</v>
      </c>
      <c r="AP246" s="31">
        <v>0</v>
      </c>
      <c r="AQ246" s="31">
        <v>0</v>
      </c>
      <c r="AR246" s="23">
        <f t="shared" si="122"/>
        <v>0.6</v>
      </c>
      <c r="AS246" s="24">
        <f t="shared" si="123"/>
        <v>3</v>
      </c>
      <c r="AT246" s="28">
        <f t="shared" si="124"/>
        <v>0.375</v>
      </c>
      <c r="AU246" s="28">
        <f t="shared" si="125"/>
        <v>5.6249999999999994E-2</v>
      </c>
      <c r="AV246" s="32">
        <v>75</v>
      </c>
      <c r="AW246" s="32">
        <v>75</v>
      </c>
      <c r="AX246" s="32">
        <v>90</v>
      </c>
      <c r="AY246" s="32">
        <v>80</v>
      </c>
      <c r="AZ246" s="32">
        <v>90</v>
      </c>
      <c r="BA246" s="32">
        <v>100</v>
      </c>
      <c r="BB246" s="23">
        <f t="shared" ca="1" si="126"/>
        <v>0.8</v>
      </c>
      <c r="BC246" s="33">
        <f t="shared" si="132"/>
        <v>85</v>
      </c>
      <c r="BD246" s="28">
        <f t="shared" si="127"/>
        <v>0.94117647058823528</v>
      </c>
      <c r="BE246" s="28">
        <f t="shared" si="128"/>
        <v>0.18823529411764706</v>
      </c>
      <c r="BF246" s="34">
        <f ca="1">Q246+AA246+AF246+AR246+BB246</f>
        <v>3.6000000000000005</v>
      </c>
      <c r="BG246" s="34">
        <f>AVERAGE(AV246:AZ246)</f>
        <v>82</v>
      </c>
      <c r="BH246" s="35">
        <f>T246+AD246+AI246+AU246+BE246</f>
        <v>0.70454590017825314</v>
      </c>
      <c r="BI246" s="36" t="str">
        <f ca="1">IF(K246&lt;365,"New CE",(IF(BH246&gt;=100%,"Promote",IF(BH246&gt;=90%,"Sangat Baik",IF(BH246&gt;=80%,"Baik",IF(BH246&gt;=70%,"Lebih Dari Cukup",IF(BH246&gt;=60%,"Cukup","Kurang")))))))</f>
        <v>Lebih Dari Cukup</v>
      </c>
      <c r="BJ246" s="36" t="s">
        <v>860</v>
      </c>
      <c r="BK246" s="58" t="s">
        <v>42</v>
      </c>
      <c r="BL246" s="59" t="e">
        <v>#N/A</v>
      </c>
    </row>
    <row r="247" spans="1:65" x14ac:dyDescent="0.35">
      <c r="A247" s="19">
        <v>243</v>
      </c>
      <c r="B247" s="13" t="s">
        <v>608</v>
      </c>
      <c r="C247" s="20" t="s">
        <v>609</v>
      </c>
      <c r="D247" s="76" t="s">
        <v>42</v>
      </c>
      <c r="E247" s="13" t="s">
        <v>70</v>
      </c>
      <c r="F247" s="13" t="s">
        <v>50</v>
      </c>
      <c r="G247" s="13" t="s">
        <v>45</v>
      </c>
      <c r="H247" s="65">
        <v>44291</v>
      </c>
      <c r="I247" s="21">
        <f t="shared" ca="1" si="129"/>
        <v>45974</v>
      </c>
      <c r="J247" s="13" t="str">
        <f t="shared" ca="1" si="112"/>
        <v xml:space="preserve">4 Tahun 7 Bulan 8 Hari </v>
      </c>
      <c r="K247" s="13">
        <f t="shared" ca="1" si="130"/>
        <v>2423520</v>
      </c>
      <c r="L247" s="13">
        <v>329</v>
      </c>
      <c r="M247" s="13">
        <v>6</v>
      </c>
      <c r="N247" s="13">
        <v>1945</v>
      </c>
      <c r="O247" s="22">
        <f t="shared" si="113"/>
        <v>324.16666666666669</v>
      </c>
      <c r="P247" s="13">
        <v>250</v>
      </c>
      <c r="Q247" s="23">
        <f t="shared" si="114"/>
        <v>0.6</v>
      </c>
      <c r="R247" s="24">
        <f t="shared" si="115"/>
        <v>3</v>
      </c>
      <c r="S247" s="25">
        <f t="shared" si="131"/>
        <v>0.77120822622107965</v>
      </c>
      <c r="T247" s="25">
        <f t="shared" si="116"/>
        <v>0.15424164524421594</v>
      </c>
      <c r="U247" s="26">
        <v>9088.8018175925918</v>
      </c>
      <c r="V247" s="26">
        <v>9079.511906635802</v>
      </c>
      <c r="W247" s="26">
        <v>7.4074074074074087E-5</v>
      </c>
      <c r="X247" s="27">
        <f t="shared" si="134"/>
        <v>0</v>
      </c>
      <c r="Y247" s="27">
        <f t="shared" si="135"/>
        <v>0</v>
      </c>
      <c r="Z247" s="27">
        <f t="shared" si="138"/>
        <v>1</v>
      </c>
      <c r="AA247" s="23">
        <f t="shared" si="139"/>
        <v>0.4</v>
      </c>
      <c r="AB247" s="24">
        <f t="shared" si="136"/>
        <v>1</v>
      </c>
      <c r="AC247" s="28">
        <f t="shared" si="117"/>
        <v>0.33333333333333331</v>
      </c>
      <c r="AD247" s="29">
        <f t="shared" si="118"/>
        <v>8.3333333333333329E-2</v>
      </c>
      <c r="AE247" s="30">
        <v>4.643675160122529E-2</v>
      </c>
      <c r="AF247" s="23">
        <f t="shared" si="119"/>
        <v>1</v>
      </c>
      <c r="AG247" s="24">
        <f t="shared" si="137"/>
        <v>4</v>
      </c>
      <c r="AH247" s="28">
        <f t="shared" si="120"/>
        <v>0.8</v>
      </c>
      <c r="AI247" s="29">
        <f t="shared" si="121"/>
        <v>0.2</v>
      </c>
      <c r="AJ247" s="31">
        <v>1</v>
      </c>
      <c r="AK247" s="31">
        <v>1</v>
      </c>
      <c r="AL247" s="31">
        <v>0</v>
      </c>
      <c r="AM247" s="31">
        <v>0</v>
      </c>
      <c r="AN247" s="31">
        <v>1</v>
      </c>
      <c r="AO247" s="31">
        <v>1</v>
      </c>
      <c r="AP247" s="31">
        <v>0</v>
      </c>
      <c r="AQ247" s="31">
        <v>0</v>
      </c>
      <c r="AR247" s="23">
        <f t="shared" si="122"/>
        <v>0.8</v>
      </c>
      <c r="AS247" s="24">
        <f t="shared" si="123"/>
        <v>4</v>
      </c>
      <c r="AT247" s="28">
        <f t="shared" si="124"/>
        <v>0.5</v>
      </c>
      <c r="AU247" s="28">
        <f t="shared" si="125"/>
        <v>7.4999999999999997E-2</v>
      </c>
      <c r="AV247" s="32">
        <v>75</v>
      </c>
      <c r="AW247" s="32">
        <v>75</v>
      </c>
      <c r="AX247" s="32">
        <v>90</v>
      </c>
      <c r="AY247" s="32">
        <v>90</v>
      </c>
      <c r="AZ247" s="32">
        <v>90</v>
      </c>
      <c r="BA247" s="32">
        <v>100</v>
      </c>
      <c r="BB247" s="23">
        <f t="shared" ca="1" si="126"/>
        <v>0.8</v>
      </c>
      <c r="BC247" s="33">
        <f t="shared" si="132"/>
        <v>86.666666666666671</v>
      </c>
      <c r="BD247" s="28">
        <f t="shared" si="127"/>
        <v>0.94230769230769229</v>
      </c>
      <c r="BE247" s="28">
        <f t="shared" si="128"/>
        <v>0.18846153846153846</v>
      </c>
      <c r="BF247" s="34">
        <f ca="1">Q247+AA247+AF247+AR247+BB247</f>
        <v>3.5999999999999996</v>
      </c>
      <c r="BG247" s="34">
        <f>AVERAGE(AV247:AZ247)</f>
        <v>84</v>
      </c>
      <c r="BH247" s="35">
        <f>T247+AD247+AI247+AU247+BE247</f>
        <v>0.70103651703908776</v>
      </c>
      <c r="BI247" s="36" t="str">
        <f ca="1">IF(K247&lt;365,"New CE",(IF(BH247&gt;=100%,"Promote",IF(BH247&gt;=90%,"Sangat Baik",IF(BH247&gt;=80%,"Baik",IF(BH247&gt;=70%,"Lebih Dari Cukup",IF(BH247&gt;=60%,"Cukup","Kurang")))))))</f>
        <v>Lebih Dari Cukup</v>
      </c>
      <c r="BJ247" s="36" t="s">
        <v>860</v>
      </c>
      <c r="BK247" s="58" t="s">
        <v>42</v>
      </c>
      <c r="BL247" s="59" t="e">
        <v>#N/A</v>
      </c>
    </row>
    <row r="248" spans="1:65" x14ac:dyDescent="0.35">
      <c r="A248" s="19">
        <v>244</v>
      </c>
      <c r="B248" s="13" t="s">
        <v>610</v>
      </c>
      <c r="C248" s="20" t="s">
        <v>611</v>
      </c>
      <c r="D248" s="76" t="s">
        <v>48</v>
      </c>
      <c r="E248" s="13" t="s">
        <v>446</v>
      </c>
      <c r="F248" s="13" t="s">
        <v>44</v>
      </c>
      <c r="G248" s="13" t="s">
        <v>61</v>
      </c>
      <c r="H248" s="65">
        <v>45243</v>
      </c>
      <c r="I248" s="21">
        <f t="shared" ca="1" si="129"/>
        <v>45974</v>
      </c>
      <c r="J248" s="13" t="str">
        <f t="shared" ca="1" si="112"/>
        <v xml:space="preserve">2 Tahun 0 Bulan 0 Hari </v>
      </c>
      <c r="K248" s="13">
        <f t="shared" ca="1" si="130"/>
        <v>1052640</v>
      </c>
      <c r="L248" s="13">
        <v>305</v>
      </c>
      <c r="M248" s="13">
        <v>6</v>
      </c>
      <c r="N248" s="13">
        <v>2018</v>
      </c>
      <c r="O248" s="22">
        <f t="shared" si="113"/>
        <v>336.33333333333331</v>
      </c>
      <c r="P248" s="13">
        <v>290</v>
      </c>
      <c r="Q248" s="23">
        <f t="shared" si="114"/>
        <v>0.8</v>
      </c>
      <c r="R248" s="24">
        <f t="shared" si="115"/>
        <v>4</v>
      </c>
      <c r="S248" s="25">
        <f t="shared" si="131"/>
        <v>0.8622398414271556</v>
      </c>
      <c r="T248" s="25">
        <f t="shared" si="116"/>
        <v>0.17244796828543113</v>
      </c>
      <c r="U248" s="26">
        <v>3.6111111111111115E-2</v>
      </c>
      <c r="V248" s="26">
        <v>1898.2677242476857</v>
      </c>
      <c r="W248" s="26">
        <v>0</v>
      </c>
      <c r="X248" s="27">
        <f t="shared" ref="X248:X277" si="140">IF(U248=TIME(0,0,0), 0, IF(U248&lt;=TIME(1,30,0), 1, 0))</f>
        <v>1</v>
      </c>
      <c r="Y248" s="27">
        <f t="shared" ref="Y248:Y277" si="141">IF(V248=TIME(0,0,0), 0, IF(V248&lt;=TIME(3,0,0), 1, 0))</f>
        <v>0</v>
      </c>
      <c r="Z248" s="27">
        <f t="shared" si="138"/>
        <v>0</v>
      </c>
      <c r="AA248" s="23">
        <f t="shared" si="139"/>
        <v>0.4</v>
      </c>
      <c r="AB248" s="24">
        <f t="shared" si="136"/>
        <v>1</v>
      </c>
      <c r="AC248" s="28">
        <f t="shared" si="117"/>
        <v>0.33333333333333331</v>
      </c>
      <c r="AD248" s="29">
        <f t="shared" si="118"/>
        <v>8.3333333333333329E-2</v>
      </c>
      <c r="AE248" s="30">
        <v>7.7917148919753071E-2</v>
      </c>
      <c r="AF248" s="23">
        <f t="shared" si="119"/>
        <v>1</v>
      </c>
      <c r="AG248" s="24">
        <f t="shared" si="137"/>
        <v>4</v>
      </c>
      <c r="AH248" s="28">
        <f t="shared" si="120"/>
        <v>0.8</v>
      </c>
      <c r="AI248" s="29">
        <f t="shared" si="121"/>
        <v>0.2</v>
      </c>
      <c r="AJ248" s="31">
        <v>1</v>
      </c>
      <c r="AK248" s="31">
        <v>1</v>
      </c>
      <c r="AL248" s="31">
        <v>1</v>
      </c>
      <c r="AM248" s="31">
        <v>0</v>
      </c>
      <c r="AN248" s="31">
        <v>0</v>
      </c>
      <c r="AO248" s="31">
        <v>0</v>
      </c>
      <c r="AP248" s="31">
        <v>0</v>
      </c>
      <c r="AQ248" s="31">
        <v>0</v>
      </c>
      <c r="AR248" s="23">
        <f t="shared" si="122"/>
        <v>0.6</v>
      </c>
      <c r="AS248" s="24">
        <f t="shared" si="123"/>
        <v>3</v>
      </c>
      <c r="AT248" s="28">
        <f t="shared" si="124"/>
        <v>0.375</v>
      </c>
      <c r="AU248" s="28">
        <f t="shared" si="125"/>
        <v>5.6249999999999994E-2</v>
      </c>
      <c r="AV248" s="32">
        <v>75</v>
      </c>
      <c r="AW248" s="32">
        <v>75</v>
      </c>
      <c r="AX248" s="32">
        <v>80</v>
      </c>
      <c r="AY248" s="32">
        <v>80</v>
      </c>
      <c r="AZ248" s="32">
        <v>80</v>
      </c>
      <c r="BA248" s="32">
        <v>100</v>
      </c>
      <c r="BB248" s="23">
        <f t="shared" ca="1" si="126"/>
        <v>0.8</v>
      </c>
      <c r="BC248" s="33">
        <f t="shared" si="132"/>
        <v>81.666666666666671</v>
      </c>
      <c r="BD248" s="28">
        <f t="shared" si="127"/>
        <v>0.93877551020408168</v>
      </c>
      <c r="BE248" s="28">
        <f t="shared" si="128"/>
        <v>0.18775510204081636</v>
      </c>
      <c r="BF248" s="34">
        <f ca="1">Q248+AA248+AF248+AR248+BB248</f>
        <v>3.6000000000000005</v>
      </c>
      <c r="BG248" s="34">
        <f>AVERAGE(AV248:AZ248)</f>
        <v>78</v>
      </c>
      <c r="BH248" s="35">
        <f>T248+AD248+AI248+AU248+BE248</f>
        <v>0.69978640365958078</v>
      </c>
      <c r="BI248" s="36" t="str">
        <f ca="1">IF(K248&lt;365,"New CE",(IF(BH248&gt;=100%,"Promote",IF(BH248&gt;=90%,"Sangat Baik",IF(BH248&gt;=80%,"Baik",IF(BH248&gt;=70%,"Lebih Dari Cukup",IF(BH248&gt;=60%,"Cukup","Kurang")))))))</f>
        <v>Cukup</v>
      </c>
      <c r="BJ248" s="36" t="s">
        <v>860</v>
      </c>
      <c r="BK248" s="58" t="s">
        <v>48</v>
      </c>
      <c r="BL248" s="59" t="e">
        <v>#N/A</v>
      </c>
    </row>
    <row r="249" spans="1:65" x14ac:dyDescent="0.35">
      <c r="A249" s="19">
        <v>245</v>
      </c>
      <c r="B249" s="13" t="s">
        <v>612</v>
      </c>
      <c r="C249" s="20" t="s">
        <v>613</v>
      </c>
      <c r="D249" s="76" t="s">
        <v>48</v>
      </c>
      <c r="E249" s="13" t="s">
        <v>614</v>
      </c>
      <c r="F249" s="13" t="s">
        <v>50</v>
      </c>
      <c r="G249" s="13" t="s">
        <v>61</v>
      </c>
      <c r="H249" s="65">
        <v>44795</v>
      </c>
      <c r="I249" s="21">
        <f t="shared" ca="1" si="129"/>
        <v>45974</v>
      </c>
      <c r="J249" s="13" t="str">
        <f t="shared" ca="1" si="112"/>
        <v xml:space="preserve">3 Tahun 2 Bulan 22 Hari </v>
      </c>
      <c r="K249" s="13">
        <f t="shared" ca="1" si="130"/>
        <v>1697760</v>
      </c>
      <c r="L249" s="13">
        <v>55</v>
      </c>
      <c r="M249" s="13">
        <v>1</v>
      </c>
      <c r="N249" s="13">
        <v>385</v>
      </c>
      <c r="O249" s="22">
        <f t="shared" si="113"/>
        <v>385</v>
      </c>
      <c r="P249" s="13">
        <v>364</v>
      </c>
      <c r="Q249" s="23">
        <f t="shared" si="114"/>
        <v>0.8</v>
      </c>
      <c r="R249" s="24">
        <f t="shared" si="115"/>
        <v>4</v>
      </c>
      <c r="S249" s="25">
        <f t="shared" si="131"/>
        <v>0.94545454545454544</v>
      </c>
      <c r="T249" s="25">
        <f t="shared" si="116"/>
        <v>0.18909090909090909</v>
      </c>
      <c r="U249" s="26">
        <v>21311.121750578703</v>
      </c>
      <c r="V249" s="26">
        <v>0</v>
      </c>
      <c r="W249" s="26">
        <v>24371.184845403444</v>
      </c>
      <c r="X249" s="27">
        <f t="shared" si="140"/>
        <v>0</v>
      </c>
      <c r="Y249" s="27">
        <f t="shared" si="141"/>
        <v>0</v>
      </c>
      <c r="Z249" s="27">
        <f t="shared" si="138"/>
        <v>1</v>
      </c>
      <c r="AA249" s="23">
        <f t="shared" si="139"/>
        <v>0.4</v>
      </c>
      <c r="AB249" s="24">
        <f t="shared" si="136"/>
        <v>1</v>
      </c>
      <c r="AC249" s="28">
        <f t="shared" si="117"/>
        <v>0.33333333333333331</v>
      </c>
      <c r="AD249" s="29">
        <f t="shared" si="118"/>
        <v>8.3333333333333329E-2</v>
      </c>
      <c r="AE249" s="30">
        <v>6.3493369469365846E-2</v>
      </c>
      <c r="AF249" s="23">
        <f t="shared" si="119"/>
        <v>1</v>
      </c>
      <c r="AG249" s="24">
        <f t="shared" si="137"/>
        <v>4</v>
      </c>
      <c r="AH249" s="28">
        <f t="shared" si="120"/>
        <v>0.8</v>
      </c>
      <c r="AI249" s="29">
        <f t="shared" si="121"/>
        <v>0.2</v>
      </c>
      <c r="AJ249" s="31">
        <v>1</v>
      </c>
      <c r="AK249" s="31">
        <v>1</v>
      </c>
      <c r="AL249" s="31">
        <v>0</v>
      </c>
      <c r="AM249" s="31">
        <v>0</v>
      </c>
      <c r="AN249" s="31">
        <v>0</v>
      </c>
      <c r="AO249" s="31">
        <v>0</v>
      </c>
      <c r="AP249" s="31">
        <v>0</v>
      </c>
      <c r="AQ249" s="31">
        <v>0</v>
      </c>
      <c r="AR249" s="23">
        <f t="shared" si="122"/>
        <v>0.4</v>
      </c>
      <c r="AS249" s="24">
        <f t="shared" si="123"/>
        <v>2</v>
      </c>
      <c r="AT249" s="28">
        <f t="shared" si="124"/>
        <v>0.25</v>
      </c>
      <c r="AU249" s="28">
        <f t="shared" si="125"/>
        <v>3.7499999999999999E-2</v>
      </c>
      <c r="AV249" s="32">
        <v>75</v>
      </c>
      <c r="AW249" s="32">
        <v>75</v>
      </c>
      <c r="AX249" s="32">
        <v>90</v>
      </c>
      <c r="AY249" s="32">
        <v>90</v>
      </c>
      <c r="AZ249" s="32">
        <v>75</v>
      </c>
      <c r="BA249" s="32">
        <v>100</v>
      </c>
      <c r="BB249" s="23">
        <f t="shared" ca="1" si="126"/>
        <v>0.8</v>
      </c>
      <c r="BC249" s="33">
        <f t="shared" si="132"/>
        <v>84.166666666666671</v>
      </c>
      <c r="BD249" s="28">
        <f t="shared" si="127"/>
        <v>0.94059405940594054</v>
      </c>
      <c r="BE249" s="28">
        <f t="shared" si="128"/>
        <v>0.18811881188118812</v>
      </c>
      <c r="BF249" s="34">
        <f ca="1">Q249+AA249+AF249+AR249+BB249</f>
        <v>3.4000000000000004</v>
      </c>
      <c r="BG249" s="34">
        <f>AVERAGE(AV249:AZ249)</f>
        <v>81</v>
      </c>
      <c r="BH249" s="35">
        <f>T249+AD249+AI249+AU249+BE249</f>
        <v>0.69804305430543057</v>
      </c>
      <c r="BI249" s="36" t="str">
        <f ca="1">IF(K249&lt;365,"New CE",(IF(BH249&gt;=100%,"Promote",IF(BH249&gt;=90%,"Sangat Baik",IF(BH249&gt;=80%,"Baik",IF(BH249&gt;=70%,"Lebih Dari Cukup",IF(BH249&gt;=60%,"Cukup","Kurang")))))))</f>
        <v>Cukup</v>
      </c>
      <c r="BJ249" s="36" t="s">
        <v>860</v>
      </c>
      <c r="BK249" s="58" t="s">
        <v>48</v>
      </c>
      <c r="BL249" s="59" t="e">
        <v>#N/A</v>
      </c>
    </row>
    <row r="250" spans="1:65" x14ac:dyDescent="0.35">
      <c r="A250" s="19">
        <v>246</v>
      </c>
      <c r="B250" s="13" t="s">
        <v>615</v>
      </c>
      <c r="C250" s="20" t="s">
        <v>616</v>
      </c>
      <c r="D250" s="76" t="s">
        <v>54</v>
      </c>
      <c r="E250" s="13" t="s">
        <v>133</v>
      </c>
      <c r="F250" s="13" t="s">
        <v>50</v>
      </c>
      <c r="G250" s="13" t="s">
        <v>75</v>
      </c>
      <c r="H250" s="65">
        <v>45306</v>
      </c>
      <c r="I250" s="21">
        <f t="shared" ca="1" si="129"/>
        <v>45974</v>
      </c>
      <c r="J250" s="13" t="str">
        <f t="shared" ca="1" si="112"/>
        <v xml:space="preserve">1 Tahun 9 Bulan 29 Hari </v>
      </c>
      <c r="K250" s="13">
        <f t="shared" ca="1" si="130"/>
        <v>961920</v>
      </c>
      <c r="L250" s="13">
        <v>760</v>
      </c>
      <c r="M250" s="13">
        <v>13</v>
      </c>
      <c r="N250" s="13">
        <v>5863</v>
      </c>
      <c r="O250" s="22">
        <f t="shared" si="113"/>
        <v>451</v>
      </c>
      <c r="P250" s="13">
        <v>246</v>
      </c>
      <c r="Q250" s="23">
        <f t="shared" si="114"/>
        <v>0.4</v>
      </c>
      <c r="R250" s="24">
        <f t="shared" si="115"/>
        <v>2</v>
      </c>
      <c r="S250" s="25">
        <f t="shared" si="131"/>
        <v>0.54545454545454541</v>
      </c>
      <c r="T250" s="25">
        <f t="shared" si="116"/>
        <v>0.10909090909090909</v>
      </c>
      <c r="U250" s="26">
        <v>1719.6683204489862</v>
      </c>
      <c r="V250" s="26">
        <v>0</v>
      </c>
      <c r="W250" s="26">
        <v>0</v>
      </c>
      <c r="X250" s="27">
        <f t="shared" si="140"/>
        <v>0</v>
      </c>
      <c r="Y250" s="27">
        <f t="shared" si="141"/>
        <v>0</v>
      </c>
      <c r="Z250" s="27">
        <f t="shared" si="138"/>
        <v>0</v>
      </c>
      <c r="AA250" s="23">
        <f t="shared" si="139"/>
        <v>0</v>
      </c>
      <c r="AB250" s="24">
        <f t="shared" si="136"/>
        <v>0</v>
      </c>
      <c r="AC250" s="28">
        <f t="shared" si="117"/>
        <v>0</v>
      </c>
      <c r="AD250" s="29">
        <f t="shared" si="118"/>
        <v>0</v>
      </c>
      <c r="AE250" s="30">
        <v>2.8856162196679438E-2</v>
      </c>
      <c r="AF250" s="23">
        <f t="shared" si="119"/>
        <v>1.25</v>
      </c>
      <c r="AG250" s="24">
        <f t="shared" si="137"/>
        <v>5</v>
      </c>
      <c r="AH250" s="28">
        <f t="shared" si="120"/>
        <v>1</v>
      </c>
      <c r="AI250" s="29">
        <f t="shared" si="121"/>
        <v>0.25</v>
      </c>
      <c r="AJ250" s="31">
        <v>1</v>
      </c>
      <c r="AK250" s="31">
        <v>1</v>
      </c>
      <c r="AL250" s="31">
        <v>1</v>
      </c>
      <c r="AM250" s="31">
        <v>1</v>
      </c>
      <c r="AN250" s="31">
        <v>1</v>
      </c>
      <c r="AO250" s="31">
        <v>1</v>
      </c>
      <c r="AP250" s="31">
        <v>1</v>
      </c>
      <c r="AQ250" s="31">
        <v>1</v>
      </c>
      <c r="AR250" s="23">
        <f t="shared" si="122"/>
        <v>1</v>
      </c>
      <c r="AS250" s="24">
        <f t="shared" si="123"/>
        <v>8</v>
      </c>
      <c r="AT250" s="28">
        <f t="shared" si="124"/>
        <v>1</v>
      </c>
      <c r="AU250" s="28">
        <f t="shared" si="125"/>
        <v>0.15</v>
      </c>
      <c r="AV250" s="32">
        <v>75</v>
      </c>
      <c r="AW250" s="32">
        <v>75</v>
      </c>
      <c r="AX250" s="32">
        <v>75</v>
      </c>
      <c r="AY250" s="32">
        <v>85</v>
      </c>
      <c r="AZ250" s="32">
        <v>80</v>
      </c>
      <c r="BA250" s="32">
        <v>100</v>
      </c>
      <c r="BB250" s="23">
        <f t="shared" ca="1" si="126"/>
        <v>0.8</v>
      </c>
      <c r="BC250" s="33">
        <f t="shared" si="132"/>
        <v>81.666666666666671</v>
      </c>
      <c r="BD250" s="28">
        <f t="shared" si="127"/>
        <v>0.93877551020408168</v>
      </c>
      <c r="BE250" s="28">
        <f t="shared" si="128"/>
        <v>0.18775510204081636</v>
      </c>
      <c r="BF250" s="34">
        <f ca="1">Q250+AA250+AF250+AR250+BB250</f>
        <v>3.45</v>
      </c>
      <c r="BG250" s="34">
        <f>AVERAGE(AV250:AZ250)</f>
        <v>78</v>
      </c>
      <c r="BH250" s="35">
        <f>T250+AD250+AI250+AU250+BE250</f>
        <v>0.6968460111317254</v>
      </c>
      <c r="BI250" s="36" t="str">
        <f ca="1">IF(K250&lt;365,"New CE",(IF(BH250&gt;=100%,"Promote",IF(BH250&gt;=90%,"Sangat Baik",IF(BH250&gt;=80%,"Baik",IF(BH250&gt;=70%,"Lebih Dari Cukup",IF(BH250&gt;=60%,"Cukup","Kurang")))))))</f>
        <v>Cukup</v>
      </c>
      <c r="BJ250" s="36" t="s">
        <v>860</v>
      </c>
      <c r="BK250" s="58" t="s">
        <v>54</v>
      </c>
      <c r="BL250" s="59" t="e">
        <v>#N/A</v>
      </c>
    </row>
    <row r="251" spans="1:65" x14ac:dyDescent="0.35">
      <c r="A251" s="19">
        <v>247</v>
      </c>
      <c r="B251" s="13" t="s">
        <v>617</v>
      </c>
      <c r="C251" s="20" t="s">
        <v>618</v>
      </c>
      <c r="D251" s="76" t="s">
        <v>54</v>
      </c>
      <c r="E251" s="13" t="s">
        <v>244</v>
      </c>
      <c r="F251" s="13" t="s">
        <v>74</v>
      </c>
      <c r="G251" s="13" t="s">
        <v>61</v>
      </c>
      <c r="H251" s="65">
        <v>45173</v>
      </c>
      <c r="I251" s="21">
        <f t="shared" ca="1" si="129"/>
        <v>45974</v>
      </c>
      <c r="J251" s="13" t="str">
        <f t="shared" ca="1" si="112"/>
        <v xml:space="preserve">2 Tahun 2 Bulan 9 Hari </v>
      </c>
      <c r="K251" s="13">
        <f t="shared" ca="1" si="130"/>
        <v>1153440</v>
      </c>
      <c r="L251" s="13">
        <v>134</v>
      </c>
      <c r="M251" s="13">
        <v>3</v>
      </c>
      <c r="N251" s="13">
        <v>1306</v>
      </c>
      <c r="O251" s="22">
        <f t="shared" si="113"/>
        <v>435.33333333333331</v>
      </c>
      <c r="P251" s="13">
        <v>328</v>
      </c>
      <c r="Q251" s="23">
        <f t="shared" si="114"/>
        <v>0.6</v>
      </c>
      <c r="R251" s="24">
        <f t="shared" si="115"/>
        <v>3</v>
      </c>
      <c r="S251" s="25">
        <f t="shared" si="131"/>
        <v>0.75344563552833077</v>
      </c>
      <c r="T251" s="25">
        <f t="shared" si="116"/>
        <v>0.15068912710566618</v>
      </c>
      <c r="U251" s="26">
        <v>4870.7391896081335</v>
      </c>
      <c r="V251" s="26">
        <v>45391.401388888888</v>
      </c>
      <c r="W251" s="26">
        <v>19775.256681260071</v>
      </c>
      <c r="X251" s="27">
        <f t="shared" si="140"/>
        <v>0</v>
      </c>
      <c r="Y251" s="27">
        <f t="shared" si="141"/>
        <v>0</v>
      </c>
      <c r="Z251" s="27">
        <f t="shared" si="138"/>
        <v>1</v>
      </c>
      <c r="AA251" s="23">
        <f t="shared" si="139"/>
        <v>0.4</v>
      </c>
      <c r="AB251" s="24">
        <f t="shared" si="136"/>
        <v>1</v>
      </c>
      <c r="AC251" s="28">
        <f t="shared" si="117"/>
        <v>0.33333333333333331</v>
      </c>
      <c r="AD251" s="29">
        <f t="shared" si="118"/>
        <v>8.3333333333333329E-2</v>
      </c>
      <c r="AE251" s="30">
        <v>6.5512855370636461E-2</v>
      </c>
      <c r="AF251" s="23">
        <f t="shared" si="119"/>
        <v>1</v>
      </c>
      <c r="AG251" s="24">
        <f t="shared" si="137"/>
        <v>4</v>
      </c>
      <c r="AH251" s="28">
        <f t="shared" si="120"/>
        <v>0.8</v>
      </c>
      <c r="AI251" s="29">
        <f t="shared" si="121"/>
        <v>0.2</v>
      </c>
      <c r="AJ251" s="31">
        <v>1</v>
      </c>
      <c r="AK251" s="31">
        <v>1</v>
      </c>
      <c r="AL251" s="31">
        <v>1</v>
      </c>
      <c r="AM251" s="31">
        <v>0</v>
      </c>
      <c r="AN251" s="31">
        <v>0</v>
      </c>
      <c r="AO251" s="31">
        <v>0</v>
      </c>
      <c r="AP251" s="31">
        <v>0</v>
      </c>
      <c r="AQ251" s="31">
        <v>1</v>
      </c>
      <c r="AR251" s="23">
        <f t="shared" si="122"/>
        <v>0.8</v>
      </c>
      <c r="AS251" s="24">
        <f t="shared" si="123"/>
        <v>4</v>
      </c>
      <c r="AT251" s="28">
        <f t="shared" si="124"/>
        <v>0.5</v>
      </c>
      <c r="AU251" s="28">
        <f t="shared" si="125"/>
        <v>7.4999999999999997E-2</v>
      </c>
      <c r="AV251" s="32">
        <v>75</v>
      </c>
      <c r="AW251" s="32">
        <v>75</v>
      </c>
      <c r="AX251" s="32">
        <v>80</v>
      </c>
      <c r="AY251" s="32">
        <v>80</v>
      </c>
      <c r="AZ251" s="32">
        <v>80</v>
      </c>
      <c r="BA251" s="32">
        <v>100</v>
      </c>
      <c r="BB251" s="23">
        <f t="shared" ca="1" si="126"/>
        <v>0.8</v>
      </c>
      <c r="BC251" s="33">
        <f t="shared" si="132"/>
        <v>81.666666666666671</v>
      </c>
      <c r="BD251" s="28">
        <f t="shared" si="127"/>
        <v>0.93877551020408168</v>
      </c>
      <c r="BE251" s="28">
        <f t="shared" si="128"/>
        <v>0.18775510204081636</v>
      </c>
      <c r="BF251" s="34">
        <f ca="1">Q251+AA251+AF251+AR251+BB251</f>
        <v>3.5999999999999996</v>
      </c>
      <c r="BG251" s="34">
        <f>AVERAGE(AV251:AZ251)</f>
        <v>78</v>
      </c>
      <c r="BH251" s="35">
        <f>T251+AD251+AI251+AU251+BE251</f>
        <v>0.69677756247981582</v>
      </c>
      <c r="BI251" s="36" t="str">
        <f ca="1">IF(K251&lt;365,"New CE",(IF(BH251&gt;=100%,"Promote",IF(BH251&gt;=90%,"Sangat Baik",IF(BH251&gt;=80%,"Baik",IF(BH251&gt;=70%,"Lebih Dari Cukup",IF(BH251&gt;=60%,"Cukup","Kurang")))))))</f>
        <v>Cukup</v>
      </c>
      <c r="BJ251" s="36" t="s">
        <v>860</v>
      </c>
      <c r="BK251" s="58" t="s">
        <v>54</v>
      </c>
      <c r="BL251" s="59" t="str">
        <v>Prasetyo Hadi Saputra</v>
      </c>
    </row>
    <row r="252" spans="1:65" x14ac:dyDescent="0.35">
      <c r="A252" s="19">
        <v>248</v>
      </c>
      <c r="B252" s="13" t="s">
        <v>619</v>
      </c>
      <c r="C252" s="20" t="s">
        <v>620</v>
      </c>
      <c r="D252" s="76" t="s">
        <v>48</v>
      </c>
      <c r="E252" s="13" t="s">
        <v>621</v>
      </c>
      <c r="F252" s="13" t="s">
        <v>50</v>
      </c>
      <c r="G252" s="13" t="s">
        <v>55</v>
      </c>
      <c r="H252" s="65">
        <v>44123</v>
      </c>
      <c r="I252" s="21">
        <f t="shared" ca="1" si="129"/>
        <v>45974</v>
      </c>
      <c r="J252" s="13" t="str">
        <f t="shared" ca="1" si="112"/>
        <v xml:space="preserve">5 Tahun 0 Bulan 25 Hari </v>
      </c>
      <c r="K252" s="13">
        <f t="shared" ca="1" si="130"/>
        <v>2665440</v>
      </c>
      <c r="L252" s="13">
        <v>46</v>
      </c>
      <c r="M252" s="13">
        <v>1</v>
      </c>
      <c r="N252" s="13">
        <v>380</v>
      </c>
      <c r="O252" s="22">
        <f t="shared" si="113"/>
        <v>380</v>
      </c>
      <c r="P252" s="13">
        <v>320</v>
      </c>
      <c r="Q252" s="23">
        <f t="shared" si="114"/>
        <v>0.8</v>
      </c>
      <c r="R252" s="24">
        <f t="shared" si="115"/>
        <v>4</v>
      </c>
      <c r="S252" s="25">
        <f t="shared" si="131"/>
        <v>0.84210526315789469</v>
      </c>
      <c r="T252" s="25">
        <f t="shared" si="116"/>
        <v>0.16842105263157894</v>
      </c>
      <c r="U252" s="26">
        <v>10095.653466649521</v>
      </c>
      <c r="V252" s="26">
        <v>0</v>
      </c>
      <c r="W252" s="26">
        <v>5.1248553240740735E-2</v>
      </c>
      <c r="X252" s="27">
        <f t="shared" si="140"/>
        <v>0</v>
      </c>
      <c r="Y252" s="27">
        <f t="shared" si="141"/>
        <v>0</v>
      </c>
      <c r="Z252" s="27">
        <f t="shared" si="138"/>
        <v>1</v>
      </c>
      <c r="AA252" s="23">
        <f t="shared" si="139"/>
        <v>0.4</v>
      </c>
      <c r="AB252" s="24">
        <f t="shared" si="136"/>
        <v>1</v>
      </c>
      <c r="AC252" s="28">
        <f t="shared" si="117"/>
        <v>0.33333333333333331</v>
      </c>
      <c r="AD252" s="29">
        <f t="shared" si="118"/>
        <v>8.3333333333333329E-2</v>
      </c>
      <c r="AE252" s="30">
        <v>4.5921355650522314E-2</v>
      </c>
      <c r="AF252" s="23">
        <f t="shared" si="119"/>
        <v>1</v>
      </c>
      <c r="AG252" s="24">
        <f t="shared" si="137"/>
        <v>4</v>
      </c>
      <c r="AH252" s="28">
        <f t="shared" si="120"/>
        <v>0.8</v>
      </c>
      <c r="AI252" s="29">
        <f t="shared" si="121"/>
        <v>0.2</v>
      </c>
      <c r="AJ252" s="31">
        <v>1</v>
      </c>
      <c r="AK252" s="31">
        <v>1</v>
      </c>
      <c r="AL252" s="31">
        <v>1</v>
      </c>
      <c r="AM252" s="31">
        <v>0</v>
      </c>
      <c r="AN252" s="31">
        <v>0</v>
      </c>
      <c r="AO252" s="31">
        <v>0</v>
      </c>
      <c r="AP252" s="31">
        <v>0</v>
      </c>
      <c r="AQ252" s="31">
        <v>0</v>
      </c>
      <c r="AR252" s="23">
        <f t="shared" si="122"/>
        <v>0.6</v>
      </c>
      <c r="AS252" s="24">
        <f t="shared" si="123"/>
        <v>3</v>
      </c>
      <c r="AT252" s="28">
        <f t="shared" si="124"/>
        <v>0.375</v>
      </c>
      <c r="AU252" s="28">
        <f t="shared" si="125"/>
        <v>5.6249999999999994E-2</v>
      </c>
      <c r="AV252" s="32">
        <v>75</v>
      </c>
      <c r="AW252" s="32">
        <v>75</v>
      </c>
      <c r="AX252" s="32">
        <v>90</v>
      </c>
      <c r="AY252" s="32">
        <v>90</v>
      </c>
      <c r="AZ252" s="32">
        <v>80</v>
      </c>
      <c r="BA252" s="32">
        <v>100</v>
      </c>
      <c r="BB252" s="23">
        <f t="shared" ca="1" si="126"/>
        <v>0.8</v>
      </c>
      <c r="BC252" s="33">
        <f t="shared" si="132"/>
        <v>85</v>
      </c>
      <c r="BD252" s="28">
        <f t="shared" si="127"/>
        <v>0.94117647058823528</v>
      </c>
      <c r="BE252" s="28">
        <f t="shared" si="128"/>
        <v>0.18823529411764706</v>
      </c>
      <c r="BF252" s="34">
        <f ca="1">Q252+AA252+AF252+AR252+BB252</f>
        <v>3.6000000000000005</v>
      </c>
      <c r="BG252" s="34">
        <f>AVERAGE(AV252:AZ252)</f>
        <v>82</v>
      </c>
      <c r="BH252" s="35">
        <f>T252+AD252+AI252+AU252+BE252</f>
        <v>0.69623968008255932</v>
      </c>
      <c r="BI252" s="36" t="str">
        <f ca="1">IF(K252&lt;365,"New CE",(IF(BH252&gt;=100%,"Promote",IF(BH252&gt;=90%,"Sangat Baik",IF(BH252&gt;=80%,"Baik",IF(BH252&gt;=70%,"Lebih Dari Cukup",IF(BH252&gt;=60%,"Cukup","Kurang")))))))</f>
        <v>Cukup</v>
      </c>
      <c r="BJ252" s="36" t="s">
        <v>860</v>
      </c>
      <c r="BK252" s="58" t="s">
        <v>48</v>
      </c>
      <c r="BL252" s="59" t="e">
        <v>#N/A</v>
      </c>
    </row>
    <row r="253" spans="1:65" x14ac:dyDescent="0.35">
      <c r="A253" s="19">
        <v>249</v>
      </c>
      <c r="B253" s="13" t="s">
        <v>622</v>
      </c>
      <c r="C253" s="20" t="s">
        <v>623</v>
      </c>
      <c r="D253" s="76" t="s">
        <v>54</v>
      </c>
      <c r="E253" s="13" t="s">
        <v>136</v>
      </c>
      <c r="F253" s="13" t="s">
        <v>44</v>
      </c>
      <c r="G253" s="13" t="s">
        <v>61</v>
      </c>
      <c r="H253" s="65">
        <v>44935</v>
      </c>
      <c r="I253" s="21">
        <f t="shared" ca="1" si="129"/>
        <v>45974</v>
      </c>
      <c r="J253" s="13" t="str">
        <f t="shared" ca="1" si="112"/>
        <v xml:space="preserve">2 Tahun 10 Bulan 4 Hari </v>
      </c>
      <c r="K253" s="13">
        <f t="shared" ca="1" si="130"/>
        <v>1496160</v>
      </c>
      <c r="L253" s="13">
        <v>305</v>
      </c>
      <c r="M253" s="13">
        <v>6</v>
      </c>
      <c r="N253" s="13">
        <v>2074</v>
      </c>
      <c r="O253" s="22">
        <f t="shared" si="113"/>
        <v>345.66666666666669</v>
      </c>
      <c r="P253" s="13">
        <v>322</v>
      </c>
      <c r="Q253" s="23">
        <f t="shared" si="114"/>
        <v>0.8</v>
      </c>
      <c r="R253" s="24">
        <f t="shared" si="115"/>
        <v>4</v>
      </c>
      <c r="S253" s="25">
        <f t="shared" si="131"/>
        <v>0.93153326904532296</v>
      </c>
      <c r="T253" s="25">
        <f t="shared" si="116"/>
        <v>0.18630665380906461</v>
      </c>
      <c r="U253" s="26">
        <v>3612.3638141166966</v>
      </c>
      <c r="V253" s="26">
        <v>6.655092592592593E-5</v>
      </c>
      <c r="W253" s="26">
        <v>0</v>
      </c>
      <c r="X253" s="27">
        <f t="shared" si="140"/>
        <v>0</v>
      </c>
      <c r="Y253" s="27">
        <f t="shared" si="141"/>
        <v>1</v>
      </c>
      <c r="Z253" s="27">
        <f t="shared" si="138"/>
        <v>0</v>
      </c>
      <c r="AA253" s="23">
        <f t="shared" si="139"/>
        <v>0.4</v>
      </c>
      <c r="AB253" s="24">
        <f t="shared" si="136"/>
        <v>1</v>
      </c>
      <c r="AC253" s="28">
        <f t="shared" si="117"/>
        <v>0.33333333333333331</v>
      </c>
      <c r="AD253" s="29">
        <f t="shared" si="118"/>
        <v>8.3333333333333329E-2</v>
      </c>
      <c r="AE253" s="30">
        <v>5.1227742165242174E-2</v>
      </c>
      <c r="AF253" s="23">
        <f t="shared" si="119"/>
        <v>1</v>
      </c>
      <c r="AG253" s="24">
        <f t="shared" si="137"/>
        <v>4</v>
      </c>
      <c r="AH253" s="28">
        <f t="shared" si="120"/>
        <v>0.8</v>
      </c>
      <c r="AI253" s="29">
        <f t="shared" si="121"/>
        <v>0.2</v>
      </c>
      <c r="AJ253" s="31">
        <v>1</v>
      </c>
      <c r="AK253" s="31">
        <v>1</v>
      </c>
      <c r="AL253" s="31">
        <v>0</v>
      </c>
      <c r="AM253" s="31">
        <v>0</v>
      </c>
      <c r="AN253" s="31">
        <v>0</v>
      </c>
      <c r="AO253" s="31">
        <v>0</v>
      </c>
      <c r="AP253" s="31">
        <v>0</v>
      </c>
      <c r="AQ253" s="31">
        <v>0</v>
      </c>
      <c r="AR253" s="23">
        <f t="shared" si="122"/>
        <v>0.4</v>
      </c>
      <c r="AS253" s="24">
        <f t="shared" si="123"/>
        <v>2</v>
      </c>
      <c r="AT253" s="28">
        <f t="shared" si="124"/>
        <v>0.25</v>
      </c>
      <c r="AU253" s="28">
        <f t="shared" si="125"/>
        <v>3.7499999999999999E-2</v>
      </c>
      <c r="AV253" s="32">
        <v>75</v>
      </c>
      <c r="AW253" s="32">
        <v>75</v>
      </c>
      <c r="AX253" s="32">
        <v>90</v>
      </c>
      <c r="AY253" s="32">
        <v>85</v>
      </c>
      <c r="AZ253" s="32">
        <v>85</v>
      </c>
      <c r="BA253" s="32">
        <v>100</v>
      </c>
      <c r="BB253" s="23">
        <f t="shared" ca="1" si="126"/>
        <v>0.8</v>
      </c>
      <c r="BC253" s="33">
        <f t="shared" si="132"/>
        <v>85</v>
      </c>
      <c r="BD253" s="28">
        <f t="shared" si="127"/>
        <v>0.94117647058823528</v>
      </c>
      <c r="BE253" s="28">
        <f t="shared" si="128"/>
        <v>0.18823529411764706</v>
      </c>
      <c r="BF253" s="34">
        <f ca="1">Q253+AA253+AF253+AR253+BB253</f>
        <v>3.4000000000000004</v>
      </c>
      <c r="BG253" s="34">
        <f>AVERAGE(AV253:AZ253)</f>
        <v>82</v>
      </c>
      <c r="BH253" s="35">
        <f>T253+AD253+AI253+AU253+BE253</f>
        <v>0.695375281260045</v>
      </c>
      <c r="BI253" s="36" t="str">
        <f ca="1">IF(K253&lt;365,"New CE",(IF(BH253&gt;=100%,"Promote",IF(BH253&gt;=90%,"Sangat Baik",IF(BH253&gt;=80%,"Baik",IF(BH253&gt;=70%,"Lebih Dari Cukup",IF(BH253&gt;=60%,"Cukup","Kurang")))))))</f>
        <v>Cukup</v>
      </c>
      <c r="BJ253" s="36" t="s">
        <v>860</v>
      </c>
      <c r="BK253" s="58" t="s">
        <v>54</v>
      </c>
      <c r="BL253" s="59" t="e">
        <v>#N/A</v>
      </c>
    </row>
    <row r="254" spans="1:65" x14ac:dyDescent="0.35">
      <c r="A254" s="19">
        <v>250</v>
      </c>
      <c r="B254" s="13" t="s">
        <v>624</v>
      </c>
      <c r="C254" s="20" t="s">
        <v>625</v>
      </c>
      <c r="D254" s="76" t="s">
        <v>42</v>
      </c>
      <c r="E254" s="13" t="s">
        <v>446</v>
      </c>
      <c r="F254" s="13" t="s">
        <v>44</v>
      </c>
      <c r="G254" s="13" t="s">
        <v>45</v>
      </c>
      <c r="H254" s="65">
        <v>42618</v>
      </c>
      <c r="I254" s="21">
        <f t="shared" ca="1" si="129"/>
        <v>45974</v>
      </c>
      <c r="J254" s="13" t="str">
        <f t="shared" ca="1" si="112"/>
        <v xml:space="preserve">9 Tahun 2 Bulan 8 Hari </v>
      </c>
      <c r="K254" s="13">
        <f t="shared" ca="1" si="130"/>
        <v>4832640</v>
      </c>
      <c r="L254" s="13">
        <v>305</v>
      </c>
      <c r="M254" s="13">
        <v>6</v>
      </c>
      <c r="N254" s="13">
        <v>2018</v>
      </c>
      <c r="O254" s="22">
        <f t="shared" si="113"/>
        <v>336.33333333333331</v>
      </c>
      <c r="P254" s="13">
        <v>333</v>
      </c>
      <c r="Q254" s="23">
        <f t="shared" si="114"/>
        <v>0.8</v>
      </c>
      <c r="R254" s="24">
        <f t="shared" si="115"/>
        <v>4</v>
      </c>
      <c r="S254" s="25">
        <f t="shared" si="131"/>
        <v>0.99008919722497524</v>
      </c>
      <c r="T254" s="25">
        <f t="shared" si="116"/>
        <v>0.19801783944499507</v>
      </c>
      <c r="U254" s="26">
        <v>18178.402533138407</v>
      </c>
      <c r="V254" s="26">
        <v>10422.240804639274</v>
      </c>
      <c r="W254" s="26">
        <v>0</v>
      </c>
      <c r="X254" s="27">
        <f t="shared" si="140"/>
        <v>0</v>
      </c>
      <c r="Y254" s="27">
        <f t="shared" si="141"/>
        <v>0</v>
      </c>
      <c r="Z254" s="27">
        <f t="shared" si="138"/>
        <v>0</v>
      </c>
      <c r="AA254" s="23">
        <f>IF(AB254=3, 1.75, IF(AB254=2, 1, IF(AB254=1, 0.75, IF(AB254=0, 0, 0))))</f>
        <v>0</v>
      </c>
      <c r="AB254" s="24">
        <f t="shared" si="136"/>
        <v>0</v>
      </c>
      <c r="AC254" s="28">
        <f t="shared" si="117"/>
        <v>0</v>
      </c>
      <c r="AD254" s="29">
        <f t="shared" si="118"/>
        <v>0</v>
      </c>
      <c r="AE254" s="30">
        <v>3.780759582977089E-2</v>
      </c>
      <c r="AF254" s="23">
        <f t="shared" si="119"/>
        <v>1.25</v>
      </c>
      <c r="AG254" s="24">
        <f t="shared" ref="AG254:AG284" si="142">IF(AE254="",0,IF(AE254&lt;=TIME(1,0,0),5,IF(AE254&lt;=TIME(2,0,0),4,IF(AE254&lt;=TIME(3,0,0),3,IF(AE254&lt;=TIME(4,0,0),2,IF(AE254&lt;TIME(8,0,0),1,0))))))</f>
        <v>5</v>
      </c>
      <c r="AH254" s="28">
        <f t="shared" si="120"/>
        <v>1</v>
      </c>
      <c r="AI254" s="29">
        <f t="shared" si="121"/>
        <v>0.25</v>
      </c>
      <c r="AJ254" s="31">
        <v>1</v>
      </c>
      <c r="AK254" s="31">
        <v>1</v>
      </c>
      <c r="AL254" s="31">
        <v>1</v>
      </c>
      <c r="AM254" s="31">
        <v>0</v>
      </c>
      <c r="AN254" s="31">
        <v>0</v>
      </c>
      <c r="AO254" s="31">
        <v>0</v>
      </c>
      <c r="AP254" s="31">
        <v>0</v>
      </c>
      <c r="AQ254" s="31">
        <v>0</v>
      </c>
      <c r="AR254" s="23">
        <f t="shared" si="122"/>
        <v>0.6</v>
      </c>
      <c r="AS254" s="24">
        <f t="shared" si="123"/>
        <v>3</v>
      </c>
      <c r="AT254" s="28">
        <f t="shared" si="124"/>
        <v>0.375</v>
      </c>
      <c r="AU254" s="28">
        <f t="shared" si="125"/>
        <v>5.6249999999999994E-2</v>
      </c>
      <c r="AV254" s="32">
        <v>75</v>
      </c>
      <c r="AW254" s="32">
        <v>75</v>
      </c>
      <c r="AX254" s="32">
        <v>80</v>
      </c>
      <c r="AY254" s="32">
        <v>85</v>
      </c>
      <c r="AZ254" s="32">
        <v>80</v>
      </c>
      <c r="BA254" s="32">
        <v>100</v>
      </c>
      <c r="BB254" s="23">
        <f t="shared" ca="1" si="126"/>
        <v>0.8</v>
      </c>
      <c r="BC254" s="33">
        <f t="shared" si="132"/>
        <v>82.5</v>
      </c>
      <c r="BD254" s="28">
        <f t="shared" si="127"/>
        <v>0.93939393939393945</v>
      </c>
      <c r="BE254" s="28">
        <f t="shared" si="128"/>
        <v>0.1878787878787879</v>
      </c>
      <c r="BF254" s="34">
        <f ca="1">Q254+AA254+AF254+AR254+BB254</f>
        <v>3.45</v>
      </c>
      <c r="BG254" s="34">
        <f>AVERAGE(AV254:AZ254)</f>
        <v>79</v>
      </c>
      <c r="BH254" s="35">
        <f>T254+AD254+AI254+AU254+BE254</f>
        <v>0.69214662732378296</v>
      </c>
      <c r="BI254" s="36" t="str">
        <f ca="1">IF(K254&lt;365,"New CE",(IF(BH254&gt;=100%,"Promote",IF(BH254&gt;=90%,"Sangat Baik",IF(BH254&gt;=80%,"Baik",IF(BH254&gt;=70%,"Lebih Dari Cukup",IF(BH254&gt;=60%,"Cukup","Kurang")))))))</f>
        <v>Cukup</v>
      </c>
      <c r="BJ254" s="36" t="s">
        <v>860</v>
      </c>
      <c r="BK254" s="58" t="s">
        <v>42</v>
      </c>
      <c r="BL254" s="59" t="e">
        <v>#N/A</v>
      </c>
    </row>
    <row r="255" spans="1:65" x14ac:dyDescent="0.35">
      <c r="A255" s="19">
        <v>251</v>
      </c>
      <c r="B255" s="13" t="s">
        <v>626</v>
      </c>
      <c r="C255" s="20" t="s">
        <v>627</v>
      </c>
      <c r="D255" s="76" t="s">
        <v>54</v>
      </c>
      <c r="E255" s="13" t="s">
        <v>325</v>
      </c>
      <c r="F255" s="13" t="s">
        <v>44</v>
      </c>
      <c r="G255" s="13" t="s">
        <v>45</v>
      </c>
      <c r="H255" s="65">
        <v>45173</v>
      </c>
      <c r="I255" s="21">
        <f t="shared" ca="1" si="129"/>
        <v>45974</v>
      </c>
      <c r="J255" s="13" t="str">
        <f t="shared" ca="1" si="112"/>
        <v xml:space="preserve">2 Tahun 2 Bulan 9 Hari </v>
      </c>
      <c r="K255" s="13">
        <f t="shared" ca="1" si="130"/>
        <v>1153440</v>
      </c>
      <c r="L255" s="13">
        <v>241</v>
      </c>
      <c r="M255" s="13">
        <v>4</v>
      </c>
      <c r="N255" s="13">
        <v>1968</v>
      </c>
      <c r="O255" s="22">
        <f t="shared" si="113"/>
        <v>492</v>
      </c>
      <c r="P255" s="13">
        <v>404</v>
      </c>
      <c r="Q255" s="23">
        <f t="shared" si="114"/>
        <v>0.8</v>
      </c>
      <c r="R255" s="24">
        <f t="shared" si="115"/>
        <v>4</v>
      </c>
      <c r="S255" s="25">
        <f t="shared" si="131"/>
        <v>0.82113821138211385</v>
      </c>
      <c r="T255" s="25">
        <f t="shared" si="116"/>
        <v>0.16422764227642278</v>
      </c>
      <c r="U255" s="26">
        <v>2.6893251424501417E-2</v>
      </c>
      <c r="V255" s="26">
        <v>1465.3726209677418</v>
      </c>
      <c r="W255" s="26">
        <v>0</v>
      </c>
      <c r="X255" s="27">
        <f t="shared" si="140"/>
        <v>1</v>
      </c>
      <c r="Y255" s="27">
        <f t="shared" si="141"/>
        <v>0</v>
      </c>
      <c r="Z255" s="27">
        <f t="shared" si="138"/>
        <v>0</v>
      </c>
      <c r="AA255" s="23">
        <f t="shared" ref="AA255:AA281" si="143">IF(AB255=3, 1.25, IF(AB255=2, 0.8, IF(AB255=1, 0.4, IF(AB255=0, 0, 0))))</f>
        <v>0.4</v>
      </c>
      <c r="AB255" s="24">
        <f t="shared" si="136"/>
        <v>1</v>
      </c>
      <c r="AC255" s="28">
        <f t="shared" si="117"/>
        <v>0.33333333333333331</v>
      </c>
      <c r="AD255" s="29">
        <f t="shared" si="118"/>
        <v>8.3333333333333329E-2</v>
      </c>
      <c r="AE255" s="30">
        <v>5.9956355710123303E-2</v>
      </c>
      <c r="AF255" s="23">
        <f t="shared" si="119"/>
        <v>1</v>
      </c>
      <c r="AG255" s="24">
        <f t="shared" si="142"/>
        <v>4</v>
      </c>
      <c r="AH255" s="28">
        <f t="shared" si="120"/>
        <v>0.8</v>
      </c>
      <c r="AI255" s="29">
        <f t="shared" si="121"/>
        <v>0.2</v>
      </c>
      <c r="AJ255" s="31">
        <v>1</v>
      </c>
      <c r="AK255" s="31">
        <v>1</v>
      </c>
      <c r="AL255" s="31">
        <v>1</v>
      </c>
      <c r="AM255" s="31">
        <v>0</v>
      </c>
      <c r="AN255" s="31">
        <v>0</v>
      </c>
      <c r="AO255" s="31">
        <v>0</v>
      </c>
      <c r="AP255" s="31">
        <v>0</v>
      </c>
      <c r="AQ255" s="31">
        <v>0</v>
      </c>
      <c r="AR255" s="23">
        <f t="shared" si="122"/>
        <v>0.6</v>
      </c>
      <c r="AS255" s="24">
        <f t="shared" si="123"/>
        <v>3</v>
      </c>
      <c r="AT255" s="28">
        <f t="shared" si="124"/>
        <v>0.375</v>
      </c>
      <c r="AU255" s="28">
        <f t="shared" si="125"/>
        <v>5.6249999999999994E-2</v>
      </c>
      <c r="AV255" s="32">
        <v>75</v>
      </c>
      <c r="AW255" s="32">
        <v>75</v>
      </c>
      <c r="AX255" s="32">
        <v>80</v>
      </c>
      <c r="AY255" s="32">
        <v>80</v>
      </c>
      <c r="AZ255" s="32">
        <v>80</v>
      </c>
      <c r="BA255" s="32">
        <v>100</v>
      </c>
      <c r="BB255" s="23">
        <f t="shared" ca="1" si="126"/>
        <v>0.8</v>
      </c>
      <c r="BC255" s="33">
        <f t="shared" si="132"/>
        <v>81.666666666666671</v>
      </c>
      <c r="BD255" s="28">
        <f t="shared" si="127"/>
        <v>0.93877551020408168</v>
      </c>
      <c r="BE255" s="28">
        <f t="shared" si="128"/>
        <v>0.18775510204081636</v>
      </c>
      <c r="BF255" s="34">
        <f ca="1">Q255+AA255+AF255+AR255+BB255</f>
        <v>3.6000000000000005</v>
      </c>
      <c r="BG255" s="34">
        <f>AVERAGE(AV255:AZ255)</f>
        <v>78</v>
      </c>
      <c r="BH255" s="35">
        <f>T255+AD255+AI255+AU255+BE255</f>
        <v>0.69156607765057243</v>
      </c>
      <c r="BI255" s="36" t="str">
        <f ca="1">IF(K255&lt;365,"New CE",(IF(BH255&gt;=100%,"Promote",IF(BH255&gt;=90%,"Sangat Baik",IF(BH255&gt;=80%,"Baik",IF(BH255&gt;=70%,"Lebih Dari Cukup",IF(BH255&gt;=60%,"Cukup","Kurang")))))))</f>
        <v>Cukup</v>
      </c>
      <c r="BJ255" s="36" t="s">
        <v>860</v>
      </c>
      <c r="BK255" s="58" t="s">
        <v>54</v>
      </c>
      <c r="BL255" s="59" t="e">
        <v>#N/A</v>
      </c>
    </row>
    <row r="256" spans="1:65" x14ac:dyDescent="0.35">
      <c r="A256" s="19">
        <v>252</v>
      </c>
      <c r="B256" s="13" t="s">
        <v>628</v>
      </c>
      <c r="C256" s="20" t="s">
        <v>629</v>
      </c>
      <c r="D256" s="76" t="s">
        <v>54</v>
      </c>
      <c r="E256" s="13" t="s">
        <v>195</v>
      </c>
      <c r="F256" s="13" t="s">
        <v>74</v>
      </c>
      <c r="G256" s="13" t="s">
        <v>61</v>
      </c>
      <c r="H256" s="65">
        <v>45173</v>
      </c>
      <c r="I256" s="21">
        <f t="shared" ca="1" si="129"/>
        <v>45974</v>
      </c>
      <c r="J256" s="13" t="str">
        <f t="shared" ca="1" si="112"/>
        <v xml:space="preserve">2 Tahun 2 Bulan 9 Hari </v>
      </c>
      <c r="K256" s="13">
        <f t="shared" ca="1" si="130"/>
        <v>1153440</v>
      </c>
      <c r="L256" s="13">
        <v>159</v>
      </c>
      <c r="M256" s="13">
        <v>3</v>
      </c>
      <c r="N256" s="13">
        <v>1272</v>
      </c>
      <c r="O256" s="22">
        <f t="shared" si="113"/>
        <v>424</v>
      </c>
      <c r="P256" s="13">
        <v>307</v>
      </c>
      <c r="Q256" s="23">
        <f t="shared" si="114"/>
        <v>0.6</v>
      </c>
      <c r="R256" s="24">
        <f t="shared" si="115"/>
        <v>3</v>
      </c>
      <c r="S256" s="25">
        <f t="shared" si="131"/>
        <v>0.72405660377358494</v>
      </c>
      <c r="T256" s="25">
        <f t="shared" si="116"/>
        <v>0.144811320754717</v>
      </c>
      <c r="U256" s="26">
        <v>13679.963425925924</v>
      </c>
      <c r="V256" s="26">
        <v>0</v>
      </c>
      <c r="W256" s="26">
        <v>6.1464424951267074E-4</v>
      </c>
      <c r="X256" s="27">
        <f t="shared" si="140"/>
        <v>0</v>
      </c>
      <c r="Y256" s="27">
        <f t="shared" si="141"/>
        <v>0</v>
      </c>
      <c r="Z256" s="27">
        <f t="shared" si="138"/>
        <v>1</v>
      </c>
      <c r="AA256" s="23">
        <f t="shared" si="143"/>
        <v>0.4</v>
      </c>
      <c r="AB256" s="24">
        <f t="shared" si="136"/>
        <v>1</v>
      </c>
      <c r="AC256" s="28">
        <f t="shared" si="117"/>
        <v>0.33333333333333331</v>
      </c>
      <c r="AD256" s="29">
        <f t="shared" si="118"/>
        <v>8.3333333333333329E-2</v>
      </c>
      <c r="AE256" s="30">
        <v>6.3348995031616992E-2</v>
      </c>
      <c r="AF256" s="23">
        <f t="shared" si="119"/>
        <v>1</v>
      </c>
      <c r="AG256" s="24">
        <f t="shared" si="142"/>
        <v>4</v>
      </c>
      <c r="AH256" s="28">
        <f t="shared" si="120"/>
        <v>0.8</v>
      </c>
      <c r="AI256" s="29">
        <f t="shared" si="121"/>
        <v>0.2</v>
      </c>
      <c r="AJ256" s="31">
        <v>1</v>
      </c>
      <c r="AK256" s="31">
        <v>1</v>
      </c>
      <c r="AL256" s="31">
        <v>0</v>
      </c>
      <c r="AM256" s="31">
        <v>0</v>
      </c>
      <c r="AN256" s="31">
        <v>1</v>
      </c>
      <c r="AO256" s="31">
        <v>0</v>
      </c>
      <c r="AP256" s="31">
        <v>0</v>
      </c>
      <c r="AQ256" s="31">
        <v>1</v>
      </c>
      <c r="AR256" s="23">
        <f t="shared" si="122"/>
        <v>0.8</v>
      </c>
      <c r="AS256" s="24">
        <f t="shared" si="123"/>
        <v>4</v>
      </c>
      <c r="AT256" s="28">
        <f t="shared" si="124"/>
        <v>0.5</v>
      </c>
      <c r="AU256" s="28">
        <f t="shared" si="125"/>
        <v>7.4999999999999997E-2</v>
      </c>
      <c r="AV256" s="32">
        <v>75</v>
      </c>
      <c r="AW256" s="32">
        <v>75</v>
      </c>
      <c r="AX256" s="32">
        <v>80</v>
      </c>
      <c r="AY256" s="32">
        <v>85</v>
      </c>
      <c r="AZ256" s="32">
        <v>80</v>
      </c>
      <c r="BA256" s="32">
        <v>100</v>
      </c>
      <c r="BB256" s="23">
        <f t="shared" ca="1" si="126"/>
        <v>0.8</v>
      </c>
      <c r="BC256" s="33">
        <f t="shared" si="132"/>
        <v>82.5</v>
      </c>
      <c r="BD256" s="28">
        <f t="shared" si="127"/>
        <v>0.93939393939393945</v>
      </c>
      <c r="BE256" s="28">
        <f t="shared" si="128"/>
        <v>0.1878787878787879</v>
      </c>
      <c r="BF256" s="34">
        <f ca="1">Q256+AA256+AF256+AR256+BB256</f>
        <v>3.5999999999999996</v>
      </c>
      <c r="BG256" s="34">
        <f>AVERAGE(AV256:AZ256)</f>
        <v>79</v>
      </c>
      <c r="BH256" s="35">
        <f>T256+AD256+AI256+AU256+BE256</f>
        <v>0.69102344196683818</v>
      </c>
      <c r="BI256" s="36" t="str">
        <f ca="1">IF(K256&lt;365,"New CE",(IF(BH256&gt;=100%,"Promote",IF(BH256&gt;=90%,"Sangat Baik",IF(BH256&gt;=80%,"Baik",IF(BH256&gt;=70%,"Lebih Dari Cukup",IF(BH256&gt;=60%,"Cukup","Kurang")))))))</f>
        <v>Cukup</v>
      </c>
      <c r="BJ256" s="36" t="s">
        <v>860</v>
      </c>
      <c r="BK256" s="58" t="s">
        <v>54</v>
      </c>
      <c r="BL256" s="59" t="str">
        <v>Revi Irsanda</v>
      </c>
    </row>
    <row r="257" spans="1:64" x14ac:dyDescent="0.35">
      <c r="A257" s="19">
        <v>253</v>
      </c>
      <c r="B257" s="13" t="s">
        <v>630</v>
      </c>
      <c r="C257" s="20" t="s">
        <v>631</v>
      </c>
      <c r="D257" s="76" t="s">
        <v>54</v>
      </c>
      <c r="E257" s="13" t="s">
        <v>81</v>
      </c>
      <c r="F257" s="13" t="s">
        <v>74</v>
      </c>
      <c r="G257" s="13" t="s">
        <v>75</v>
      </c>
      <c r="H257" s="65">
        <v>45444</v>
      </c>
      <c r="I257" s="21">
        <f t="shared" ca="1" si="129"/>
        <v>45974</v>
      </c>
      <c r="J257" s="13" t="str">
        <f t="shared" ref="J257:J318" ca="1" si="144">DATEDIF(H257,NOW(),"Y") &amp; " Tahun " &amp; DATEDIF(H257,NOW(),"YM") &amp; " Bulan " &amp; DATEDIF(H257,NOW(),"MD") &amp; " Hari "</f>
        <v xml:space="preserve">1 Tahun 5 Bulan 12 Hari </v>
      </c>
      <c r="K257" s="13">
        <f t="shared" ca="1" si="130"/>
        <v>763200</v>
      </c>
      <c r="L257" s="13">
        <v>221</v>
      </c>
      <c r="M257" s="13">
        <v>4</v>
      </c>
      <c r="N257" s="13">
        <v>1669</v>
      </c>
      <c r="O257" s="22">
        <f t="shared" ref="O257:O318" si="145">N257/M257</f>
        <v>417.25</v>
      </c>
      <c r="P257" s="13">
        <v>235</v>
      </c>
      <c r="Q257" s="23">
        <f t="shared" ref="Q257:Q318" si="146">IF(R257=5, 1, IF(R257=4, 0.8, IF(R257=3, 0.6, IF(R257=2, 0.4, IF(R257=1, 0.2, 0)))))</f>
        <v>0.4</v>
      </c>
      <c r="R257" s="24">
        <f t="shared" ref="R257:R318" si="147">IF(S257&gt;=100%, 5, IF(S257&gt;=80%, 4, IF(S257&gt;=60%, 3, IF(S257&gt;=40%, 2, IF(S257&gt;=0%, 1, "")))))</f>
        <v>2</v>
      </c>
      <c r="S257" s="25">
        <f t="shared" si="131"/>
        <v>0.56321150389454766</v>
      </c>
      <c r="T257" s="25">
        <f t="shared" ref="T257:T318" si="148">20%*S257</f>
        <v>0.11264230077890953</v>
      </c>
      <c r="U257" s="26">
        <v>947.50993899498451</v>
      </c>
      <c r="V257" s="26">
        <v>1.4895833333333334E-2</v>
      </c>
      <c r="W257" s="26">
        <v>0</v>
      </c>
      <c r="X257" s="27">
        <f t="shared" si="140"/>
        <v>0</v>
      </c>
      <c r="Y257" s="27">
        <f t="shared" si="141"/>
        <v>1</v>
      </c>
      <c r="Z257" s="27">
        <f t="shared" si="138"/>
        <v>0</v>
      </c>
      <c r="AA257" s="23">
        <f t="shared" si="143"/>
        <v>0.4</v>
      </c>
      <c r="AB257" s="24">
        <f t="shared" si="136"/>
        <v>1</v>
      </c>
      <c r="AC257" s="28">
        <f t="shared" ref="AC257:AC318" si="149">AB257/3</f>
        <v>0.33333333333333331</v>
      </c>
      <c r="AD257" s="29">
        <f t="shared" ref="AD257:AD318" si="150">25%*AC257</f>
        <v>8.3333333333333329E-2</v>
      </c>
      <c r="AE257" s="30">
        <v>2.1829561042524009E-2</v>
      </c>
      <c r="AF257" s="23">
        <f t="shared" ref="AF257:AF318" si="151">IF(AG257=5, 1.25, IF(AG257=4, 1, IF(AG257=3, 0.75, IF(AG257=2, 0.5, IF(AG257=1, 0.25, 0)))))</f>
        <v>1.25</v>
      </c>
      <c r="AG257" s="24">
        <f t="shared" si="142"/>
        <v>5</v>
      </c>
      <c r="AH257" s="28">
        <f t="shared" ref="AH257:AH318" si="152">IF(AE257=TIME(0,0,0),0%,AG257/5)</f>
        <v>1</v>
      </c>
      <c r="AI257" s="29">
        <f t="shared" ref="AI257:AI318" si="153">25%*AH257</f>
        <v>0.25</v>
      </c>
      <c r="AJ257" s="31">
        <v>1</v>
      </c>
      <c r="AK257" s="31">
        <v>1</v>
      </c>
      <c r="AL257" s="31">
        <v>1</v>
      </c>
      <c r="AM257" s="31">
        <v>0</v>
      </c>
      <c r="AN257" s="31">
        <v>0</v>
      </c>
      <c r="AO257" s="31">
        <v>0</v>
      </c>
      <c r="AP257" s="31">
        <v>0</v>
      </c>
      <c r="AQ257" s="31">
        <v>0</v>
      </c>
      <c r="AR257" s="23">
        <f t="shared" ref="AR257:AR318" si="154">IF(AS257&gt;=5, 1, IF(AS257=4, 0.8, IF(AS257=3, 0.6, IF(AS257=2, 0.4, IF(AS257=1, 0.2, 0)))))</f>
        <v>0.6</v>
      </c>
      <c r="AS257" s="24">
        <f t="shared" ref="AS257:AS318" si="155">SUM(AJ257:AQ257)</f>
        <v>3</v>
      </c>
      <c r="AT257" s="28">
        <f t="shared" ref="AT257:AT318" si="156">AS257/8</f>
        <v>0.375</v>
      </c>
      <c r="AU257" s="28">
        <f t="shared" ref="AU257:AU318" si="157">15%*AT257</f>
        <v>5.6249999999999994E-2</v>
      </c>
      <c r="AV257" s="32">
        <v>75</v>
      </c>
      <c r="AW257" s="32">
        <v>75</v>
      </c>
      <c r="AX257" s="32">
        <v>80</v>
      </c>
      <c r="AY257" s="32">
        <v>80</v>
      </c>
      <c r="AZ257" s="32">
        <v>80</v>
      </c>
      <c r="BA257" s="32">
        <v>100</v>
      </c>
      <c r="BB257" s="23">
        <f t="shared" ref="BB257:BB318" ca="1" si="158">IF(BI257&gt;="Sangat Baik", 1, IF(BI257&gt;="Baik", 0.8, IF(BI257&gt;="Cukup", 0.6, IF(BI257&gt;="Kurang", 0.4, IF(BI257&gt;="Sangat Kurang", 0.2, 0)))))</f>
        <v>0.8</v>
      </c>
      <c r="BC257" s="33">
        <f t="shared" si="132"/>
        <v>81.666666666666671</v>
      </c>
      <c r="BD257" s="28">
        <f t="shared" ref="BD257:BD318" si="159">100%-(5/BC257)</f>
        <v>0.93877551020408168</v>
      </c>
      <c r="BE257" s="28">
        <f t="shared" ref="BE257:BE318" si="160">20%*BD257</f>
        <v>0.18775510204081636</v>
      </c>
      <c r="BF257" s="34">
        <f ca="1">Q257+AA257+AF257+AR257+BB257</f>
        <v>3.45</v>
      </c>
      <c r="BG257" s="34">
        <f>AVERAGE(AV257:AZ257)</f>
        <v>78</v>
      </c>
      <c r="BH257" s="35">
        <f>T257+AD257+AI257+AU257+BE257</f>
        <v>0.68998073615305922</v>
      </c>
      <c r="BI257" s="36" t="str">
        <f ca="1">IF(K257&lt;365,"New CE",(IF(BH257&gt;=100%,"Promote",IF(BH257&gt;=90%,"Sangat Baik",IF(BH257&gt;=80%,"Baik",IF(BH257&gt;=70%,"Lebih Dari Cukup",IF(BH257&gt;=60%,"Cukup","Kurang")))))))</f>
        <v>Cukup</v>
      </c>
      <c r="BJ257" s="36" t="s">
        <v>860</v>
      </c>
      <c r="BK257" s="58" t="s">
        <v>54</v>
      </c>
      <c r="BL257" s="59" t="str">
        <v>Feri Wahyudi</v>
      </c>
    </row>
    <row r="258" spans="1:64" x14ac:dyDescent="0.35">
      <c r="A258" s="19">
        <v>254</v>
      </c>
      <c r="B258" s="13" t="s">
        <v>632</v>
      </c>
      <c r="C258" s="20" t="s">
        <v>633</v>
      </c>
      <c r="D258" s="76" t="s">
        <v>54</v>
      </c>
      <c r="E258" s="13" t="s">
        <v>95</v>
      </c>
      <c r="F258" s="13" t="s">
        <v>50</v>
      </c>
      <c r="G258" s="13" t="s">
        <v>61</v>
      </c>
      <c r="H258" s="65">
        <v>44935</v>
      </c>
      <c r="I258" s="21">
        <f t="shared" ca="1" si="129"/>
        <v>45974</v>
      </c>
      <c r="J258" s="13" t="str">
        <f t="shared" ca="1" si="144"/>
        <v xml:space="preserve">2 Tahun 10 Bulan 4 Hari </v>
      </c>
      <c r="K258" s="13">
        <f t="shared" ca="1" si="130"/>
        <v>1496160</v>
      </c>
      <c r="L258" s="13">
        <v>897</v>
      </c>
      <c r="M258" s="13">
        <v>13</v>
      </c>
      <c r="N258" s="13">
        <v>6212</v>
      </c>
      <c r="O258" s="22">
        <f t="shared" si="145"/>
        <v>477.84615384615387</v>
      </c>
      <c r="P258" s="13">
        <v>496</v>
      </c>
      <c r="Q258" s="23">
        <f t="shared" si="146"/>
        <v>1</v>
      </c>
      <c r="R258" s="24">
        <f t="shared" si="147"/>
        <v>5</v>
      </c>
      <c r="S258" s="25">
        <f t="shared" si="131"/>
        <v>1.0379909851899549</v>
      </c>
      <c r="T258" s="25">
        <f t="shared" si="148"/>
        <v>0.20759819703799098</v>
      </c>
      <c r="U258" s="26">
        <v>790.31161906199657</v>
      </c>
      <c r="V258" s="26">
        <v>45541.99894675926</v>
      </c>
      <c r="W258" s="26">
        <v>0</v>
      </c>
      <c r="X258" s="27">
        <f t="shared" si="140"/>
        <v>0</v>
      </c>
      <c r="Y258" s="27">
        <f t="shared" si="141"/>
        <v>0</v>
      </c>
      <c r="Z258" s="27">
        <f t="shared" si="138"/>
        <v>0</v>
      </c>
      <c r="AA258" s="23">
        <f t="shared" si="143"/>
        <v>0</v>
      </c>
      <c r="AB258" s="24">
        <f t="shared" si="136"/>
        <v>0</v>
      </c>
      <c r="AC258" s="28">
        <f t="shared" si="149"/>
        <v>0</v>
      </c>
      <c r="AD258" s="29">
        <f t="shared" si="150"/>
        <v>0</v>
      </c>
      <c r="AE258" s="30">
        <v>7.4139154128086429E-2</v>
      </c>
      <c r="AF258" s="23">
        <f t="shared" si="151"/>
        <v>1</v>
      </c>
      <c r="AG258" s="24">
        <f t="shared" si="142"/>
        <v>4</v>
      </c>
      <c r="AH258" s="28">
        <f t="shared" si="152"/>
        <v>0.8</v>
      </c>
      <c r="AI258" s="29">
        <f t="shared" si="153"/>
        <v>0.2</v>
      </c>
      <c r="AJ258" s="31">
        <v>1</v>
      </c>
      <c r="AK258" s="31">
        <v>1</v>
      </c>
      <c r="AL258" s="31">
        <v>1</v>
      </c>
      <c r="AM258" s="31">
        <v>1</v>
      </c>
      <c r="AN258" s="31">
        <v>0</v>
      </c>
      <c r="AO258" s="31">
        <v>0</v>
      </c>
      <c r="AP258" s="31">
        <v>0</v>
      </c>
      <c r="AQ258" s="31">
        <v>1</v>
      </c>
      <c r="AR258" s="23">
        <f t="shared" si="154"/>
        <v>1</v>
      </c>
      <c r="AS258" s="24">
        <f t="shared" si="155"/>
        <v>5</v>
      </c>
      <c r="AT258" s="28">
        <f t="shared" si="156"/>
        <v>0.625</v>
      </c>
      <c r="AU258" s="28">
        <f t="shared" si="157"/>
        <v>9.375E-2</v>
      </c>
      <c r="AV258" s="32">
        <v>75</v>
      </c>
      <c r="AW258" s="32">
        <v>75</v>
      </c>
      <c r="AX258" s="32">
        <v>75</v>
      </c>
      <c r="AY258" s="32">
        <v>85</v>
      </c>
      <c r="AZ258" s="32">
        <v>80</v>
      </c>
      <c r="BA258" s="32">
        <v>100</v>
      </c>
      <c r="BB258" s="23">
        <f t="shared" ca="1" si="158"/>
        <v>0.8</v>
      </c>
      <c r="BC258" s="33">
        <f t="shared" si="132"/>
        <v>81.666666666666671</v>
      </c>
      <c r="BD258" s="28">
        <f t="shared" si="159"/>
        <v>0.93877551020408168</v>
      </c>
      <c r="BE258" s="28">
        <f t="shared" si="160"/>
        <v>0.18775510204081636</v>
      </c>
      <c r="BF258" s="34">
        <f ca="1">Q258+AA258+AF258+AR258+BB258</f>
        <v>3.8</v>
      </c>
      <c r="BG258" s="34">
        <f>AVERAGE(AV258:AZ258)</f>
        <v>78</v>
      </c>
      <c r="BH258" s="35">
        <f>T258+AD258+AI258+AU258+BE258</f>
        <v>0.6891032990788073</v>
      </c>
      <c r="BI258" s="36" t="str">
        <f ca="1">IF(K258&lt;365,"New CE",(IF(BH258&gt;=100%,"Promote",IF(BH258&gt;=90%,"Sangat Baik",IF(BH258&gt;=80%,"Baik",IF(BH258&gt;=70%,"Lebih Dari Cukup",IF(BH258&gt;=60%,"Cukup","Kurang")))))))</f>
        <v>Cukup</v>
      </c>
      <c r="BJ258" s="36" t="s">
        <v>860</v>
      </c>
      <c r="BK258" s="58" t="s">
        <v>54</v>
      </c>
      <c r="BL258" s="59" t="e">
        <v>#N/A</v>
      </c>
    </row>
    <row r="259" spans="1:64" x14ac:dyDescent="0.35">
      <c r="A259" s="19">
        <v>255</v>
      </c>
      <c r="B259" s="13" t="s">
        <v>634</v>
      </c>
      <c r="C259" s="20" t="s">
        <v>635</v>
      </c>
      <c r="D259" s="76" t="s">
        <v>54</v>
      </c>
      <c r="E259" s="13" t="s">
        <v>179</v>
      </c>
      <c r="F259" s="13" t="s">
        <v>44</v>
      </c>
      <c r="G259" s="13" t="s">
        <v>55</v>
      </c>
      <c r="H259" s="65">
        <v>44851</v>
      </c>
      <c r="I259" s="21">
        <f t="shared" ca="1" si="129"/>
        <v>45974</v>
      </c>
      <c r="J259" s="13" t="str">
        <f t="shared" ca="1" si="144"/>
        <v xml:space="preserve">3 Tahun 0 Bulan 27 Hari </v>
      </c>
      <c r="K259" s="13">
        <f t="shared" ca="1" si="130"/>
        <v>1617120</v>
      </c>
      <c r="L259" s="13">
        <v>304</v>
      </c>
      <c r="M259" s="13">
        <v>5</v>
      </c>
      <c r="N259" s="13">
        <v>2111</v>
      </c>
      <c r="O259" s="22">
        <f t="shared" si="145"/>
        <v>422.2</v>
      </c>
      <c r="P259" s="13">
        <v>337</v>
      </c>
      <c r="Q259" s="23">
        <f t="shared" si="146"/>
        <v>0.6</v>
      </c>
      <c r="R259" s="24">
        <f t="shared" si="147"/>
        <v>3</v>
      </c>
      <c r="S259" s="25">
        <f t="shared" ref="S259:S320" si="161">P259/O259</f>
        <v>0.79819990525817153</v>
      </c>
      <c r="T259" s="25">
        <f t="shared" si="148"/>
        <v>0.15963998105163432</v>
      </c>
      <c r="U259" s="26">
        <v>2725.3193300925918</v>
      </c>
      <c r="V259" s="26">
        <v>2.1412037037037038E-4</v>
      </c>
      <c r="W259" s="26">
        <v>0</v>
      </c>
      <c r="X259" s="27">
        <f t="shared" si="140"/>
        <v>0</v>
      </c>
      <c r="Y259" s="27">
        <f t="shared" si="141"/>
        <v>1</v>
      </c>
      <c r="Z259" s="27">
        <f t="shared" si="138"/>
        <v>0</v>
      </c>
      <c r="AA259" s="23">
        <f t="shared" si="143"/>
        <v>0.4</v>
      </c>
      <c r="AB259" s="24">
        <f t="shared" si="136"/>
        <v>1</v>
      </c>
      <c r="AC259" s="28">
        <f t="shared" si="149"/>
        <v>0.33333333333333331</v>
      </c>
      <c r="AD259" s="29">
        <f t="shared" si="150"/>
        <v>8.3333333333333329E-2</v>
      </c>
      <c r="AE259" s="30">
        <v>7.2308614417989414E-2</v>
      </c>
      <c r="AF259" s="23">
        <f t="shared" si="151"/>
        <v>1</v>
      </c>
      <c r="AG259" s="24">
        <f t="shared" si="142"/>
        <v>4</v>
      </c>
      <c r="AH259" s="28">
        <f t="shared" si="152"/>
        <v>0.8</v>
      </c>
      <c r="AI259" s="29">
        <f t="shared" si="153"/>
        <v>0.2</v>
      </c>
      <c r="AJ259" s="31">
        <v>1</v>
      </c>
      <c r="AK259" s="31">
        <v>1</v>
      </c>
      <c r="AL259" s="31">
        <v>1</v>
      </c>
      <c r="AM259" s="31">
        <v>0</v>
      </c>
      <c r="AN259" s="31">
        <v>0</v>
      </c>
      <c r="AO259" s="31">
        <v>0</v>
      </c>
      <c r="AP259" s="31">
        <v>0</v>
      </c>
      <c r="AQ259" s="31">
        <v>0</v>
      </c>
      <c r="AR259" s="23">
        <f t="shared" si="154"/>
        <v>0.6</v>
      </c>
      <c r="AS259" s="24">
        <f t="shared" si="155"/>
        <v>3</v>
      </c>
      <c r="AT259" s="28">
        <f t="shared" si="156"/>
        <v>0.375</v>
      </c>
      <c r="AU259" s="28">
        <f t="shared" si="157"/>
        <v>5.6249999999999994E-2</v>
      </c>
      <c r="AV259" s="32">
        <v>75</v>
      </c>
      <c r="AW259" s="32">
        <v>75</v>
      </c>
      <c r="AX259" s="32">
        <v>80</v>
      </c>
      <c r="AY259" s="32">
        <v>80</v>
      </c>
      <c r="AZ259" s="32">
        <v>80</v>
      </c>
      <c r="BA259" s="32">
        <v>100</v>
      </c>
      <c r="BB259" s="23">
        <f t="shared" ca="1" si="158"/>
        <v>0.8</v>
      </c>
      <c r="BC259" s="33">
        <f t="shared" si="132"/>
        <v>81.666666666666671</v>
      </c>
      <c r="BD259" s="28">
        <f t="shared" si="159"/>
        <v>0.93877551020408168</v>
      </c>
      <c r="BE259" s="28">
        <f t="shared" si="160"/>
        <v>0.18775510204081636</v>
      </c>
      <c r="BF259" s="34">
        <f ca="1">Q259+AA259+AF259+AR259+BB259</f>
        <v>3.4000000000000004</v>
      </c>
      <c r="BG259" s="34">
        <f>AVERAGE(AV259:AZ259)</f>
        <v>78</v>
      </c>
      <c r="BH259" s="35">
        <f>T259+AD259+AI259+AU259+BE259</f>
        <v>0.68697841642578406</v>
      </c>
      <c r="BI259" s="36" t="str">
        <f ca="1">IF(K259&lt;365,"New CE",(IF(BH259&gt;=100%,"Promote",IF(BH259&gt;=90%,"Sangat Baik",IF(BH259&gt;=80%,"Baik",IF(BH259&gt;=70%,"Lebih Dari Cukup",IF(BH259&gt;=60%,"Cukup","Kurang")))))))</f>
        <v>Cukup</v>
      </c>
      <c r="BJ259" s="36" t="s">
        <v>860</v>
      </c>
      <c r="BK259" s="58" t="s">
        <v>54</v>
      </c>
      <c r="BL259" s="59" t="e">
        <v>#N/A</v>
      </c>
    </row>
    <row r="260" spans="1:64" x14ac:dyDescent="0.35">
      <c r="A260" s="19">
        <v>256</v>
      </c>
      <c r="B260" s="13" t="s">
        <v>636</v>
      </c>
      <c r="C260" s="20" t="s">
        <v>637</v>
      </c>
      <c r="D260" s="76" t="s">
        <v>42</v>
      </c>
      <c r="E260" s="13" t="s">
        <v>192</v>
      </c>
      <c r="F260" s="13" t="s">
        <v>50</v>
      </c>
      <c r="G260" s="13" t="s">
        <v>55</v>
      </c>
      <c r="H260" s="65">
        <v>43349</v>
      </c>
      <c r="I260" s="21">
        <f t="shared" ca="1" si="129"/>
        <v>45974</v>
      </c>
      <c r="J260" s="13" t="str">
        <f t="shared" ca="1" si="144"/>
        <v xml:space="preserve">7 Tahun 2 Bulan 7 Hari </v>
      </c>
      <c r="K260" s="13">
        <f t="shared" ca="1" si="130"/>
        <v>3780000</v>
      </c>
      <c r="L260" s="13">
        <v>510</v>
      </c>
      <c r="M260" s="13">
        <v>9</v>
      </c>
      <c r="N260" s="13">
        <v>3962</v>
      </c>
      <c r="O260" s="22">
        <f t="shared" si="145"/>
        <v>440.22222222222223</v>
      </c>
      <c r="P260" s="13">
        <v>424</v>
      </c>
      <c r="Q260" s="23">
        <f t="shared" si="146"/>
        <v>0.8</v>
      </c>
      <c r="R260" s="24">
        <f t="shared" si="147"/>
        <v>4</v>
      </c>
      <c r="S260" s="25">
        <f t="shared" si="161"/>
        <v>0.96314992428066637</v>
      </c>
      <c r="T260" s="25">
        <f t="shared" si="148"/>
        <v>0.19262998485613328</v>
      </c>
      <c r="U260" s="26">
        <v>4704.7538553639861</v>
      </c>
      <c r="V260" s="26">
        <v>0</v>
      </c>
      <c r="W260" s="26">
        <v>0</v>
      </c>
      <c r="X260" s="27">
        <f t="shared" si="140"/>
        <v>0</v>
      </c>
      <c r="Y260" s="27">
        <f t="shared" si="141"/>
        <v>0</v>
      </c>
      <c r="Z260" s="27">
        <f t="shared" si="138"/>
        <v>0</v>
      </c>
      <c r="AA260" s="23">
        <f t="shared" si="143"/>
        <v>0</v>
      </c>
      <c r="AB260" s="24">
        <f t="shared" si="136"/>
        <v>0</v>
      </c>
      <c r="AC260" s="28">
        <f t="shared" si="149"/>
        <v>0</v>
      </c>
      <c r="AD260" s="29">
        <f t="shared" si="150"/>
        <v>0</v>
      </c>
      <c r="AE260" s="30">
        <v>4.1431257014590356E-2</v>
      </c>
      <c r="AF260" s="23">
        <f t="shared" si="151"/>
        <v>1.25</v>
      </c>
      <c r="AG260" s="24">
        <f t="shared" si="142"/>
        <v>5</v>
      </c>
      <c r="AH260" s="28">
        <f t="shared" si="152"/>
        <v>1</v>
      </c>
      <c r="AI260" s="29">
        <f t="shared" si="153"/>
        <v>0.25</v>
      </c>
      <c r="AJ260" s="31">
        <v>1</v>
      </c>
      <c r="AK260" s="31">
        <v>1</v>
      </c>
      <c r="AL260" s="31">
        <v>1</v>
      </c>
      <c r="AM260" s="31">
        <v>0</v>
      </c>
      <c r="AN260" s="31">
        <v>0</v>
      </c>
      <c r="AO260" s="31">
        <v>0</v>
      </c>
      <c r="AP260" s="31">
        <v>0</v>
      </c>
      <c r="AQ260" s="31">
        <v>0</v>
      </c>
      <c r="AR260" s="23">
        <f t="shared" si="154"/>
        <v>0.6</v>
      </c>
      <c r="AS260" s="24">
        <f t="shared" si="155"/>
        <v>3</v>
      </c>
      <c r="AT260" s="28">
        <f t="shared" si="156"/>
        <v>0.375</v>
      </c>
      <c r="AU260" s="28">
        <f t="shared" si="157"/>
        <v>5.6249999999999994E-2</v>
      </c>
      <c r="AV260" s="32">
        <v>75</v>
      </c>
      <c r="AW260" s="32">
        <v>75</v>
      </c>
      <c r="AX260" s="32">
        <v>90</v>
      </c>
      <c r="AY260" s="32">
        <v>90</v>
      </c>
      <c r="AZ260" s="32">
        <v>90</v>
      </c>
      <c r="BA260" s="32">
        <v>100</v>
      </c>
      <c r="BB260" s="23">
        <f t="shared" ca="1" si="158"/>
        <v>0.8</v>
      </c>
      <c r="BC260" s="33">
        <f t="shared" si="132"/>
        <v>86.666666666666671</v>
      </c>
      <c r="BD260" s="28">
        <f t="shared" si="159"/>
        <v>0.94230769230769229</v>
      </c>
      <c r="BE260" s="28">
        <f t="shared" si="160"/>
        <v>0.18846153846153846</v>
      </c>
      <c r="BF260" s="34">
        <f ca="1">Q260+AA260+AF260+AR260+BB260</f>
        <v>3.45</v>
      </c>
      <c r="BG260" s="34">
        <f>AVERAGE(AV260:AZ260)</f>
        <v>84</v>
      </c>
      <c r="BH260" s="35">
        <f>T260+AD260+AI260+AU260+BE260</f>
        <v>0.68734152331767173</v>
      </c>
      <c r="BI260" s="36" t="str">
        <f ca="1">IF(K260&lt;365,"New CE",(IF(BH260&gt;=100%,"Promote",IF(BH260&gt;=90%,"Sangat Baik",IF(BH260&gt;=80%,"Baik",IF(BH260&gt;=70%,"Lebih Dari Cukup",IF(BH260&gt;=60%,"Cukup","Kurang")))))))</f>
        <v>Cukup</v>
      </c>
      <c r="BJ260" s="36" t="s">
        <v>860</v>
      </c>
      <c r="BK260" s="58" t="s">
        <v>42</v>
      </c>
      <c r="BL260" s="59" t="e">
        <v>#N/A</v>
      </c>
    </row>
    <row r="261" spans="1:64" x14ac:dyDescent="0.35">
      <c r="A261" s="19">
        <v>257</v>
      </c>
      <c r="B261" s="13" t="s">
        <v>638</v>
      </c>
      <c r="C261" s="20" t="s">
        <v>639</v>
      </c>
      <c r="D261" s="76" t="s">
        <v>42</v>
      </c>
      <c r="E261" s="13" t="s">
        <v>223</v>
      </c>
      <c r="F261" s="13" t="s">
        <v>74</v>
      </c>
      <c r="G261" s="13" t="s">
        <v>61</v>
      </c>
      <c r="H261" s="65">
        <v>43350</v>
      </c>
      <c r="I261" s="21">
        <f t="shared" ca="1" si="129"/>
        <v>45974</v>
      </c>
      <c r="J261" s="13" t="str">
        <f t="shared" ca="1" si="144"/>
        <v xml:space="preserve">7 Tahun 2 Bulan 6 Hari </v>
      </c>
      <c r="K261" s="13">
        <f t="shared" ca="1" si="130"/>
        <v>3778560</v>
      </c>
      <c r="L261" s="13">
        <v>426</v>
      </c>
      <c r="M261" s="13">
        <v>6</v>
      </c>
      <c r="N261" s="13">
        <v>3000</v>
      </c>
      <c r="O261" s="22">
        <f t="shared" si="145"/>
        <v>500</v>
      </c>
      <c r="P261" s="13">
        <v>304</v>
      </c>
      <c r="Q261" s="23">
        <f t="shared" si="146"/>
        <v>0.6</v>
      </c>
      <c r="R261" s="24">
        <f t="shared" si="147"/>
        <v>3</v>
      </c>
      <c r="S261" s="25">
        <f t="shared" si="161"/>
        <v>0.60799999999999998</v>
      </c>
      <c r="T261" s="25">
        <f t="shared" si="148"/>
        <v>0.1216</v>
      </c>
      <c r="U261" s="26">
        <v>12989.760180500438</v>
      </c>
      <c r="V261" s="26">
        <v>0.13967592592592593</v>
      </c>
      <c r="W261" s="26">
        <v>20239.936954732515</v>
      </c>
      <c r="X261" s="27">
        <f t="shared" si="140"/>
        <v>0</v>
      </c>
      <c r="Y261" s="27">
        <f t="shared" si="141"/>
        <v>0</v>
      </c>
      <c r="Z261" s="27">
        <f t="shared" si="138"/>
        <v>1</v>
      </c>
      <c r="AA261" s="23">
        <f t="shared" si="143"/>
        <v>0.4</v>
      </c>
      <c r="AB261" s="24">
        <f t="shared" si="136"/>
        <v>1</v>
      </c>
      <c r="AC261" s="28">
        <f t="shared" si="149"/>
        <v>0.33333333333333331</v>
      </c>
      <c r="AD261" s="29">
        <f t="shared" si="150"/>
        <v>8.3333333333333329E-2</v>
      </c>
      <c r="AE261" s="30">
        <v>7.0649309426483342E-2</v>
      </c>
      <c r="AF261" s="23">
        <f t="shared" si="151"/>
        <v>1</v>
      </c>
      <c r="AG261" s="24">
        <f t="shared" si="142"/>
        <v>4</v>
      </c>
      <c r="AH261" s="28">
        <f t="shared" si="152"/>
        <v>0.8</v>
      </c>
      <c r="AI261" s="29">
        <f t="shared" si="153"/>
        <v>0.2</v>
      </c>
      <c r="AJ261" s="31">
        <v>1</v>
      </c>
      <c r="AK261" s="31">
        <v>1</v>
      </c>
      <c r="AL261" s="31">
        <v>1</v>
      </c>
      <c r="AM261" s="31">
        <v>1</v>
      </c>
      <c r="AN261" s="31">
        <v>0</v>
      </c>
      <c r="AO261" s="31">
        <v>0</v>
      </c>
      <c r="AP261" s="31">
        <v>0</v>
      </c>
      <c r="AQ261" s="31">
        <v>1</v>
      </c>
      <c r="AR261" s="23">
        <f t="shared" si="154"/>
        <v>1</v>
      </c>
      <c r="AS261" s="24">
        <f t="shared" si="155"/>
        <v>5</v>
      </c>
      <c r="AT261" s="28">
        <f t="shared" si="156"/>
        <v>0.625</v>
      </c>
      <c r="AU261" s="28">
        <f t="shared" si="157"/>
        <v>9.375E-2</v>
      </c>
      <c r="AV261" s="32">
        <v>75</v>
      </c>
      <c r="AW261" s="32">
        <v>75</v>
      </c>
      <c r="AX261" s="32">
        <v>90</v>
      </c>
      <c r="AY261" s="32">
        <v>90</v>
      </c>
      <c r="AZ261" s="32">
        <v>80</v>
      </c>
      <c r="BA261" s="32">
        <v>100</v>
      </c>
      <c r="BB261" s="23">
        <f t="shared" ca="1" si="158"/>
        <v>0.8</v>
      </c>
      <c r="BC261" s="33">
        <f t="shared" si="132"/>
        <v>85</v>
      </c>
      <c r="BD261" s="28">
        <f t="shared" si="159"/>
        <v>0.94117647058823528</v>
      </c>
      <c r="BE261" s="28">
        <f t="shared" si="160"/>
        <v>0.18823529411764706</v>
      </c>
      <c r="BF261" s="34">
        <f ca="1">Q261+AA261+AF261+AR261+BB261</f>
        <v>3.8</v>
      </c>
      <c r="BG261" s="34">
        <f>AVERAGE(AV261:AZ261)</f>
        <v>82</v>
      </c>
      <c r="BH261" s="35">
        <f>T261+AD261+AI261+AU261+BE261</f>
        <v>0.68691862745098042</v>
      </c>
      <c r="BI261" s="36" t="str">
        <f ca="1">IF(K261&lt;365,"New CE",(IF(BH261&gt;=100%,"Promote",IF(BH261&gt;=90%,"Sangat Baik",IF(BH261&gt;=80%,"Baik",IF(BH261&gt;=70%,"Lebih Dari Cukup",IF(BH261&gt;=60%,"Cukup","Kurang")))))))</f>
        <v>Cukup</v>
      </c>
      <c r="BJ261" s="36" t="s">
        <v>860</v>
      </c>
      <c r="BK261" s="58" t="s">
        <v>42</v>
      </c>
      <c r="BL261" s="59" t="str">
        <v>Jemi Sastra</v>
      </c>
    </row>
    <row r="262" spans="1:64" x14ac:dyDescent="0.35">
      <c r="A262" s="19">
        <v>258</v>
      </c>
      <c r="B262" s="13" t="s">
        <v>640</v>
      </c>
      <c r="C262" s="20" t="s">
        <v>641</v>
      </c>
      <c r="D262" s="76" t="s">
        <v>54</v>
      </c>
      <c r="E262" s="13" t="s">
        <v>64</v>
      </c>
      <c r="F262" s="13" t="s">
        <v>44</v>
      </c>
      <c r="G262" s="13" t="s">
        <v>61</v>
      </c>
      <c r="H262" s="65">
        <v>45173</v>
      </c>
      <c r="I262" s="21">
        <f t="shared" ref="I262:I325" ca="1" si="162">TODAY()</f>
        <v>45974</v>
      </c>
      <c r="J262" s="13" t="str">
        <f t="shared" ca="1" si="144"/>
        <v xml:space="preserve">2 Tahun 2 Bulan 9 Hari </v>
      </c>
      <c r="K262" s="13">
        <f t="shared" ref="K262:K325" ca="1" si="163">1440*(I262-H262)</f>
        <v>1153440</v>
      </c>
      <c r="L262" s="13">
        <v>872</v>
      </c>
      <c r="M262" s="13">
        <v>15</v>
      </c>
      <c r="N262" s="13">
        <v>5975</v>
      </c>
      <c r="O262" s="22">
        <f t="shared" si="145"/>
        <v>398.33333333333331</v>
      </c>
      <c r="P262" s="13">
        <v>317</v>
      </c>
      <c r="Q262" s="23">
        <f t="shared" si="146"/>
        <v>0.6</v>
      </c>
      <c r="R262" s="24">
        <f t="shared" si="147"/>
        <v>3</v>
      </c>
      <c r="S262" s="25">
        <f t="shared" si="161"/>
        <v>0.79581589958159005</v>
      </c>
      <c r="T262" s="25">
        <f t="shared" si="148"/>
        <v>0.15916317991631801</v>
      </c>
      <c r="U262" s="26">
        <v>1107.1231546409215</v>
      </c>
      <c r="V262" s="26">
        <v>2.9521122685185187E-2</v>
      </c>
      <c r="W262" s="26">
        <v>0</v>
      </c>
      <c r="X262" s="27">
        <f t="shared" si="140"/>
        <v>0</v>
      </c>
      <c r="Y262" s="27">
        <f t="shared" si="141"/>
        <v>1</v>
      </c>
      <c r="Z262" s="27">
        <f t="shared" si="138"/>
        <v>0</v>
      </c>
      <c r="AA262" s="23">
        <f t="shared" si="143"/>
        <v>0.4</v>
      </c>
      <c r="AB262" s="24">
        <f t="shared" si="136"/>
        <v>1</v>
      </c>
      <c r="AC262" s="28">
        <f t="shared" si="149"/>
        <v>0.33333333333333331</v>
      </c>
      <c r="AD262" s="29">
        <f t="shared" si="150"/>
        <v>8.3333333333333329E-2</v>
      </c>
      <c r="AE262" s="30">
        <v>4.8134026519726245E-2</v>
      </c>
      <c r="AF262" s="23">
        <f t="shared" si="151"/>
        <v>1</v>
      </c>
      <c r="AG262" s="24">
        <f t="shared" si="142"/>
        <v>4</v>
      </c>
      <c r="AH262" s="28">
        <f t="shared" si="152"/>
        <v>0.8</v>
      </c>
      <c r="AI262" s="29">
        <f t="shared" si="153"/>
        <v>0.2</v>
      </c>
      <c r="AJ262" s="31">
        <v>1</v>
      </c>
      <c r="AK262" s="31">
        <v>1</v>
      </c>
      <c r="AL262" s="31">
        <v>1</v>
      </c>
      <c r="AM262" s="31">
        <v>0</v>
      </c>
      <c r="AN262" s="31">
        <v>0</v>
      </c>
      <c r="AO262" s="31">
        <v>0</v>
      </c>
      <c r="AP262" s="31">
        <v>0</v>
      </c>
      <c r="AQ262" s="31">
        <v>0</v>
      </c>
      <c r="AR262" s="23">
        <f t="shared" si="154"/>
        <v>0.6</v>
      </c>
      <c r="AS262" s="24">
        <f t="shared" si="155"/>
        <v>3</v>
      </c>
      <c r="AT262" s="28">
        <f t="shared" si="156"/>
        <v>0.375</v>
      </c>
      <c r="AU262" s="28">
        <f t="shared" si="157"/>
        <v>5.6249999999999994E-2</v>
      </c>
      <c r="AV262" s="32">
        <v>75</v>
      </c>
      <c r="AW262" s="32">
        <v>75</v>
      </c>
      <c r="AX262" s="32">
        <v>80</v>
      </c>
      <c r="AY262" s="32">
        <v>80</v>
      </c>
      <c r="AZ262" s="32">
        <v>80</v>
      </c>
      <c r="BA262" s="32">
        <v>100</v>
      </c>
      <c r="BB262" s="23">
        <f t="shared" ca="1" si="158"/>
        <v>0.8</v>
      </c>
      <c r="BC262" s="33">
        <f t="shared" ref="BC262:BC325" si="164">AVERAGE(AV262:BA262)</f>
        <v>81.666666666666671</v>
      </c>
      <c r="BD262" s="28">
        <f t="shared" si="159"/>
        <v>0.93877551020408168</v>
      </c>
      <c r="BE262" s="28">
        <f t="shared" si="160"/>
        <v>0.18775510204081636</v>
      </c>
      <c r="BF262" s="34">
        <f ca="1">Q262+AA262+AF262+AR262+BB262</f>
        <v>3.4000000000000004</v>
      </c>
      <c r="BG262" s="34">
        <f>AVERAGE(AV262:AZ262)</f>
        <v>78</v>
      </c>
      <c r="BH262" s="35">
        <f>T262+AD262+AI262+AU262+BE262</f>
        <v>0.68650161529046771</v>
      </c>
      <c r="BI262" s="36" t="str">
        <f ca="1">IF(K262&lt;365,"New CE",(IF(BH262&gt;=100%,"Promote",IF(BH262&gt;=90%,"Sangat Baik",IF(BH262&gt;=80%,"Baik",IF(BH262&gt;=70%,"Lebih Dari Cukup",IF(BH262&gt;=60%,"Cukup","Kurang")))))))</f>
        <v>Cukup</v>
      </c>
      <c r="BJ262" s="36" t="s">
        <v>860</v>
      </c>
      <c r="BK262" s="58" t="s">
        <v>54</v>
      </c>
      <c r="BL262" s="59" t="e">
        <v>#N/A</v>
      </c>
    </row>
    <row r="263" spans="1:64" x14ac:dyDescent="0.35">
      <c r="A263" s="19">
        <v>259</v>
      </c>
      <c r="B263" s="13" t="s">
        <v>642</v>
      </c>
      <c r="C263" s="20" t="s">
        <v>643</v>
      </c>
      <c r="D263" s="76" t="s">
        <v>48</v>
      </c>
      <c r="E263" s="13" t="s">
        <v>418</v>
      </c>
      <c r="F263" s="13" t="s">
        <v>44</v>
      </c>
      <c r="G263" s="13" t="s">
        <v>55</v>
      </c>
      <c r="H263" s="65">
        <v>44837</v>
      </c>
      <c r="I263" s="21">
        <f t="shared" ca="1" si="162"/>
        <v>45974</v>
      </c>
      <c r="J263" s="13" t="str">
        <f t="shared" ca="1" si="144"/>
        <v xml:space="preserve">3 Tahun 1 Bulan 10 Hari </v>
      </c>
      <c r="K263" s="13">
        <f t="shared" ca="1" si="163"/>
        <v>1637280</v>
      </c>
      <c r="L263" s="13">
        <v>173</v>
      </c>
      <c r="M263" s="13">
        <v>3</v>
      </c>
      <c r="N263" s="13">
        <v>1310</v>
      </c>
      <c r="O263" s="22">
        <f t="shared" si="145"/>
        <v>436.66666666666669</v>
      </c>
      <c r="P263" s="13">
        <v>347</v>
      </c>
      <c r="Q263" s="23">
        <f t="shared" si="146"/>
        <v>0.6</v>
      </c>
      <c r="R263" s="24">
        <f t="shared" si="147"/>
        <v>3</v>
      </c>
      <c r="S263" s="25">
        <f t="shared" si="161"/>
        <v>0.79465648854961823</v>
      </c>
      <c r="T263" s="25">
        <f t="shared" si="148"/>
        <v>0.15893129770992365</v>
      </c>
      <c r="U263" s="26">
        <v>1110.1306131436313</v>
      </c>
      <c r="V263" s="26">
        <v>1032.6358009785354</v>
      </c>
      <c r="W263" s="26">
        <v>15185.517461419753</v>
      </c>
      <c r="X263" s="27">
        <f t="shared" si="140"/>
        <v>0</v>
      </c>
      <c r="Y263" s="27">
        <f t="shared" si="141"/>
        <v>0</v>
      </c>
      <c r="Z263" s="27">
        <f t="shared" si="138"/>
        <v>1</v>
      </c>
      <c r="AA263" s="23">
        <f t="shared" si="143"/>
        <v>0.4</v>
      </c>
      <c r="AB263" s="24">
        <f t="shared" si="136"/>
        <v>1</v>
      </c>
      <c r="AC263" s="28">
        <f t="shared" si="149"/>
        <v>0.33333333333333331</v>
      </c>
      <c r="AD263" s="29">
        <f t="shared" si="150"/>
        <v>8.3333333333333329E-2</v>
      </c>
      <c r="AE263" s="30">
        <v>4.7541296939300412E-2</v>
      </c>
      <c r="AF263" s="23">
        <f t="shared" si="151"/>
        <v>1</v>
      </c>
      <c r="AG263" s="24">
        <f t="shared" si="142"/>
        <v>4</v>
      </c>
      <c r="AH263" s="28">
        <f t="shared" si="152"/>
        <v>0.8</v>
      </c>
      <c r="AI263" s="29">
        <f t="shared" si="153"/>
        <v>0.2</v>
      </c>
      <c r="AJ263" s="31">
        <v>1</v>
      </c>
      <c r="AK263" s="31">
        <v>1</v>
      </c>
      <c r="AL263" s="31">
        <v>1</v>
      </c>
      <c r="AM263" s="31">
        <v>0</v>
      </c>
      <c r="AN263" s="31">
        <v>0</v>
      </c>
      <c r="AO263" s="31">
        <v>0</v>
      </c>
      <c r="AP263" s="31">
        <v>0</v>
      </c>
      <c r="AQ263" s="31">
        <v>0</v>
      </c>
      <c r="AR263" s="23">
        <f t="shared" si="154"/>
        <v>0.6</v>
      </c>
      <c r="AS263" s="24">
        <f t="shared" si="155"/>
        <v>3</v>
      </c>
      <c r="AT263" s="28">
        <f t="shared" si="156"/>
        <v>0.375</v>
      </c>
      <c r="AU263" s="28">
        <f t="shared" si="157"/>
        <v>5.6249999999999994E-2</v>
      </c>
      <c r="AV263" s="32">
        <v>75</v>
      </c>
      <c r="AW263" s="32">
        <v>75</v>
      </c>
      <c r="AX263" s="32">
        <v>80</v>
      </c>
      <c r="AY263" s="32">
        <v>80</v>
      </c>
      <c r="AZ263" s="32">
        <v>80</v>
      </c>
      <c r="BA263" s="32">
        <v>100</v>
      </c>
      <c r="BB263" s="23">
        <f t="shared" ca="1" si="158"/>
        <v>0.8</v>
      </c>
      <c r="BC263" s="33">
        <f t="shared" si="164"/>
        <v>81.666666666666671</v>
      </c>
      <c r="BD263" s="28">
        <f t="shared" si="159"/>
        <v>0.93877551020408168</v>
      </c>
      <c r="BE263" s="28">
        <f t="shared" si="160"/>
        <v>0.18775510204081636</v>
      </c>
      <c r="BF263" s="34">
        <f ca="1">Q263+AA263+AF263+AR263+BB263</f>
        <v>3.4000000000000004</v>
      </c>
      <c r="BG263" s="34">
        <f>AVERAGE(AV263:AZ263)</f>
        <v>78</v>
      </c>
      <c r="BH263" s="35">
        <f>T263+AD263+AI263+AU263+BE263</f>
        <v>0.68626973308407335</v>
      </c>
      <c r="BI263" s="36" t="str">
        <f ca="1">IF(K263&lt;365,"New CE",(IF(BH263&gt;=100%,"Promote",IF(BH263&gt;=90%,"Sangat Baik",IF(BH263&gt;=80%,"Baik",IF(BH263&gt;=70%,"Lebih Dari Cukup",IF(BH263&gt;=60%,"Cukup","Kurang")))))))</f>
        <v>Cukup</v>
      </c>
      <c r="BJ263" s="36" t="s">
        <v>860</v>
      </c>
      <c r="BK263" s="58" t="s">
        <v>48</v>
      </c>
      <c r="BL263" s="59" t="e">
        <v>#N/A</v>
      </c>
    </row>
    <row r="264" spans="1:64" x14ac:dyDescent="0.35">
      <c r="A264" s="19">
        <v>260</v>
      </c>
      <c r="B264" s="13" t="s">
        <v>644</v>
      </c>
      <c r="C264" s="20" t="s">
        <v>645</v>
      </c>
      <c r="D264" s="76" t="s">
        <v>54</v>
      </c>
      <c r="E264" s="13" t="s">
        <v>457</v>
      </c>
      <c r="F264" s="13" t="s">
        <v>44</v>
      </c>
      <c r="G264" s="13" t="s">
        <v>55</v>
      </c>
      <c r="H264" s="65">
        <v>44882</v>
      </c>
      <c r="I264" s="21">
        <f t="shared" ca="1" si="162"/>
        <v>45974</v>
      </c>
      <c r="J264" s="13" t="str">
        <f t="shared" ca="1" si="144"/>
        <v xml:space="preserve">2 Tahun 11 Bulan 27 Hari </v>
      </c>
      <c r="K264" s="13">
        <f t="shared" ca="1" si="163"/>
        <v>1572480</v>
      </c>
      <c r="L264" s="13">
        <v>211</v>
      </c>
      <c r="M264" s="13">
        <v>4</v>
      </c>
      <c r="N264" s="13">
        <v>1615</v>
      </c>
      <c r="O264" s="22">
        <f t="shared" si="145"/>
        <v>403.75</v>
      </c>
      <c r="P264" s="13">
        <v>318</v>
      </c>
      <c r="Q264" s="23">
        <f t="shared" si="146"/>
        <v>0.6</v>
      </c>
      <c r="R264" s="24">
        <f t="shared" si="147"/>
        <v>3</v>
      </c>
      <c r="S264" s="25">
        <f t="shared" si="161"/>
        <v>0.78761609907120744</v>
      </c>
      <c r="T264" s="25">
        <f t="shared" si="148"/>
        <v>0.1575232198142415</v>
      </c>
      <c r="U264" s="26">
        <v>1229.2223301426427</v>
      </c>
      <c r="V264" s="26">
        <v>5.7175925925925927E-4</v>
      </c>
      <c r="W264" s="26">
        <v>0</v>
      </c>
      <c r="X264" s="27">
        <f t="shared" si="140"/>
        <v>0</v>
      </c>
      <c r="Y264" s="27">
        <f t="shared" si="141"/>
        <v>1</v>
      </c>
      <c r="Z264" s="27">
        <f t="shared" si="138"/>
        <v>0</v>
      </c>
      <c r="AA264" s="23">
        <f t="shared" si="143"/>
        <v>0.4</v>
      </c>
      <c r="AB264" s="24">
        <f t="shared" si="136"/>
        <v>1</v>
      </c>
      <c r="AC264" s="28">
        <f t="shared" si="149"/>
        <v>0.33333333333333331</v>
      </c>
      <c r="AD264" s="29">
        <f t="shared" si="150"/>
        <v>8.3333333333333329E-2</v>
      </c>
      <c r="AE264" s="30">
        <v>6.406157116006643E-2</v>
      </c>
      <c r="AF264" s="23">
        <f t="shared" si="151"/>
        <v>1</v>
      </c>
      <c r="AG264" s="24">
        <f t="shared" si="142"/>
        <v>4</v>
      </c>
      <c r="AH264" s="28">
        <f t="shared" si="152"/>
        <v>0.8</v>
      </c>
      <c r="AI264" s="29">
        <f t="shared" si="153"/>
        <v>0.2</v>
      </c>
      <c r="AJ264" s="31">
        <v>1</v>
      </c>
      <c r="AK264" s="31">
        <v>1</v>
      </c>
      <c r="AL264" s="31">
        <v>0</v>
      </c>
      <c r="AM264" s="31">
        <v>0</v>
      </c>
      <c r="AN264" s="31">
        <v>0</v>
      </c>
      <c r="AO264" s="31">
        <v>1</v>
      </c>
      <c r="AP264" s="31">
        <v>0</v>
      </c>
      <c r="AQ264" s="31">
        <v>0</v>
      </c>
      <c r="AR264" s="23">
        <f t="shared" si="154"/>
        <v>0.6</v>
      </c>
      <c r="AS264" s="24">
        <f t="shared" si="155"/>
        <v>3</v>
      </c>
      <c r="AT264" s="28">
        <f t="shared" si="156"/>
        <v>0.375</v>
      </c>
      <c r="AU264" s="28">
        <f t="shared" si="157"/>
        <v>5.6249999999999994E-2</v>
      </c>
      <c r="AV264" s="32">
        <v>75</v>
      </c>
      <c r="AW264" s="32">
        <v>75</v>
      </c>
      <c r="AX264" s="32">
        <v>80</v>
      </c>
      <c r="AY264" s="32">
        <v>75</v>
      </c>
      <c r="AZ264" s="32">
        <v>80</v>
      </c>
      <c r="BA264" s="32">
        <v>100</v>
      </c>
      <c r="BB264" s="23">
        <f t="shared" ca="1" si="158"/>
        <v>0.8</v>
      </c>
      <c r="BC264" s="33">
        <f t="shared" si="164"/>
        <v>80.833333333333329</v>
      </c>
      <c r="BD264" s="28">
        <f t="shared" si="159"/>
        <v>0.93814432989690721</v>
      </c>
      <c r="BE264" s="28">
        <f t="shared" si="160"/>
        <v>0.18762886597938144</v>
      </c>
      <c r="BF264" s="34">
        <f ca="1">Q264+AA264+AF264+AR264+BB264</f>
        <v>3.4000000000000004</v>
      </c>
      <c r="BG264" s="34">
        <f>AVERAGE(AV264:AZ264)</f>
        <v>77</v>
      </c>
      <c r="BH264" s="35">
        <f>T264+AD264+AI264+AU264+BE264</f>
        <v>0.68473541912695624</v>
      </c>
      <c r="BI264" s="36" t="str">
        <f ca="1">IF(K264&lt;365,"New CE",(IF(BH264&gt;=100%,"Promote",IF(BH264&gt;=90%,"Sangat Baik",IF(BH264&gt;=80%,"Baik",IF(BH264&gt;=70%,"Lebih Dari Cukup",IF(BH264&gt;=60%,"Cukup","Kurang")))))))</f>
        <v>Cukup</v>
      </c>
      <c r="BJ264" s="36" t="s">
        <v>860</v>
      </c>
      <c r="BK264" s="58" t="s">
        <v>54</v>
      </c>
      <c r="BL264" s="59" t="e">
        <v>#N/A</v>
      </c>
    </row>
    <row r="265" spans="1:64" x14ac:dyDescent="0.35">
      <c r="A265" s="19">
        <v>261</v>
      </c>
      <c r="B265" s="13" t="s">
        <v>646</v>
      </c>
      <c r="C265" s="20" t="s">
        <v>647</v>
      </c>
      <c r="D265" s="76" t="s">
        <v>48</v>
      </c>
      <c r="E265" s="13" t="s">
        <v>529</v>
      </c>
      <c r="F265" s="13" t="s">
        <v>74</v>
      </c>
      <c r="G265" s="13" t="s">
        <v>55</v>
      </c>
      <c r="H265" s="65">
        <v>44123</v>
      </c>
      <c r="I265" s="21">
        <f t="shared" ca="1" si="162"/>
        <v>45974</v>
      </c>
      <c r="J265" s="13" t="str">
        <f t="shared" ca="1" si="144"/>
        <v xml:space="preserve">5 Tahun 0 Bulan 25 Hari </v>
      </c>
      <c r="K265" s="13">
        <f t="shared" ca="1" si="163"/>
        <v>2665440</v>
      </c>
      <c r="L265" s="13">
        <v>235</v>
      </c>
      <c r="M265" s="13">
        <v>4</v>
      </c>
      <c r="N265" s="13">
        <v>1697</v>
      </c>
      <c r="O265" s="22">
        <f t="shared" si="145"/>
        <v>424.25</v>
      </c>
      <c r="P265" s="13">
        <v>374</v>
      </c>
      <c r="Q265" s="23">
        <f t="shared" si="146"/>
        <v>0.8</v>
      </c>
      <c r="R265" s="24">
        <f t="shared" si="147"/>
        <v>4</v>
      </c>
      <c r="S265" s="25">
        <f t="shared" si="161"/>
        <v>0.88155568650559812</v>
      </c>
      <c r="T265" s="25">
        <f t="shared" si="148"/>
        <v>0.17631113730111964</v>
      </c>
      <c r="U265" s="26">
        <v>5050.1232426697534</v>
      </c>
      <c r="V265" s="26">
        <v>4785.9824104532172</v>
      </c>
      <c r="W265" s="26">
        <v>9.1898148148148134E-4</v>
      </c>
      <c r="X265" s="27">
        <f t="shared" si="140"/>
        <v>0</v>
      </c>
      <c r="Y265" s="27">
        <f t="shared" si="141"/>
        <v>0</v>
      </c>
      <c r="Z265" s="27">
        <f t="shared" si="138"/>
        <v>1</v>
      </c>
      <c r="AA265" s="23">
        <f t="shared" si="143"/>
        <v>0.4</v>
      </c>
      <c r="AB265" s="24">
        <f t="shared" si="136"/>
        <v>1</v>
      </c>
      <c r="AC265" s="28">
        <f t="shared" si="149"/>
        <v>0.33333333333333331</v>
      </c>
      <c r="AD265" s="29">
        <f t="shared" si="150"/>
        <v>8.3333333333333329E-2</v>
      </c>
      <c r="AE265" s="30">
        <v>5.80837962962963E-2</v>
      </c>
      <c r="AF265" s="23">
        <f t="shared" si="151"/>
        <v>1</v>
      </c>
      <c r="AG265" s="24">
        <f t="shared" si="142"/>
        <v>4</v>
      </c>
      <c r="AH265" s="28">
        <f t="shared" si="152"/>
        <v>0.8</v>
      </c>
      <c r="AI265" s="29">
        <f t="shared" si="153"/>
        <v>0.2</v>
      </c>
      <c r="AJ265" s="31">
        <v>1</v>
      </c>
      <c r="AK265" s="31">
        <v>1</v>
      </c>
      <c r="AL265" s="31">
        <v>0</v>
      </c>
      <c r="AM265" s="31">
        <v>0</v>
      </c>
      <c r="AN265" s="31">
        <v>0</v>
      </c>
      <c r="AO265" s="31">
        <v>0</v>
      </c>
      <c r="AP265" s="31">
        <v>0</v>
      </c>
      <c r="AQ265" s="31">
        <v>0</v>
      </c>
      <c r="AR265" s="23">
        <f t="shared" si="154"/>
        <v>0.4</v>
      </c>
      <c r="AS265" s="24">
        <f t="shared" si="155"/>
        <v>2</v>
      </c>
      <c r="AT265" s="28">
        <f t="shared" si="156"/>
        <v>0.25</v>
      </c>
      <c r="AU265" s="28">
        <f t="shared" si="157"/>
        <v>3.7499999999999999E-2</v>
      </c>
      <c r="AV265" s="32">
        <v>75</v>
      </c>
      <c r="AW265" s="32">
        <v>75</v>
      </c>
      <c r="AX265" s="32">
        <v>75</v>
      </c>
      <c r="AY265" s="32">
        <v>70</v>
      </c>
      <c r="AZ265" s="32">
        <v>65</v>
      </c>
      <c r="BA265" s="32">
        <v>100</v>
      </c>
      <c r="BB265" s="23">
        <f t="shared" ca="1" si="158"/>
        <v>0.8</v>
      </c>
      <c r="BC265" s="33">
        <f t="shared" si="164"/>
        <v>76.666666666666671</v>
      </c>
      <c r="BD265" s="28">
        <f t="shared" si="159"/>
        <v>0.93478260869565222</v>
      </c>
      <c r="BE265" s="28">
        <f t="shared" si="160"/>
        <v>0.18695652173913047</v>
      </c>
      <c r="BF265" s="34">
        <f ca="1">Q265+AA265+AF265+AR265+BB265</f>
        <v>3.4000000000000004</v>
      </c>
      <c r="BG265" s="34">
        <f>AVERAGE(AV265:AZ265)</f>
        <v>72</v>
      </c>
      <c r="BH265" s="35">
        <f>T265+AD265+AI265+AU265+BE265</f>
        <v>0.68410099237358346</v>
      </c>
      <c r="BI265" s="36" t="str">
        <f ca="1">IF(K265&lt;365,"New CE",(IF(BH265&gt;=100%,"Promote",IF(BH265&gt;=90%,"Sangat Baik",IF(BH265&gt;=80%,"Baik",IF(BH265&gt;=70%,"Lebih Dari Cukup",IF(BH265&gt;=60%,"Cukup","Kurang")))))))</f>
        <v>Cukup</v>
      </c>
      <c r="BJ265" s="36" t="s">
        <v>860</v>
      </c>
      <c r="BK265" s="58" t="s">
        <v>48</v>
      </c>
      <c r="BL265" s="59" t="str">
        <v>Albert Nielsen Naibaho</v>
      </c>
    </row>
    <row r="266" spans="1:64" x14ac:dyDescent="0.35">
      <c r="A266" s="19">
        <v>262</v>
      </c>
      <c r="B266" s="13" t="s">
        <v>648</v>
      </c>
      <c r="C266" s="20" t="s">
        <v>649</v>
      </c>
      <c r="D266" s="76" t="s">
        <v>42</v>
      </c>
      <c r="E266" s="13" t="s">
        <v>457</v>
      </c>
      <c r="F266" s="13" t="s">
        <v>44</v>
      </c>
      <c r="G266" s="13" t="s">
        <v>45</v>
      </c>
      <c r="H266" s="65">
        <v>43514</v>
      </c>
      <c r="I266" s="21">
        <f t="shared" ca="1" si="162"/>
        <v>45974</v>
      </c>
      <c r="J266" s="13" t="str">
        <f t="shared" ca="1" si="144"/>
        <v xml:space="preserve">6 Tahun 8 Bulan 26 Hari </v>
      </c>
      <c r="K266" s="13">
        <f t="shared" ca="1" si="163"/>
        <v>3542400</v>
      </c>
      <c r="L266" s="13">
        <v>211</v>
      </c>
      <c r="M266" s="13">
        <v>4</v>
      </c>
      <c r="N266" s="13">
        <v>1615</v>
      </c>
      <c r="O266" s="22">
        <f t="shared" si="145"/>
        <v>403.75</v>
      </c>
      <c r="P266" s="13">
        <v>369</v>
      </c>
      <c r="Q266" s="23">
        <f t="shared" si="146"/>
        <v>0.8</v>
      </c>
      <c r="R266" s="24">
        <f t="shared" si="147"/>
        <v>4</v>
      </c>
      <c r="S266" s="25">
        <f t="shared" si="161"/>
        <v>0.9139318885448916</v>
      </c>
      <c r="T266" s="25">
        <f t="shared" si="148"/>
        <v>0.18278637770897832</v>
      </c>
      <c r="U266" s="26">
        <v>7323.1764097968917</v>
      </c>
      <c r="V266" s="26">
        <v>11341.887647569445</v>
      </c>
      <c r="W266" s="26">
        <v>0</v>
      </c>
      <c r="X266" s="27">
        <f t="shared" si="140"/>
        <v>0</v>
      </c>
      <c r="Y266" s="27">
        <f t="shared" si="141"/>
        <v>0</v>
      </c>
      <c r="Z266" s="27">
        <f t="shared" si="138"/>
        <v>0</v>
      </c>
      <c r="AA266" s="23">
        <f t="shared" si="143"/>
        <v>0</v>
      </c>
      <c r="AB266" s="24">
        <f t="shared" si="136"/>
        <v>0</v>
      </c>
      <c r="AC266" s="28">
        <f t="shared" si="149"/>
        <v>0</v>
      </c>
      <c r="AD266" s="29">
        <f t="shared" si="150"/>
        <v>0</v>
      </c>
      <c r="AE266" s="30">
        <v>5.5083413885497222E-2</v>
      </c>
      <c r="AF266" s="23">
        <f t="shared" si="151"/>
        <v>1</v>
      </c>
      <c r="AG266" s="24">
        <f t="shared" si="142"/>
        <v>4</v>
      </c>
      <c r="AH266" s="28">
        <f t="shared" si="152"/>
        <v>0.8</v>
      </c>
      <c r="AI266" s="29">
        <f t="shared" si="153"/>
        <v>0.2</v>
      </c>
      <c r="AJ266" s="31">
        <v>1</v>
      </c>
      <c r="AK266" s="31">
        <v>1</v>
      </c>
      <c r="AL266" s="31">
        <v>1</v>
      </c>
      <c r="AM266" s="31">
        <v>1</v>
      </c>
      <c r="AN266" s="31">
        <v>0</v>
      </c>
      <c r="AO266" s="31">
        <v>1</v>
      </c>
      <c r="AP266" s="31">
        <v>0</v>
      </c>
      <c r="AQ266" s="31">
        <v>1</v>
      </c>
      <c r="AR266" s="23">
        <f t="shared" si="154"/>
        <v>1</v>
      </c>
      <c r="AS266" s="24">
        <f t="shared" si="155"/>
        <v>6</v>
      </c>
      <c r="AT266" s="28">
        <f t="shared" si="156"/>
        <v>0.75</v>
      </c>
      <c r="AU266" s="28">
        <f t="shared" si="157"/>
        <v>0.11249999999999999</v>
      </c>
      <c r="AV266" s="32">
        <v>75</v>
      </c>
      <c r="AW266" s="32">
        <v>75</v>
      </c>
      <c r="AX266" s="32">
        <v>80</v>
      </c>
      <c r="AY266" s="32">
        <v>80</v>
      </c>
      <c r="AZ266" s="32">
        <v>80</v>
      </c>
      <c r="BA266" s="32">
        <v>100</v>
      </c>
      <c r="BB266" s="23">
        <f t="shared" ca="1" si="158"/>
        <v>0.8</v>
      </c>
      <c r="BC266" s="33">
        <f t="shared" si="164"/>
        <v>81.666666666666671</v>
      </c>
      <c r="BD266" s="28">
        <f t="shared" si="159"/>
        <v>0.93877551020408168</v>
      </c>
      <c r="BE266" s="28">
        <f t="shared" si="160"/>
        <v>0.18775510204081636</v>
      </c>
      <c r="BF266" s="34">
        <f ca="1">Q266+AA266+AF266+AR266+BB266</f>
        <v>3.5999999999999996</v>
      </c>
      <c r="BG266" s="34">
        <f>AVERAGE(AV266:AZ266)</f>
        <v>78</v>
      </c>
      <c r="BH266" s="35">
        <f>T266+AD266+AI266+AU266+BE266</f>
        <v>0.68304147974979468</v>
      </c>
      <c r="BI266" s="36" t="str">
        <f ca="1">IF(K266&lt;365,"New CE",(IF(BH266&gt;=100%,"Promote",IF(BH266&gt;=90%,"Sangat Baik",IF(BH266&gt;=80%,"Baik",IF(BH266&gt;=70%,"Lebih Dari Cukup",IF(BH266&gt;=60%,"Cukup","Kurang")))))))</f>
        <v>Cukup</v>
      </c>
      <c r="BJ266" s="36" t="s">
        <v>860</v>
      </c>
      <c r="BK266" s="58" t="s">
        <v>42</v>
      </c>
      <c r="BL266" s="59" t="e">
        <v>#N/A</v>
      </c>
    </row>
    <row r="267" spans="1:64" x14ac:dyDescent="0.35">
      <c r="A267" s="19">
        <v>263</v>
      </c>
      <c r="B267" s="13" t="s">
        <v>650</v>
      </c>
      <c r="C267" s="20" t="s">
        <v>651</v>
      </c>
      <c r="D267" s="76" t="s">
        <v>54</v>
      </c>
      <c r="E267" s="13" t="s">
        <v>230</v>
      </c>
      <c r="F267" s="13" t="s">
        <v>44</v>
      </c>
      <c r="G267" s="13" t="s">
        <v>61</v>
      </c>
      <c r="H267" s="65">
        <v>45173</v>
      </c>
      <c r="I267" s="21">
        <f t="shared" ca="1" si="162"/>
        <v>45974</v>
      </c>
      <c r="J267" s="13" t="str">
        <f t="shared" ca="1" si="144"/>
        <v xml:space="preserve">2 Tahun 2 Bulan 9 Hari </v>
      </c>
      <c r="K267" s="13">
        <f t="shared" ca="1" si="163"/>
        <v>1153440</v>
      </c>
      <c r="L267" s="13">
        <v>332</v>
      </c>
      <c r="M267" s="13">
        <v>6</v>
      </c>
      <c r="N267" s="13">
        <v>2281</v>
      </c>
      <c r="O267" s="22">
        <f t="shared" si="145"/>
        <v>380.16666666666669</v>
      </c>
      <c r="P267" s="13">
        <v>423</v>
      </c>
      <c r="Q267" s="23">
        <f t="shared" si="146"/>
        <v>1</v>
      </c>
      <c r="R267" s="24">
        <f t="shared" si="147"/>
        <v>5</v>
      </c>
      <c r="S267" s="25">
        <f t="shared" si="161"/>
        <v>1.1126698816308636</v>
      </c>
      <c r="T267" s="25">
        <f t="shared" si="148"/>
        <v>0.22253397632617272</v>
      </c>
      <c r="U267" s="26">
        <v>630.39150688014411</v>
      </c>
      <c r="V267" s="26">
        <v>2.4797898860398855E-2</v>
      </c>
      <c r="W267" s="26">
        <v>0</v>
      </c>
      <c r="X267" s="27">
        <f t="shared" si="140"/>
        <v>0</v>
      </c>
      <c r="Y267" s="27">
        <f t="shared" si="141"/>
        <v>1</v>
      </c>
      <c r="Z267" s="27">
        <f t="shared" si="138"/>
        <v>0</v>
      </c>
      <c r="AA267" s="23">
        <f t="shared" si="143"/>
        <v>0.4</v>
      </c>
      <c r="AB267" s="24">
        <f t="shared" si="136"/>
        <v>1</v>
      </c>
      <c r="AC267" s="28">
        <f t="shared" si="149"/>
        <v>0.33333333333333331</v>
      </c>
      <c r="AD267" s="29">
        <f t="shared" si="150"/>
        <v>8.3333333333333329E-2</v>
      </c>
      <c r="AE267" s="30">
        <v>0.12363393997445721</v>
      </c>
      <c r="AF267" s="23">
        <f t="shared" si="151"/>
        <v>0.75</v>
      </c>
      <c r="AG267" s="24">
        <f t="shared" si="142"/>
        <v>3</v>
      </c>
      <c r="AH267" s="28">
        <f t="shared" si="152"/>
        <v>0.6</v>
      </c>
      <c r="AI267" s="29">
        <f t="shared" si="153"/>
        <v>0.15</v>
      </c>
      <c r="AJ267" s="31">
        <v>1</v>
      </c>
      <c r="AK267" s="31">
        <v>1</v>
      </c>
      <c r="AL267" s="31">
        <v>0</v>
      </c>
      <c r="AM267" s="31">
        <v>0</v>
      </c>
      <c r="AN267" s="31">
        <v>0</v>
      </c>
      <c r="AO267" s="31">
        <v>0</v>
      </c>
      <c r="AP267" s="31">
        <v>0</v>
      </c>
      <c r="AQ267" s="31">
        <v>0</v>
      </c>
      <c r="AR267" s="23">
        <f t="shared" si="154"/>
        <v>0.4</v>
      </c>
      <c r="AS267" s="24">
        <f t="shared" si="155"/>
        <v>2</v>
      </c>
      <c r="AT267" s="28">
        <f t="shared" si="156"/>
        <v>0.25</v>
      </c>
      <c r="AU267" s="28">
        <f t="shared" si="157"/>
        <v>3.7499999999999999E-2</v>
      </c>
      <c r="AV267" s="32">
        <v>75</v>
      </c>
      <c r="AW267" s="32">
        <v>75</v>
      </c>
      <c r="AX267" s="32">
        <v>80</v>
      </c>
      <c r="AY267" s="32">
        <v>80</v>
      </c>
      <c r="AZ267" s="32">
        <v>80</v>
      </c>
      <c r="BA267" s="32">
        <v>100</v>
      </c>
      <c r="BB267" s="23">
        <f t="shared" ca="1" si="158"/>
        <v>0.8</v>
      </c>
      <c r="BC267" s="33">
        <f t="shared" si="164"/>
        <v>81.666666666666671</v>
      </c>
      <c r="BD267" s="28">
        <f t="shared" si="159"/>
        <v>0.93877551020408168</v>
      </c>
      <c r="BE267" s="28">
        <f t="shared" si="160"/>
        <v>0.18775510204081636</v>
      </c>
      <c r="BF267" s="34">
        <f ca="1">Q267+AA267+AF267+AR267+BB267</f>
        <v>3.3499999999999996</v>
      </c>
      <c r="BG267" s="34">
        <f>AVERAGE(AV267:AZ267)</f>
        <v>78</v>
      </c>
      <c r="BH267" s="35">
        <f>T267+AD267+AI267+AU267+BE267</f>
        <v>0.68112241170032239</v>
      </c>
      <c r="BI267" s="36" t="str">
        <f ca="1">IF(K267&lt;365,"New CE",(IF(BH267&gt;=100%,"Promote",IF(BH267&gt;=90%,"Sangat Baik",IF(BH267&gt;=80%,"Baik",IF(BH267&gt;=70%,"Lebih Dari Cukup",IF(BH267&gt;=60%,"Cukup","Kurang")))))))</f>
        <v>Cukup</v>
      </c>
      <c r="BJ267" s="36" t="s">
        <v>860</v>
      </c>
      <c r="BK267" s="58" t="s">
        <v>54</v>
      </c>
      <c r="BL267" s="59" t="e">
        <v>#N/A</v>
      </c>
    </row>
    <row r="268" spans="1:64" x14ac:dyDescent="0.35">
      <c r="A268" s="19">
        <v>264</v>
      </c>
      <c r="B268" s="13" t="s">
        <v>652</v>
      </c>
      <c r="C268" s="20" t="s">
        <v>653</v>
      </c>
      <c r="D268" s="76" t="s">
        <v>42</v>
      </c>
      <c r="E268" s="13" t="s">
        <v>654</v>
      </c>
      <c r="F268" s="13" t="s">
        <v>44</v>
      </c>
      <c r="G268" s="13" t="s">
        <v>55</v>
      </c>
      <c r="H268" s="65">
        <v>44228</v>
      </c>
      <c r="I268" s="21">
        <f t="shared" ca="1" si="162"/>
        <v>45974</v>
      </c>
      <c r="J268" s="13" t="str">
        <f t="shared" ca="1" si="144"/>
        <v xml:space="preserve">4 Tahun 9 Bulan 12 Hari </v>
      </c>
      <c r="K268" s="13">
        <f t="shared" ca="1" si="163"/>
        <v>2514240</v>
      </c>
      <c r="L268" s="13">
        <v>329</v>
      </c>
      <c r="M268" s="13">
        <v>6</v>
      </c>
      <c r="N268" s="13">
        <v>2587</v>
      </c>
      <c r="O268" s="22">
        <f t="shared" si="145"/>
        <v>431.16666666666669</v>
      </c>
      <c r="P268" s="13">
        <v>428</v>
      </c>
      <c r="Q268" s="23">
        <f t="shared" si="146"/>
        <v>0.8</v>
      </c>
      <c r="R268" s="24">
        <f t="shared" si="147"/>
        <v>4</v>
      </c>
      <c r="S268" s="25">
        <f t="shared" si="161"/>
        <v>0.99265558562040968</v>
      </c>
      <c r="T268" s="25">
        <f t="shared" si="148"/>
        <v>0.19853111712408195</v>
      </c>
      <c r="U268" s="26">
        <v>24209.417127542511</v>
      </c>
      <c r="V268" s="26">
        <v>36344.668254629629</v>
      </c>
      <c r="W268" s="26">
        <v>0</v>
      </c>
      <c r="X268" s="27">
        <f t="shared" si="140"/>
        <v>0</v>
      </c>
      <c r="Y268" s="27">
        <f t="shared" si="141"/>
        <v>0</v>
      </c>
      <c r="Z268" s="27">
        <f t="shared" si="138"/>
        <v>0</v>
      </c>
      <c r="AA268" s="23">
        <f t="shared" si="143"/>
        <v>0</v>
      </c>
      <c r="AB268" s="24">
        <f t="shared" si="136"/>
        <v>0</v>
      </c>
      <c r="AC268" s="28">
        <f t="shared" si="149"/>
        <v>0</v>
      </c>
      <c r="AD268" s="29">
        <f t="shared" si="150"/>
        <v>0</v>
      </c>
      <c r="AE268" s="30">
        <v>5.7742710918114143E-2</v>
      </c>
      <c r="AF268" s="23">
        <f t="shared" si="151"/>
        <v>1</v>
      </c>
      <c r="AG268" s="24">
        <f t="shared" si="142"/>
        <v>4</v>
      </c>
      <c r="AH268" s="28">
        <f t="shared" si="152"/>
        <v>0.8</v>
      </c>
      <c r="AI268" s="29">
        <f t="shared" si="153"/>
        <v>0.2</v>
      </c>
      <c r="AJ268" s="31">
        <v>1</v>
      </c>
      <c r="AK268" s="31">
        <v>1</v>
      </c>
      <c r="AL268" s="31">
        <v>1</v>
      </c>
      <c r="AM268" s="31">
        <v>1</v>
      </c>
      <c r="AN268" s="31">
        <v>0</v>
      </c>
      <c r="AO268" s="31">
        <v>1</v>
      </c>
      <c r="AP268" s="31">
        <v>0</v>
      </c>
      <c r="AQ268" s="31">
        <v>0</v>
      </c>
      <c r="AR268" s="23">
        <f t="shared" si="154"/>
        <v>1</v>
      </c>
      <c r="AS268" s="24">
        <f t="shared" si="155"/>
        <v>5</v>
      </c>
      <c r="AT268" s="28">
        <f t="shared" si="156"/>
        <v>0.625</v>
      </c>
      <c r="AU268" s="28">
        <f t="shared" si="157"/>
        <v>9.375E-2</v>
      </c>
      <c r="AV268" s="32">
        <v>75</v>
      </c>
      <c r="AW268" s="32">
        <v>75</v>
      </c>
      <c r="AX268" s="32">
        <v>80</v>
      </c>
      <c r="AY268" s="32">
        <v>85</v>
      </c>
      <c r="AZ268" s="32">
        <v>80</v>
      </c>
      <c r="BA268" s="32">
        <v>100</v>
      </c>
      <c r="BB268" s="23">
        <f t="shared" ca="1" si="158"/>
        <v>0.8</v>
      </c>
      <c r="BC268" s="33">
        <f t="shared" si="164"/>
        <v>82.5</v>
      </c>
      <c r="BD268" s="28">
        <f t="shared" si="159"/>
        <v>0.93939393939393945</v>
      </c>
      <c r="BE268" s="28">
        <f t="shared" si="160"/>
        <v>0.1878787878787879</v>
      </c>
      <c r="BF268" s="34">
        <f ca="1">Q268+AA268+AF268+AR268+BB268</f>
        <v>3.5999999999999996</v>
      </c>
      <c r="BG268" s="34">
        <f>AVERAGE(AV268:AZ268)</f>
        <v>79</v>
      </c>
      <c r="BH268" s="35">
        <f>T268+AD268+AI268+AU268+BE268</f>
        <v>0.68015990500286982</v>
      </c>
      <c r="BI268" s="36" t="str">
        <f ca="1">IF(K268&lt;365,"New CE",(IF(BH268&gt;=100%,"Promote",IF(BH268&gt;=90%,"Sangat Baik",IF(BH268&gt;=80%,"Baik",IF(BH268&gt;=70%,"Lebih Dari Cukup",IF(BH268&gt;=60%,"Cukup","Kurang")))))))</f>
        <v>Cukup</v>
      </c>
      <c r="BJ268" s="36" t="s">
        <v>860</v>
      </c>
      <c r="BK268" s="58" t="s">
        <v>42</v>
      </c>
      <c r="BL268" s="59" t="e">
        <v>#N/A</v>
      </c>
    </row>
    <row r="269" spans="1:64" x14ac:dyDescent="0.35">
      <c r="A269" s="19">
        <v>265</v>
      </c>
      <c r="B269" s="13" t="s">
        <v>655</v>
      </c>
      <c r="C269" s="20" t="s">
        <v>656</v>
      </c>
      <c r="D269" s="76" t="s">
        <v>54</v>
      </c>
      <c r="E269" s="13" t="s">
        <v>49</v>
      </c>
      <c r="F269" s="13" t="s">
        <v>50</v>
      </c>
      <c r="G269" s="13" t="s">
        <v>61</v>
      </c>
      <c r="H269" s="65">
        <v>45075</v>
      </c>
      <c r="I269" s="21">
        <f t="shared" ca="1" si="162"/>
        <v>45974</v>
      </c>
      <c r="J269" s="13" t="str">
        <f t="shared" ca="1" si="144"/>
        <v xml:space="preserve">2 Tahun 5 Bulan 15 Hari </v>
      </c>
      <c r="K269" s="13">
        <f t="shared" ca="1" si="163"/>
        <v>1294560</v>
      </c>
      <c r="L269" s="13">
        <v>893</v>
      </c>
      <c r="M269" s="13">
        <v>17</v>
      </c>
      <c r="N269" s="13">
        <v>6172</v>
      </c>
      <c r="O269" s="22">
        <f t="shared" si="145"/>
        <v>363.05882352941177</v>
      </c>
      <c r="P269" s="13">
        <v>393</v>
      </c>
      <c r="Q269" s="23">
        <f t="shared" si="146"/>
        <v>1</v>
      </c>
      <c r="R269" s="24">
        <f t="shared" si="147"/>
        <v>5</v>
      </c>
      <c r="S269" s="25">
        <f t="shared" si="161"/>
        <v>1.0824692158133506</v>
      </c>
      <c r="T269" s="25">
        <f t="shared" si="148"/>
        <v>0.21649384316267015</v>
      </c>
      <c r="U269" s="26">
        <v>15831.96984901094</v>
      </c>
      <c r="V269" s="26">
        <v>0</v>
      </c>
      <c r="W269" s="26">
        <v>0</v>
      </c>
      <c r="X269" s="27">
        <f t="shared" si="140"/>
        <v>0</v>
      </c>
      <c r="Y269" s="27">
        <f t="shared" si="141"/>
        <v>0</v>
      </c>
      <c r="Z269" s="27">
        <f t="shared" si="138"/>
        <v>0</v>
      </c>
      <c r="AA269" s="23">
        <f t="shared" si="143"/>
        <v>0</v>
      </c>
      <c r="AB269" s="24">
        <f t="shared" si="136"/>
        <v>0</v>
      </c>
      <c r="AC269" s="28">
        <f t="shared" si="149"/>
        <v>0</v>
      </c>
      <c r="AD269" s="29">
        <f t="shared" si="150"/>
        <v>0</v>
      </c>
      <c r="AE269" s="30">
        <v>6.3757739805692382E-2</v>
      </c>
      <c r="AF269" s="23">
        <f t="shared" si="151"/>
        <v>1</v>
      </c>
      <c r="AG269" s="24">
        <f t="shared" si="142"/>
        <v>4</v>
      </c>
      <c r="AH269" s="28">
        <f t="shared" si="152"/>
        <v>0.8</v>
      </c>
      <c r="AI269" s="29">
        <f t="shared" si="153"/>
        <v>0.2</v>
      </c>
      <c r="AJ269" s="31">
        <v>1</v>
      </c>
      <c r="AK269" s="31">
        <v>1</v>
      </c>
      <c r="AL269" s="31">
        <v>1</v>
      </c>
      <c r="AM269" s="31">
        <v>0</v>
      </c>
      <c r="AN269" s="31">
        <v>0</v>
      </c>
      <c r="AO269" s="31">
        <v>1</v>
      </c>
      <c r="AP269" s="31">
        <v>0</v>
      </c>
      <c r="AQ269" s="31">
        <v>0</v>
      </c>
      <c r="AR269" s="23">
        <f t="shared" si="154"/>
        <v>0.8</v>
      </c>
      <c r="AS269" s="24">
        <f t="shared" si="155"/>
        <v>4</v>
      </c>
      <c r="AT269" s="28">
        <f t="shared" si="156"/>
        <v>0.5</v>
      </c>
      <c r="AU269" s="28">
        <f t="shared" si="157"/>
        <v>7.4999999999999997E-2</v>
      </c>
      <c r="AV269" s="32">
        <v>75</v>
      </c>
      <c r="AW269" s="32">
        <v>75</v>
      </c>
      <c r="AX269" s="32">
        <v>90</v>
      </c>
      <c r="AY269" s="32">
        <v>85</v>
      </c>
      <c r="AZ269" s="32">
        <v>80</v>
      </c>
      <c r="BA269" s="32">
        <v>100</v>
      </c>
      <c r="BB269" s="23">
        <f t="shared" ca="1" si="158"/>
        <v>0.8</v>
      </c>
      <c r="BC269" s="33">
        <f t="shared" si="164"/>
        <v>84.166666666666671</v>
      </c>
      <c r="BD269" s="28">
        <f t="shared" si="159"/>
        <v>0.94059405940594054</v>
      </c>
      <c r="BE269" s="28">
        <f t="shared" si="160"/>
        <v>0.18811881188118812</v>
      </c>
      <c r="BF269" s="34">
        <f ca="1">Q269+AA269+AF269+AR269+BB269</f>
        <v>3.5999999999999996</v>
      </c>
      <c r="BG269" s="34">
        <f>AVERAGE(AV269:AZ269)</f>
        <v>81</v>
      </c>
      <c r="BH269" s="35">
        <f>T269+AD269+AI269+AU269+BE269</f>
        <v>0.67961265504385826</v>
      </c>
      <c r="BI269" s="36" t="str">
        <f ca="1">IF(K269&lt;365,"New CE",(IF(BH269&gt;=100%,"Promote",IF(BH269&gt;=90%,"Sangat Baik",IF(BH269&gt;=80%,"Baik",IF(BH269&gt;=70%,"Lebih Dari Cukup",IF(BH269&gt;=60%,"Cukup","Kurang")))))))</f>
        <v>Cukup</v>
      </c>
      <c r="BJ269" s="36" t="s">
        <v>860</v>
      </c>
      <c r="BK269" s="58" t="s">
        <v>54</v>
      </c>
      <c r="BL269" s="59" t="e">
        <v>#N/A</v>
      </c>
    </row>
    <row r="270" spans="1:64" x14ac:dyDescent="0.35">
      <c r="A270" s="19">
        <v>266</v>
      </c>
      <c r="B270" s="13" t="s">
        <v>657</v>
      </c>
      <c r="C270" s="20" t="s">
        <v>658</v>
      </c>
      <c r="D270" s="76" t="s">
        <v>48</v>
      </c>
      <c r="E270" s="13" t="s">
        <v>654</v>
      </c>
      <c r="F270" s="13" t="s">
        <v>44</v>
      </c>
      <c r="G270" s="13" t="s">
        <v>51</v>
      </c>
      <c r="H270" s="65">
        <v>44621</v>
      </c>
      <c r="I270" s="21">
        <f t="shared" ca="1" si="162"/>
        <v>45974</v>
      </c>
      <c r="J270" s="13" t="str">
        <f t="shared" ca="1" si="144"/>
        <v xml:space="preserve">3 Tahun 8 Bulan 12 Hari </v>
      </c>
      <c r="K270" s="13">
        <f t="shared" ca="1" si="163"/>
        <v>1948320</v>
      </c>
      <c r="L270" s="13">
        <v>329</v>
      </c>
      <c r="M270" s="13">
        <v>6</v>
      </c>
      <c r="N270" s="13">
        <v>2587</v>
      </c>
      <c r="O270" s="22">
        <f t="shared" si="145"/>
        <v>431.16666666666669</v>
      </c>
      <c r="P270" s="13">
        <v>505</v>
      </c>
      <c r="Q270" s="23">
        <f t="shared" si="146"/>
        <v>1</v>
      </c>
      <c r="R270" s="24">
        <f t="shared" si="147"/>
        <v>5</v>
      </c>
      <c r="S270" s="25">
        <f t="shared" si="161"/>
        <v>1.1712408194820254</v>
      </c>
      <c r="T270" s="25">
        <f t="shared" si="148"/>
        <v>0.2342481638964051</v>
      </c>
      <c r="U270" s="26">
        <v>8048.8708916134055</v>
      </c>
      <c r="V270" s="26">
        <v>22747.936400462961</v>
      </c>
      <c r="W270" s="26">
        <v>0</v>
      </c>
      <c r="X270" s="27">
        <f t="shared" si="140"/>
        <v>0</v>
      </c>
      <c r="Y270" s="27">
        <f t="shared" si="141"/>
        <v>0</v>
      </c>
      <c r="Z270" s="27">
        <f t="shared" si="138"/>
        <v>0</v>
      </c>
      <c r="AA270" s="23">
        <f t="shared" si="143"/>
        <v>0</v>
      </c>
      <c r="AB270" s="24">
        <f t="shared" si="136"/>
        <v>0</v>
      </c>
      <c r="AC270" s="28">
        <f t="shared" si="149"/>
        <v>0</v>
      </c>
      <c r="AD270" s="29">
        <f t="shared" si="150"/>
        <v>0</v>
      </c>
      <c r="AE270" s="30">
        <v>7.6382832687338517E-2</v>
      </c>
      <c r="AF270" s="23">
        <f t="shared" si="151"/>
        <v>1</v>
      </c>
      <c r="AG270" s="24">
        <f t="shared" si="142"/>
        <v>4</v>
      </c>
      <c r="AH270" s="28">
        <f t="shared" si="152"/>
        <v>0.8</v>
      </c>
      <c r="AI270" s="29">
        <f t="shared" si="153"/>
        <v>0.2</v>
      </c>
      <c r="AJ270" s="31">
        <v>1</v>
      </c>
      <c r="AK270" s="31">
        <v>1</v>
      </c>
      <c r="AL270" s="31">
        <v>1</v>
      </c>
      <c r="AM270" s="31">
        <v>0</v>
      </c>
      <c r="AN270" s="31">
        <v>0</v>
      </c>
      <c r="AO270" s="31">
        <v>0</v>
      </c>
      <c r="AP270" s="31">
        <v>0</v>
      </c>
      <c r="AQ270" s="31">
        <v>0</v>
      </c>
      <c r="AR270" s="23">
        <f t="shared" si="154"/>
        <v>0.6</v>
      </c>
      <c r="AS270" s="24">
        <f t="shared" si="155"/>
        <v>3</v>
      </c>
      <c r="AT270" s="28">
        <f t="shared" si="156"/>
        <v>0.375</v>
      </c>
      <c r="AU270" s="28">
        <f t="shared" si="157"/>
        <v>5.6249999999999994E-2</v>
      </c>
      <c r="AV270" s="32">
        <v>75</v>
      </c>
      <c r="AW270" s="32">
        <v>75</v>
      </c>
      <c r="AX270" s="32">
        <v>80</v>
      </c>
      <c r="AY270" s="32">
        <v>80</v>
      </c>
      <c r="AZ270" s="32">
        <v>80</v>
      </c>
      <c r="BA270" s="32">
        <v>100</v>
      </c>
      <c r="BB270" s="23">
        <f t="shared" ca="1" si="158"/>
        <v>0.8</v>
      </c>
      <c r="BC270" s="33">
        <f t="shared" si="164"/>
        <v>81.666666666666671</v>
      </c>
      <c r="BD270" s="28">
        <f t="shared" si="159"/>
        <v>0.93877551020408168</v>
      </c>
      <c r="BE270" s="28">
        <f t="shared" si="160"/>
        <v>0.18775510204081636</v>
      </c>
      <c r="BF270" s="34">
        <f ca="1">Q270+AA270+AF270+AR270+BB270</f>
        <v>3.4000000000000004</v>
      </c>
      <c r="BG270" s="34">
        <f>AVERAGE(AV270:AZ270)</f>
        <v>78</v>
      </c>
      <c r="BH270" s="35">
        <f>T270+AD270+AI270+AU270+BE270</f>
        <v>0.67825326593722146</v>
      </c>
      <c r="BI270" s="36" t="str">
        <f ca="1">IF(K270&lt;365,"New CE",(IF(BH270&gt;=100%,"Promote",IF(BH270&gt;=90%,"Sangat Baik",IF(BH270&gt;=80%,"Baik",IF(BH270&gt;=70%,"Lebih Dari Cukup",IF(BH270&gt;=60%,"Cukup","Kurang")))))))</f>
        <v>Cukup</v>
      </c>
      <c r="BJ270" s="36" t="s">
        <v>860</v>
      </c>
      <c r="BK270" s="58" t="s">
        <v>48</v>
      </c>
      <c r="BL270" s="59" t="e">
        <v>#N/A</v>
      </c>
    </row>
    <row r="271" spans="1:64" x14ac:dyDescent="0.35">
      <c r="A271" s="19">
        <v>267</v>
      </c>
      <c r="B271" s="13" t="s">
        <v>659</v>
      </c>
      <c r="C271" s="20" t="s">
        <v>660</v>
      </c>
      <c r="D271" s="76" t="s">
        <v>54</v>
      </c>
      <c r="E271" s="13" t="s">
        <v>49</v>
      </c>
      <c r="F271" s="13" t="s">
        <v>50</v>
      </c>
      <c r="G271" s="13" t="s">
        <v>61</v>
      </c>
      <c r="H271" s="65">
        <v>45243</v>
      </c>
      <c r="I271" s="21">
        <f t="shared" ca="1" si="162"/>
        <v>45974</v>
      </c>
      <c r="J271" s="13" t="str">
        <f t="shared" ca="1" si="144"/>
        <v xml:space="preserve">2 Tahun 0 Bulan 0 Hari </v>
      </c>
      <c r="K271" s="13">
        <f t="shared" ca="1" si="163"/>
        <v>1052640</v>
      </c>
      <c r="L271" s="13">
        <v>893</v>
      </c>
      <c r="M271" s="13">
        <v>14</v>
      </c>
      <c r="N271" s="13">
        <v>6172</v>
      </c>
      <c r="O271" s="22">
        <f t="shared" si="145"/>
        <v>440.85714285714283</v>
      </c>
      <c r="P271" s="13">
        <v>433</v>
      </c>
      <c r="Q271" s="23">
        <f t="shared" si="146"/>
        <v>0.8</v>
      </c>
      <c r="R271" s="24">
        <f t="shared" si="147"/>
        <v>4</v>
      </c>
      <c r="S271" s="25">
        <f t="shared" si="161"/>
        <v>0.9821775761503565</v>
      </c>
      <c r="T271" s="25">
        <f t="shared" si="148"/>
        <v>0.1964355152300713</v>
      </c>
      <c r="U271" s="26">
        <v>1299.6081942791006</v>
      </c>
      <c r="V271" s="26">
        <v>0</v>
      </c>
      <c r="W271" s="26">
        <v>0</v>
      </c>
      <c r="X271" s="27">
        <f t="shared" si="140"/>
        <v>0</v>
      </c>
      <c r="Y271" s="27">
        <f t="shared" si="141"/>
        <v>0</v>
      </c>
      <c r="Z271" s="27">
        <f t="shared" si="138"/>
        <v>0</v>
      </c>
      <c r="AA271" s="23">
        <f t="shared" si="143"/>
        <v>0</v>
      </c>
      <c r="AB271" s="24">
        <f t="shared" si="136"/>
        <v>0</v>
      </c>
      <c r="AC271" s="28">
        <f t="shared" si="149"/>
        <v>0</v>
      </c>
      <c r="AD271" s="29">
        <f t="shared" si="150"/>
        <v>0</v>
      </c>
      <c r="AE271" s="30">
        <v>4.5174724002849005E-2</v>
      </c>
      <c r="AF271" s="23">
        <f t="shared" si="151"/>
        <v>1</v>
      </c>
      <c r="AG271" s="24">
        <f t="shared" si="142"/>
        <v>4</v>
      </c>
      <c r="AH271" s="28">
        <f t="shared" si="152"/>
        <v>0.8</v>
      </c>
      <c r="AI271" s="29">
        <f t="shared" si="153"/>
        <v>0.2</v>
      </c>
      <c r="AJ271" s="31">
        <v>1</v>
      </c>
      <c r="AK271" s="31">
        <v>1</v>
      </c>
      <c r="AL271" s="31">
        <v>1</v>
      </c>
      <c r="AM271" s="31">
        <v>0</v>
      </c>
      <c r="AN271" s="31">
        <v>0</v>
      </c>
      <c r="AO271" s="31">
        <v>1</v>
      </c>
      <c r="AP271" s="31">
        <v>0</v>
      </c>
      <c r="AQ271" s="31">
        <v>1</v>
      </c>
      <c r="AR271" s="23">
        <f t="shared" si="154"/>
        <v>1</v>
      </c>
      <c r="AS271" s="24">
        <f t="shared" si="155"/>
        <v>5</v>
      </c>
      <c r="AT271" s="28">
        <f t="shared" si="156"/>
        <v>0.625</v>
      </c>
      <c r="AU271" s="28">
        <f t="shared" si="157"/>
        <v>9.375E-2</v>
      </c>
      <c r="AV271" s="32">
        <v>75</v>
      </c>
      <c r="AW271" s="32">
        <v>75</v>
      </c>
      <c r="AX271" s="32">
        <v>90</v>
      </c>
      <c r="AY271" s="32">
        <v>85</v>
      </c>
      <c r="AZ271" s="32">
        <v>80</v>
      </c>
      <c r="BA271" s="32">
        <v>100</v>
      </c>
      <c r="BB271" s="23">
        <f t="shared" ca="1" si="158"/>
        <v>0.8</v>
      </c>
      <c r="BC271" s="33">
        <f t="shared" si="164"/>
        <v>84.166666666666671</v>
      </c>
      <c r="BD271" s="28">
        <f t="shared" si="159"/>
        <v>0.94059405940594054</v>
      </c>
      <c r="BE271" s="28">
        <f t="shared" si="160"/>
        <v>0.18811881188118812</v>
      </c>
      <c r="BF271" s="34">
        <f ca="1">Q271+AA271+AF271+AR271+BB271</f>
        <v>3.5999999999999996</v>
      </c>
      <c r="BG271" s="34">
        <f>AVERAGE(AV271:AZ271)</f>
        <v>81</v>
      </c>
      <c r="BH271" s="35">
        <f>T271+AD271+AI271+AU271+BE271</f>
        <v>0.67830432711125943</v>
      </c>
      <c r="BI271" s="36" t="str">
        <f ca="1">IF(K271&lt;365,"New CE",(IF(BH271&gt;=100%,"Promote",IF(BH271&gt;=90%,"Sangat Baik",IF(BH271&gt;=80%,"Baik",IF(BH271&gt;=70%,"Lebih Dari Cukup",IF(BH271&gt;=60%,"Cukup","Kurang")))))))</f>
        <v>Cukup</v>
      </c>
      <c r="BJ271" s="36" t="s">
        <v>860</v>
      </c>
      <c r="BK271" s="58" t="s">
        <v>54</v>
      </c>
      <c r="BL271" s="59" t="e">
        <v>#N/A</v>
      </c>
    </row>
    <row r="272" spans="1:64" x14ac:dyDescent="0.35">
      <c r="A272" s="19">
        <v>268</v>
      </c>
      <c r="B272" s="13" t="s">
        <v>661</v>
      </c>
      <c r="C272" s="20" t="s">
        <v>662</v>
      </c>
      <c r="D272" s="76" t="s">
        <v>48</v>
      </c>
      <c r="E272" s="13" t="s">
        <v>133</v>
      </c>
      <c r="F272" s="13" t="s">
        <v>50</v>
      </c>
      <c r="G272" s="13" t="s">
        <v>51</v>
      </c>
      <c r="H272" s="65">
        <v>44431</v>
      </c>
      <c r="I272" s="21">
        <f t="shared" ca="1" si="162"/>
        <v>45974</v>
      </c>
      <c r="J272" s="13" t="str">
        <f t="shared" ca="1" si="144"/>
        <v xml:space="preserve">4 Tahun 2 Bulan 21 Hari </v>
      </c>
      <c r="K272" s="13">
        <f t="shared" ca="1" si="163"/>
        <v>2221920</v>
      </c>
      <c r="L272" s="13">
        <v>760</v>
      </c>
      <c r="M272" s="13">
        <v>13</v>
      </c>
      <c r="N272" s="13">
        <v>5863</v>
      </c>
      <c r="O272" s="22">
        <f t="shared" si="145"/>
        <v>451</v>
      </c>
      <c r="P272" s="13">
        <v>482</v>
      </c>
      <c r="Q272" s="23">
        <f t="shared" si="146"/>
        <v>1</v>
      </c>
      <c r="R272" s="24">
        <f t="shared" si="147"/>
        <v>5</v>
      </c>
      <c r="S272" s="25">
        <f t="shared" si="161"/>
        <v>1.0687361419068737</v>
      </c>
      <c r="T272" s="25">
        <f t="shared" si="148"/>
        <v>0.21374722838137475</v>
      </c>
      <c r="U272" s="26">
        <v>3426.9365592642371</v>
      </c>
      <c r="V272" s="26">
        <v>0</v>
      </c>
      <c r="W272" s="26">
        <v>0</v>
      </c>
      <c r="X272" s="27">
        <f t="shared" si="140"/>
        <v>0</v>
      </c>
      <c r="Y272" s="27">
        <f t="shared" si="141"/>
        <v>0</v>
      </c>
      <c r="Z272" s="27">
        <f t="shared" si="138"/>
        <v>0</v>
      </c>
      <c r="AA272" s="23">
        <f t="shared" si="143"/>
        <v>0</v>
      </c>
      <c r="AB272" s="24">
        <f t="shared" si="136"/>
        <v>0</v>
      </c>
      <c r="AC272" s="28">
        <f t="shared" si="149"/>
        <v>0</v>
      </c>
      <c r="AD272" s="29">
        <f t="shared" si="150"/>
        <v>0</v>
      </c>
      <c r="AE272" s="30">
        <v>4.6122017824853465E-2</v>
      </c>
      <c r="AF272" s="23">
        <f t="shared" si="151"/>
        <v>1</v>
      </c>
      <c r="AG272" s="24">
        <f t="shared" si="142"/>
        <v>4</v>
      </c>
      <c r="AH272" s="28">
        <f t="shared" si="152"/>
        <v>0.8</v>
      </c>
      <c r="AI272" s="29">
        <f t="shared" si="153"/>
        <v>0.2</v>
      </c>
      <c r="AJ272" s="31">
        <v>1</v>
      </c>
      <c r="AK272" s="31">
        <v>1</v>
      </c>
      <c r="AL272" s="31">
        <v>1</v>
      </c>
      <c r="AM272" s="31">
        <v>1</v>
      </c>
      <c r="AN272" s="31">
        <v>0</v>
      </c>
      <c r="AO272" s="31">
        <v>0</v>
      </c>
      <c r="AP272" s="31">
        <v>0</v>
      </c>
      <c r="AQ272" s="31">
        <v>0</v>
      </c>
      <c r="AR272" s="23">
        <f t="shared" si="154"/>
        <v>0.8</v>
      </c>
      <c r="AS272" s="24">
        <f t="shared" si="155"/>
        <v>4</v>
      </c>
      <c r="AT272" s="28">
        <f t="shared" si="156"/>
        <v>0.5</v>
      </c>
      <c r="AU272" s="28">
        <f t="shared" si="157"/>
        <v>7.4999999999999997E-2</v>
      </c>
      <c r="AV272" s="32">
        <v>75</v>
      </c>
      <c r="AW272" s="32">
        <v>75</v>
      </c>
      <c r="AX272" s="32">
        <v>90</v>
      </c>
      <c r="AY272" s="32">
        <v>90</v>
      </c>
      <c r="AZ272" s="32">
        <v>75</v>
      </c>
      <c r="BA272" s="32">
        <v>100</v>
      </c>
      <c r="BB272" s="23">
        <f t="shared" ca="1" si="158"/>
        <v>0.8</v>
      </c>
      <c r="BC272" s="33">
        <f t="shared" si="164"/>
        <v>84.166666666666671</v>
      </c>
      <c r="BD272" s="28">
        <f t="shared" si="159"/>
        <v>0.94059405940594054</v>
      </c>
      <c r="BE272" s="28">
        <f t="shared" si="160"/>
        <v>0.18811881188118812</v>
      </c>
      <c r="BF272" s="34">
        <f ca="1">Q272+AA272+AF272+AR272+BB272</f>
        <v>3.5999999999999996</v>
      </c>
      <c r="BG272" s="34">
        <f>AVERAGE(AV272:AZ272)</f>
        <v>81</v>
      </c>
      <c r="BH272" s="35">
        <f>T272+AD272+AI272+AU272+BE272</f>
        <v>0.67686604026256292</v>
      </c>
      <c r="BI272" s="36" t="str">
        <f ca="1">IF(K272&lt;365,"New CE",(IF(BH272&gt;=100%,"Promote",IF(BH272&gt;=90%,"Sangat Baik",IF(BH272&gt;=80%,"Baik",IF(BH272&gt;=70%,"Lebih Dari Cukup",IF(BH272&gt;=60%,"Cukup","Kurang")))))))</f>
        <v>Cukup</v>
      </c>
      <c r="BJ272" s="36" t="s">
        <v>860</v>
      </c>
      <c r="BK272" s="58" t="s">
        <v>48</v>
      </c>
      <c r="BL272" s="59" t="e">
        <v>#N/A</v>
      </c>
    </row>
    <row r="273" spans="1:64" x14ac:dyDescent="0.35">
      <c r="A273" s="19">
        <v>269</v>
      </c>
      <c r="B273" s="13" t="s">
        <v>663</v>
      </c>
      <c r="C273" s="20" t="s">
        <v>664</v>
      </c>
      <c r="D273" s="76" t="s">
        <v>54</v>
      </c>
      <c r="E273" s="13" t="s">
        <v>252</v>
      </c>
      <c r="F273" s="13" t="s">
        <v>44</v>
      </c>
      <c r="G273" s="13" t="s">
        <v>55</v>
      </c>
      <c r="H273" s="65">
        <v>45306</v>
      </c>
      <c r="I273" s="21">
        <f t="shared" ca="1" si="162"/>
        <v>45974</v>
      </c>
      <c r="J273" s="13" t="str">
        <f t="shared" ca="1" si="144"/>
        <v xml:space="preserve">1 Tahun 9 Bulan 29 Hari </v>
      </c>
      <c r="K273" s="13">
        <f t="shared" ca="1" si="163"/>
        <v>961920</v>
      </c>
      <c r="L273" s="13">
        <v>313</v>
      </c>
      <c r="M273" s="13">
        <v>6</v>
      </c>
      <c r="N273" s="13">
        <v>2164</v>
      </c>
      <c r="O273" s="22">
        <f t="shared" si="145"/>
        <v>360.66666666666669</v>
      </c>
      <c r="P273" s="13">
        <v>256</v>
      </c>
      <c r="Q273" s="23">
        <f t="shared" si="146"/>
        <v>0.6</v>
      </c>
      <c r="R273" s="24">
        <f t="shared" si="147"/>
        <v>3</v>
      </c>
      <c r="S273" s="25">
        <f t="shared" si="161"/>
        <v>0.70979667282809611</v>
      </c>
      <c r="T273" s="25">
        <f t="shared" si="148"/>
        <v>0.14195933456561924</v>
      </c>
      <c r="U273" s="26">
        <v>1.2766203703703705E-2</v>
      </c>
      <c r="V273" s="26">
        <v>0</v>
      </c>
      <c r="W273" s="26">
        <v>0</v>
      </c>
      <c r="X273" s="27">
        <f t="shared" si="140"/>
        <v>1</v>
      </c>
      <c r="Y273" s="27">
        <f t="shared" si="141"/>
        <v>0</v>
      </c>
      <c r="Z273" s="27">
        <f t="shared" si="138"/>
        <v>0</v>
      </c>
      <c r="AA273" s="23">
        <f t="shared" si="143"/>
        <v>0.4</v>
      </c>
      <c r="AB273" s="24">
        <f t="shared" si="136"/>
        <v>1</v>
      </c>
      <c r="AC273" s="28">
        <f t="shared" si="149"/>
        <v>0.33333333333333331</v>
      </c>
      <c r="AD273" s="29">
        <f t="shared" si="150"/>
        <v>8.3333333333333329E-2</v>
      </c>
      <c r="AE273" s="30">
        <v>8.5701388888888896E-2</v>
      </c>
      <c r="AF273" s="23">
        <f t="shared" si="151"/>
        <v>0.75</v>
      </c>
      <c r="AG273" s="24">
        <f t="shared" si="142"/>
        <v>3</v>
      </c>
      <c r="AH273" s="28">
        <f t="shared" si="152"/>
        <v>0.6</v>
      </c>
      <c r="AI273" s="29">
        <f t="shared" si="153"/>
        <v>0.15</v>
      </c>
      <c r="AJ273" s="31">
        <v>1</v>
      </c>
      <c r="AK273" s="31">
        <v>1</v>
      </c>
      <c r="AL273" s="31">
        <v>1</v>
      </c>
      <c r="AM273" s="31">
        <v>0</v>
      </c>
      <c r="AN273" s="31">
        <v>1</v>
      </c>
      <c r="AO273" s="31">
        <v>1</v>
      </c>
      <c r="AP273" s="31">
        <v>0</v>
      </c>
      <c r="AQ273" s="31">
        <v>1</v>
      </c>
      <c r="AR273" s="23">
        <f t="shared" si="154"/>
        <v>1</v>
      </c>
      <c r="AS273" s="24">
        <f t="shared" si="155"/>
        <v>6</v>
      </c>
      <c r="AT273" s="28">
        <f t="shared" si="156"/>
        <v>0.75</v>
      </c>
      <c r="AU273" s="28">
        <f t="shared" si="157"/>
        <v>0.11249999999999999</v>
      </c>
      <c r="AV273" s="32">
        <v>75</v>
      </c>
      <c r="AW273" s="32">
        <v>75</v>
      </c>
      <c r="AX273" s="32">
        <v>80</v>
      </c>
      <c r="AY273" s="32">
        <v>80</v>
      </c>
      <c r="AZ273" s="32">
        <v>80</v>
      </c>
      <c r="BA273" s="32">
        <v>100</v>
      </c>
      <c r="BB273" s="23">
        <f t="shared" ca="1" si="158"/>
        <v>0.8</v>
      </c>
      <c r="BC273" s="33">
        <f t="shared" si="164"/>
        <v>81.666666666666671</v>
      </c>
      <c r="BD273" s="28">
        <f t="shared" si="159"/>
        <v>0.93877551020408168</v>
      </c>
      <c r="BE273" s="28">
        <f t="shared" si="160"/>
        <v>0.18775510204081636</v>
      </c>
      <c r="BF273" s="34">
        <f ca="1">Q273+AA273+AF273+AR273+BB273</f>
        <v>3.55</v>
      </c>
      <c r="BG273" s="34">
        <f>AVERAGE(AV273:AZ273)</f>
        <v>78</v>
      </c>
      <c r="BH273" s="35">
        <f>T273+AD273+AI273+AU273+BE273</f>
        <v>0.67554776993976895</v>
      </c>
      <c r="BI273" s="36" t="str">
        <f ca="1">IF(K273&lt;365,"New CE",(IF(BH273&gt;=100%,"Promote",IF(BH273&gt;=90%,"Sangat Baik",IF(BH273&gt;=80%,"Baik",IF(BH273&gt;=70%,"Lebih Dari Cukup",IF(BH273&gt;=60%,"Cukup","Kurang")))))))</f>
        <v>Cukup</v>
      </c>
      <c r="BJ273" s="36" t="s">
        <v>860</v>
      </c>
      <c r="BK273" s="58" t="s">
        <v>54</v>
      </c>
      <c r="BL273" s="59" t="e">
        <v>#N/A</v>
      </c>
    </row>
    <row r="274" spans="1:64" x14ac:dyDescent="0.35">
      <c r="A274" s="19">
        <v>270</v>
      </c>
      <c r="B274" s="13" t="s">
        <v>665</v>
      </c>
      <c r="C274" s="20" t="s">
        <v>666</v>
      </c>
      <c r="D274" s="76" t="s">
        <v>54</v>
      </c>
      <c r="E274" s="13" t="s">
        <v>667</v>
      </c>
      <c r="F274" s="13" t="s">
        <v>74</v>
      </c>
      <c r="G274" s="13" t="s">
        <v>61</v>
      </c>
      <c r="H274" s="65">
        <v>45173</v>
      </c>
      <c r="I274" s="21">
        <f t="shared" ca="1" si="162"/>
        <v>45974</v>
      </c>
      <c r="J274" s="13" t="str">
        <f t="shared" ca="1" si="144"/>
        <v xml:space="preserve">2 Tahun 2 Bulan 9 Hari </v>
      </c>
      <c r="K274" s="13">
        <f t="shared" ca="1" si="163"/>
        <v>1153440</v>
      </c>
      <c r="L274" s="13">
        <v>40</v>
      </c>
      <c r="M274" s="13">
        <v>1</v>
      </c>
      <c r="N274" s="13">
        <v>370</v>
      </c>
      <c r="O274" s="22">
        <f t="shared" si="145"/>
        <v>370</v>
      </c>
      <c r="P274" s="13">
        <v>307</v>
      </c>
      <c r="Q274" s="23">
        <f t="shared" si="146"/>
        <v>0.8</v>
      </c>
      <c r="R274" s="24">
        <f t="shared" si="147"/>
        <v>4</v>
      </c>
      <c r="S274" s="25">
        <f t="shared" si="161"/>
        <v>0.82972972972972969</v>
      </c>
      <c r="T274" s="25">
        <f t="shared" si="148"/>
        <v>0.16594594594594594</v>
      </c>
      <c r="U274" s="26">
        <v>1974.302704810789</v>
      </c>
      <c r="V274" s="26">
        <v>0</v>
      </c>
      <c r="W274" s="26">
        <v>1372.710856832211</v>
      </c>
      <c r="X274" s="27">
        <f t="shared" si="140"/>
        <v>0</v>
      </c>
      <c r="Y274" s="27">
        <f t="shared" si="141"/>
        <v>0</v>
      </c>
      <c r="Z274" s="27">
        <f t="shared" si="138"/>
        <v>1</v>
      </c>
      <c r="AA274" s="23">
        <f t="shared" si="143"/>
        <v>0.4</v>
      </c>
      <c r="AB274" s="24">
        <f t="shared" si="136"/>
        <v>1</v>
      </c>
      <c r="AC274" s="28">
        <f t="shared" si="149"/>
        <v>0.33333333333333331</v>
      </c>
      <c r="AD274" s="29">
        <f t="shared" si="150"/>
        <v>8.3333333333333329E-2</v>
      </c>
      <c r="AE274" s="30">
        <v>4.9330276268115938E-2</v>
      </c>
      <c r="AF274" s="23">
        <f t="shared" si="151"/>
        <v>1</v>
      </c>
      <c r="AG274" s="24">
        <f t="shared" si="142"/>
        <v>4</v>
      </c>
      <c r="AH274" s="28">
        <f t="shared" si="152"/>
        <v>0.8</v>
      </c>
      <c r="AI274" s="29">
        <f t="shared" si="153"/>
        <v>0.2</v>
      </c>
      <c r="AJ274" s="31">
        <v>1</v>
      </c>
      <c r="AK274" s="31">
        <v>1</v>
      </c>
      <c r="AL274" s="31">
        <v>0</v>
      </c>
      <c r="AM274" s="31">
        <v>0</v>
      </c>
      <c r="AN274" s="31">
        <v>0</v>
      </c>
      <c r="AO274" s="31">
        <v>0</v>
      </c>
      <c r="AP274" s="31">
        <v>0</v>
      </c>
      <c r="AQ274" s="31">
        <v>0</v>
      </c>
      <c r="AR274" s="23">
        <f t="shared" si="154"/>
        <v>0.4</v>
      </c>
      <c r="AS274" s="24">
        <f t="shared" si="155"/>
        <v>2</v>
      </c>
      <c r="AT274" s="28">
        <f t="shared" si="156"/>
        <v>0.25</v>
      </c>
      <c r="AU274" s="28">
        <f t="shared" si="157"/>
        <v>3.7499999999999999E-2</v>
      </c>
      <c r="AV274" s="32">
        <v>75</v>
      </c>
      <c r="AW274" s="32">
        <v>75</v>
      </c>
      <c r="AX274" s="32">
        <v>90</v>
      </c>
      <c r="AY274" s="32">
        <v>85</v>
      </c>
      <c r="AZ274" s="32">
        <v>85</v>
      </c>
      <c r="BA274" s="32">
        <v>100</v>
      </c>
      <c r="BB274" s="23">
        <f t="shared" ca="1" si="158"/>
        <v>0.8</v>
      </c>
      <c r="BC274" s="33">
        <f t="shared" si="164"/>
        <v>85</v>
      </c>
      <c r="BD274" s="28">
        <f t="shared" si="159"/>
        <v>0.94117647058823528</v>
      </c>
      <c r="BE274" s="28">
        <f t="shared" si="160"/>
        <v>0.18823529411764706</v>
      </c>
      <c r="BF274" s="34">
        <f ca="1">Q274+AA274+AF274+AR274+BB274</f>
        <v>3.4000000000000004</v>
      </c>
      <c r="BG274" s="34">
        <f>AVERAGE(AV274:AZ274)</f>
        <v>82</v>
      </c>
      <c r="BH274" s="35">
        <f>T274+AD274+AI274+AU274+BE274</f>
        <v>0.67501457339692639</v>
      </c>
      <c r="BI274" s="36" t="str">
        <f ca="1">IF(K274&lt;365,"New CE",(IF(BH274&gt;=100%,"Promote",IF(BH274&gt;=90%,"Sangat Baik",IF(BH274&gt;=80%,"Baik",IF(BH274&gt;=70%,"Lebih Dari Cukup",IF(BH274&gt;=60%,"Cukup","Kurang")))))))</f>
        <v>Cukup</v>
      </c>
      <c r="BJ274" s="36" t="s">
        <v>860</v>
      </c>
      <c r="BK274" s="58" t="s">
        <v>54</v>
      </c>
      <c r="BL274" s="59" t="str">
        <v>Mulia</v>
      </c>
    </row>
    <row r="275" spans="1:64" x14ac:dyDescent="0.35">
      <c r="A275" s="19">
        <v>271</v>
      </c>
      <c r="B275" s="13" t="s">
        <v>668</v>
      </c>
      <c r="C275" s="20" t="s">
        <v>669</v>
      </c>
      <c r="D275" s="76" t="s">
        <v>48</v>
      </c>
      <c r="E275" s="13" t="s">
        <v>89</v>
      </c>
      <c r="F275" s="13" t="s">
        <v>74</v>
      </c>
      <c r="G275" s="13" t="s">
        <v>55</v>
      </c>
      <c r="H275" s="65">
        <v>43514</v>
      </c>
      <c r="I275" s="21">
        <f t="shared" ca="1" si="162"/>
        <v>45974</v>
      </c>
      <c r="J275" s="13" t="str">
        <f t="shared" ca="1" si="144"/>
        <v xml:space="preserve">6 Tahun 8 Bulan 26 Hari </v>
      </c>
      <c r="K275" s="13">
        <f t="shared" ca="1" si="163"/>
        <v>3542400</v>
      </c>
      <c r="L275" s="13">
        <v>448</v>
      </c>
      <c r="M275" s="13">
        <v>7</v>
      </c>
      <c r="N275" s="13">
        <v>2614</v>
      </c>
      <c r="O275" s="22">
        <f t="shared" si="145"/>
        <v>373.42857142857144</v>
      </c>
      <c r="P275" s="13">
        <v>310</v>
      </c>
      <c r="Q275" s="23">
        <f t="shared" si="146"/>
        <v>0.8</v>
      </c>
      <c r="R275" s="24">
        <f t="shared" si="147"/>
        <v>4</v>
      </c>
      <c r="S275" s="25">
        <f t="shared" si="161"/>
        <v>0.83014537107880637</v>
      </c>
      <c r="T275" s="25">
        <f t="shared" si="148"/>
        <v>0.1660290742157613</v>
      </c>
      <c r="U275" s="26">
        <v>1378.0419160353538</v>
      </c>
      <c r="V275" s="26">
        <v>0</v>
      </c>
      <c r="W275" s="26">
        <v>0.37387152777777777</v>
      </c>
      <c r="X275" s="27">
        <f t="shared" si="140"/>
        <v>0</v>
      </c>
      <c r="Y275" s="27">
        <f t="shared" si="141"/>
        <v>0</v>
      </c>
      <c r="Z275" s="27">
        <f t="shared" si="138"/>
        <v>1</v>
      </c>
      <c r="AA275" s="23">
        <f t="shared" si="143"/>
        <v>0.4</v>
      </c>
      <c r="AB275" s="24">
        <f t="shared" si="136"/>
        <v>1</v>
      </c>
      <c r="AC275" s="28">
        <f t="shared" si="149"/>
        <v>0.33333333333333331</v>
      </c>
      <c r="AD275" s="29">
        <f t="shared" si="150"/>
        <v>8.3333333333333329E-2</v>
      </c>
      <c r="AE275" s="30">
        <v>5.9726723251028804E-2</v>
      </c>
      <c r="AF275" s="23">
        <f t="shared" si="151"/>
        <v>1</v>
      </c>
      <c r="AG275" s="24">
        <f t="shared" si="142"/>
        <v>4</v>
      </c>
      <c r="AH275" s="28">
        <f t="shared" si="152"/>
        <v>0.8</v>
      </c>
      <c r="AI275" s="29">
        <f t="shared" si="153"/>
        <v>0.2</v>
      </c>
      <c r="AJ275" s="31">
        <v>1</v>
      </c>
      <c r="AK275" s="31">
        <v>1</v>
      </c>
      <c r="AL275" s="31">
        <v>0</v>
      </c>
      <c r="AM275" s="31">
        <v>0</v>
      </c>
      <c r="AN275" s="31">
        <v>0</v>
      </c>
      <c r="AO275" s="31">
        <v>0</v>
      </c>
      <c r="AP275" s="31">
        <v>0</v>
      </c>
      <c r="AQ275" s="31">
        <v>0</v>
      </c>
      <c r="AR275" s="23">
        <f t="shared" si="154"/>
        <v>0.4</v>
      </c>
      <c r="AS275" s="24">
        <f t="shared" si="155"/>
        <v>2</v>
      </c>
      <c r="AT275" s="28">
        <f t="shared" si="156"/>
        <v>0.25</v>
      </c>
      <c r="AU275" s="28">
        <f t="shared" si="157"/>
        <v>3.7499999999999999E-2</v>
      </c>
      <c r="AV275" s="32">
        <v>75</v>
      </c>
      <c r="AW275" s="32">
        <v>75</v>
      </c>
      <c r="AX275" s="32">
        <v>75</v>
      </c>
      <c r="AY275" s="32">
        <v>75</v>
      </c>
      <c r="AZ275" s="32">
        <v>75</v>
      </c>
      <c r="BA275" s="32">
        <v>100</v>
      </c>
      <c r="BB275" s="23">
        <f t="shared" ca="1" si="158"/>
        <v>0.8</v>
      </c>
      <c r="BC275" s="33">
        <f t="shared" si="164"/>
        <v>79.166666666666671</v>
      </c>
      <c r="BD275" s="28">
        <f t="shared" si="159"/>
        <v>0.93684210526315792</v>
      </c>
      <c r="BE275" s="28">
        <f t="shared" si="160"/>
        <v>0.1873684210526316</v>
      </c>
      <c r="BF275" s="34">
        <f ca="1">Q275+AA275+AF275+AR275+BB275</f>
        <v>3.4000000000000004</v>
      </c>
      <c r="BG275" s="34">
        <f>AVERAGE(AV275:AZ275)</f>
        <v>75</v>
      </c>
      <c r="BH275" s="35">
        <f>T275+AD275+AI275+AU275+BE275</f>
        <v>0.67423082860172623</v>
      </c>
      <c r="BI275" s="36" t="str">
        <f ca="1">IF(K275&lt;365,"New CE",(IF(BH275&gt;=100%,"Promote",IF(BH275&gt;=90%,"Sangat Baik",IF(BH275&gt;=80%,"Baik",IF(BH275&gt;=70%,"Lebih Dari Cukup",IF(BH275&gt;=60%,"Cukup","Kurang")))))))</f>
        <v>Cukup</v>
      </c>
      <c r="BJ275" s="36" t="s">
        <v>860</v>
      </c>
      <c r="BK275" s="58" t="s">
        <v>48</v>
      </c>
      <c r="BL275" s="59" t="str">
        <v>Azwar Harming</v>
      </c>
    </row>
    <row r="276" spans="1:64" x14ac:dyDescent="0.35">
      <c r="A276" s="19">
        <v>272</v>
      </c>
      <c r="B276" s="13" t="s">
        <v>670</v>
      </c>
      <c r="C276" s="20" t="s">
        <v>671</v>
      </c>
      <c r="D276" s="76" t="s">
        <v>48</v>
      </c>
      <c r="E276" s="13" t="s">
        <v>654</v>
      </c>
      <c r="F276" s="13" t="s">
        <v>44</v>
      </c>
      <c r="G276" s="13" t="s">
        <v>51</v>
      </c>
      <c r="H276" s="65">
        <v>44746</v>
      </c>
      <c r="I276" s="21">
        <f t="shared" ca="1" si="162"/>
        <v>45974</v>
      </c>
      <c r="J276" s="13" t="str">
        <f t="shared" ca="1" si="144"/>
        <v xml:space="preserve">3 Tahun 4 Bulan 9 Hari </v>
      </c>
      <c r="K276" s="13">
        <f t="shared" ca="1" si="163"/>
        <v>1768320</v>
      </c>
      <c r="L276" s="13">
        <v>329</v>
      </c>
      <c r="M276" s="13">
        <v>6</v>
      </c>
      <c r="N276" s="13">
        <v>2587</v>
      </c>
      <c r="O276" s="22">
        <f t="shared" si="145"/>
        <v>431.16666666666669</v>
      </c>
      <c r="P276" s="13">
        <v>422</v>
      </c>
      <c r="Q276" s="23">
        <f t="shared" si="146"/>
        <v>0.8</v>
      </c>
      <c r="R276" s="24">
        <f t="shared" si="147"/>
        <v>4</v>
      </c>
      <c r="S276" s="25">
        <f t="shared" si="161"/>
        <v>0.97873985311171241</v>
      </c>
      <c r="T276" s="25">
        <f t="shared" si="148"/>
        <v>0.1957479706223425</v>
      </c>
      <c r="U276" s="26">
        <v>1570.9920541985948</v>
      </c>
      <c r="V276" s="26">
        <v>1.7775205761316873E-2</v>
      </c>
      <c r="W276" s="26">
        <v>0</v>
      </c>
      <c r="X276" s="27">
        <f t="shared" si="140"/>
        <v>0</v>
      </c>
      <c r="Y276" s="27">
        <f t="shared" si="141"/>
        <v>1</v>
      </c>
      <c r="Z276" s="27">
        <f t="shared" si="138"/>
        <v>0</v>
      </c>
      <c r="AA276" s="23">
        <f t="shared" si="143"/>
        <v>0.4</v>
      </c>
      <c r="AB276" s="24">
        <f t="shared" si="136"/>
        <v>1</v>
      </c>
      <c r="AC276" s="28">
        <f t="shared" si="149"/>
        <v>0.33333333333333331</v>
      </c>
      <c r="AD276" s="29">
        <f t="shared" si="150"/>
        <v>8.3333333333333329E-2</v>
      </c>
      <c r="AE276" s="30">
        <v>8.4040111400462969E-2</v>
      </c>
      <c r="AF276" s="23">
        <f t="shared" si="151"/>
        <v>0.75</v>
      </c>
      <c r="AG276" s="24">
        <f t="shared" si="142"/>
        <v>3</v>
      </c>
      <c r="AH276" s="28">
        <f t="shared" si="152"/>
        <v>0.6</v>
      </c>
      <c r="AI276" s="29">
        <f t="shared" si="153"/>
        <v>0.15</v>
      </c>
      <c r="AJ276" s="31">
        <v>1</v>
      </c>
      <c r="AK276" s="31">
        <v>1</v>
      </c>
      <c r="AL276" s="31">
        <v>1</v>
      </c>
      <c r="AM276" s="31">
        <v>0</v>
      </c>
      <c r="AN276" s="31">
        <v>0</v>
      </c>
      <c r="AO276" s="31">
        <v>0</v>
      </c>
      <c r="AP276" s="31">
        <v>0</v>
      </c>
      <c r="AQ276" s="31">
        <v>0</v>
      </c>
      <c r="AR276" s="23">
        <f t="shared" si="154"/>
        <v>0.6</v>
      </c>
      <c r="AS276" s="24">
        <f t="shared" si="155"/>
        <v>3</v>
      </c>
      <c r="AT276" s="28">
        <f t="shared" si="156"/>
        <v>0.375</v>
      </c>
      <c r="AU276" s="28">
        <f t="shared" si="157"/>
        <v>5.6249999999999994E-2</v>
      </c>
      <c r="AV276" s="32">
        <v>75</v>
      </c>
      <c r="AW276" s="32">
        <v>75</v>
      </c>
      <c r="AX276" s="32">
        <v>80</v>
      </c>
      <c r="AY276" s="32">
        <v>80</v>
      </c>
      <c r="AZ276" s="32">
        <v>80</v>
      </c>
      <c r="BA276" s="32">
        <v>100</v>
      </c>
      <c r="BB276" s="23">
        <f t="shared" ca="1" si="158"/>
        <v>0.8</v>
      </c>
      <c r="BC276" s="33">
        <f t="shared" si="164"/>
        <v>81.666666666666671</v>
      </c>
      <c r="BD276" s="28">
        <f t="shared" si="159"/>
        <v>0.93877551020408168</v>
      </c>
      <c r="BE276" s="28">
        <f t="shared" si="160"/>
        <v>0.18775510204081636</v>
      </c>
      <c r="BF276" s="34">
        <f ca="1">Q276+AA276+AF276+AR276+BB276</f>
        <v>3.3500000000000005</v>
      </c>
      <c r="BG276" s="34">
        <f>AVERAGE(AV276:AZ276)</f>
        <v>78</v>
      </c>
      <c r="BH276" s="35">
        <f>T276+AD276+AI276+AU276+BE276</f>
        <v>0.67308640599649217</v>
      </c>
      <c r="BI276" s="36" t="str">
        <f ca="1">IF(K276&lt;365,"New CE",(IF(BH276&gt;=100%,"Promote",IF(BH276&gt;=90%,"Sangat Baik",IF(BH276&gt;=80%,"Baik",IF(BH276&gt;=70%,"Lebih Dari Cukup",IF(BH276&gt;=60%,"Cukup","Kurang")))))))</f>
        <v>Cukup</v>
      </c>
      <c r="BJ276" s="36" t="s">
        <v>860</v>
      </c>
      <c r="BK276" s="58" t="s">
        <v>48</v>
      </c>
      <c r="BL276" s="59" t="e">
        <v>#N/A</v>
      </c>
    </row>
    <row r="277" spans="1:64" x14ac:dyDescent="0.35">
      <c r="A277" s="19">
        <v>273</v>
      </c>
      <c r="B277" s="13" t="s">
        <v>672</v>
      </c>
      <c r="C277" s="20" t="s">
        <v>673</v>
      </c>
      <c r="D277" s="76" t="s">
        <v>54</v>
      </c>
      <c r="E277" s="13" t="s">
        <v>98</v>
      </c>
      <c r="F277" s="13" t="s">
        <v>50</v>
      </c>
      <c r="G277" s="13" t="s">
        <v>61</v>
      </c>
      <c r="H277" s="65">
        <v>44966</v>
      </c>
      <c r="I277" s="21">
        <f t="shared" ca="1" si="162"/>
        <v>45974</v>
      </c>
      <c r="J277" s="13" t="str">
        <f t="shared" ca="1" si="144"/>
        <v xml:space="preserve">2 Tahun 9 Bulan 4 Hari </v>
      </c>
      <c r="K277" s="13">
        <f t="shared" ca="1" si="163"/>
        <v>1451520</v>
      </c>
      <c r="L277" s="13">
        <v>1040</v>
      </c>
      <c r="M277" s="13">
        <v>17</v>
      </c>
      <c r="N277" s="13">
        <v>7455</v>
      </c>
      <c r="O277" s="22">
        <f t="shared" si="145"/>
        <v>438.52941176470586</v>
      </c>
      <c r="P277" s="13">
        <v>497</v>
      </c>
      <c r="Q277" s="23">
        <f t="shared" si="146"/>
        <v>1</v>
      </c>
      <c r="R277" s="24">
        <f t="shared" si="147"/>
        <v>5</v>
      </c>
      <c r="S277" s="25">
        <f t="shared" si="161"/>
        <v>1.1333333333333333</v>
      </c>
      <c r="T277" s="25">
        <f t="shared" si="148"/>
        <v>0.22666666666666668</v>
      </c>
      <c r="U277" s="26">
        <v>949.47819480613464</v>
      </c>
      <c r="V277" s="26">
        <v>0</v>
      </c>
      <c r="W277" s="26">
        <v>0</v>
      </c>
      <c r="X277" s="27">
        <f t="shared" si="140"/>
        <v>0</v>
      </c>
      <c r="Y277" s="27">
        <f t="shared" si="141"/>
        <v>0</v>
      </c>
      <c r="Z277" s="27">
        <f t="shared" si="138"/>
        <v>0</v>
      </c>
      <c r="AA277" s="23">
        <f t="shared" si="143"/>
        <v>0</v>
      </c>
      <c r="AB277" s="24">
        <f t="shared" si="136"/>
        <v>0</v>
      </c>
      <c r="AC277" s="28">
        <f t="shared" si="149"/>
        <v>0</v>
      </c>
      <c r="AD277" s="29">
        <f t="shared" si="150"/>
        <v>0</v>
      </c>
      <c r="AE277" s="30">
        <v>4.9293672549429131E-2</v>
      </c>
      <c r="AF277" s="23">
        <f t="shared" si="151"/>
        <v>1</v>
      </c>
      <c r="AG277" s="24">
        <f t="shared" si="142"/>
        <v>4</v>
      </c>
      <c r="AH277" s="28">
        <f t="shared" si="152"/>
        <v>0.8</v>
      </c>
      <c r="AI277" s="29">
        <f t="shared" si="153"/>
        <v>0.2</v>
      </c>
      <c r="AJ277" s="31">
        <v>1</v>
      </c>
      <c r="AK277" s="31">
        <v>1</v>
      </c>
      <c r="AL277" s="31">
        <v>1</v>
      </c>
      <c r="AM277" s="31">
        <v>0</v>
      </c>
      <c r="AN277" s="31">
        <v>0</v>
      </c>
      <c r="AO277" s="31">
        <v>0</v>
      </c>
      <c r="AP277" s="31">
        <v>0</v>
      </c>
      <c r="AQ277" s="31">
        <v>0</v>
      </c>
      <c r="AR277" s="23">
        <f t="shared" si="154"/>
        <v>0.6</v>
      </c>
      <c r="AS277" s="24">
        <f t="shared" si="155"/>
        <v>3</v>
      </c>
      <c r="AT277" s="28">
        <f t="shared" si="156"/>
        <v>0.375</v>
      </c>
      <c r="AU277" s="28">
        <f t="shared" si="157"/>
        <v>5.6249999999999994E-2</v>
      </c>
      <c r="AV277" s="32">
        <v>75</v>
      </c>
      <c r="AW277" s="32">
        <v>75</v>
      </c>
      <c r="AX277" s="32">
        <v>90</v>
      </c>
      <c r="AY277" s="32">
        <v>85</v>
      </c>
      <c r="AZ277" s="32">
        <v>80</v>
      </c>
      <c r="BA277" s="32">
        <v>100</v>
      </c>
      <c r="BB277" s="23">
        <f t="shared" ca="1" si="158"/>
        <v>0.8</v>
      </c>
      <c r="BC277" s="33">
        <f t="shared" si="164"/>
        <v>84.166666666666671</v>
      </c>
      <c r="BD277" s="28">
        <f t="shared" si="159"/>
        <v>0.94059405940594054</v>
      </c>
      <c r="BE277" s="28">
        <f t="shared" si="160"/>
        <v>0.18811881188118812</v>
      </c>
      <c r="BF277" s="34">
        <f ca="1">Q277+AA277+AF277+AR277+BB277</f>
        <v>3.4000000000000004</v>
      </c>
      <c r="BG277" s="34">
        <f>AVERAGE(AV277:AZ277)</f>
        <v>81</v>
      </c>
      <c r="BH277" s="35">
        <f>T277+AD277+AI277+AU277+BE277</f>
        <v>0.67103547854785472</v>
      </c>
      <c r="BI277" s="36" t="str">
        <f ca="1">IF(K277&lt;365,"New CE",(IF(BH277&gt;=100%,"Promote",IF(BH277&gt;=90%,"Sangat Baik",IF(BH277&gt;=80%,"Baik",IF(BH277&gt;=70%,"Lebih Dari Cukup",IF(BH277&gt;=60%,"Cukup","Kurang")))))))</f>
        <v>Cukup</v>
      </c>
      <c r="BJ277" s="36" t="s">
        <v>860</v>
      </c>
      <c r="BK277" s="58" t="s">
        <v>54</v>
      </c>
      <c r="BL277" s="59" t="e">
        <v>#N/A</v>
      </c>
    </row>
    <row r="278" spans="1:64" x14ac:dyDescent="0.35">
      <c r="A278" s="19">
        <v>274</v>
      </c>
      <c r="B278" s="13" t="s">
        <v>674</v>
      </c>
      <c r="C278" s="20" t="s">
        <v>675</v>
      </c>
      <c r="D278" s="76" t="s">
        <v>54</v>
      </c>
      <c r="E278" s="13" t="s">
        <v>133</v>
      </c>
      <c r="F278" s="13" t="s">
        <v>50</v>
      </c>
      <c r="G278" s="13" t="s">
        <v>55</v>
      </c>
      <c r="H278" s="65">
        <v>45306</v>
      </c>
      <c r="I278" s="21">
        <f t="shared" ca="1" si="162"/>
        <v>45974</v>
      </c>
      <c r="J278" s="13" t="str">
        <f t="shared" ca="1" si="144"/>
        <v xml:space="preserve">1 Tahun 9 Bulan 29 Hari </v>
      </c>
      <c r="K278" s="13">
        <f t="shared" ca="1" si="163"/>
        <v>961920</v>
      </c>
      <c r="L278" s="13">
        <v>760</v>
      </c>
      <c r="M278" s="13">
        <v>13</v>
      </c>
      <c r="N278" s="13">
        <v>5863</v>
      </c>
      <c r="O278" s="22">
        <f t="shared" si="145"/>
        <v>451</v>
      </c>
      <c r="P278" s="13">
        <v>379</v>
      </c>
      <c r="Q278" s="23">
        <f t="shared" si="146"/>
        <v>0.8</v>
      </c>
      <c r="R278" s="24">
        <f t="shared" si="147"/>
        <v>4</v>
      </c>
      <c r="S278" s="25">
        <f t="shared" si="161"/>
        <v>0.84035476718403546</v>
      </c>
      <c r="T278" s="25">
        <f t="shared" si="148"/>
        <v>0.16807095343680711</v>
      </c>
      <c r="U278" s="26">
        <v>1436.224860136452</v>
      </c>
      <c r="V278" s="26">
        <v>0</v>
      </c>
      <c r="W278" s="26">
        <v>0</v>
      </c>
      <c r="X278" s="27">
        <f t="shared" ref="X278:X308" si="165">IF(U278=TIME(0,0,0), 0, IF(U278&lt;=TIME(1,30,0), 1, 0))</f>
        <v>0</v>
      </c>
      <c r="Y278" s="27">
        <f t="shared" ref="Y278:Y308" si="166">IF(V278=TIME(0,0,0), 0, IF(V278&lt;=TIME(3,0,0), 1, 0))</f>
        <v>0</v>
      </c>
      <c r="Z278" s="27">
        <f t="shared" si="138"/>
        <v>0</v>
      </c>
      <c r="AA278" s="23">
        <f t="shared" si="143"/>
        <v>0</v>
      </c>
      <c r="AB278" s="24">
        <f t="shared" si="136"/>
        <v>0</v>
      </c>
      <c r="AC278" s="28">
        <f t="shared" si="149"/>
        <v>0</v>
      </c>
      <c r="AD278" s="29">
        <f t="shared" si="150"/>
        <v>0</v>
      </c>
      <c r="AE278" s="30">
        <v>6.1713496612636809E-2</v>
      </c>
      <c r="AF278" s="23">
        <f t="shared" si="151"/>
        <v>1</v>
      </c>
      <c r="AG278" s="24">
        <f t="shared" si="142"/>
        <v>4</v>
      </c>
      <c r="AH278" s="28">
        <f t="shared" si="152"/>
        <v>0.8</v>
      </c>
      <c r="AI278" s="29">
        <f t="shared" si="153"/>
        <v>0.2</v>
      </c>
      <c r="AJ278" s="31">
        <v>1</v>
      </c>
      <c r="AK278" s="31">
        <v>1</v>
      </c>
      <c r="AL278" s="31">
        <v>1</v>
      </c>
      <c r="AM278" s="31">
        <v>0</v>
      </c>
      <c r="AN278" s="31">
        <v>1</v>
      </c>
      <c r="AO278" s="31">
        <v>0</v>
      </c>
      <c r="AP278" s="31">
        <v>1</v>
      </c>
      <c r="AQ278" s="31">
        <v>1</v>
      </c>
      <c r="AR278" s="23">
        <f t="shared" si="154"/>
        <v>1</v>
      </c>
      <c r="AS278" s="24">
        <f t="shared" si="155"/>
        <v>6</v>
      </c>
      <c r="AT278" s="28">
        <f t="shared" si="156"/>
        <v>0.75</v>
      </c>
      <c r="AU278" s="28">
        <f t="shared" si="157"/>
        <v>0.11249999999999999</v>
      </c>
      <c r="AV278" s="32">
        <v>75</v>
      </c>
      <c r="AW278" s="32">
        <v>75</v>
      </c>
      <c r="AX278" s="32">
        <v>90</v>
      </c>
      <c r="AY278" s="32">
        <v>85</v>
      </c>
      <c r="AZ278" s="32">
        <v>80</v>
      </c>
      <c r="BA278" s="32">
        <v>100</v>
      </c>
      <c r="BB278" s="23">
        <f t="shared" ca="1" si="158"/>
        <v>0.8</v>
      </c>
      <c r="BC278" s="33">
        <f t="shared" si="164"/>
        <v>84.166666666666671</v>
      </c>
      <c r="BD278" s="28">
        <f t="shared" si="159"/>
        <v>0.94059405940594054</v>
      </c>
      <c r="BE278" s="28">
        <f t="shared" si="160"/>
        <v>0.18811881188118812</v>
      </c>
      <c r="BF278" s="34">
        <f ca="1">Q278+AA278+AF278+AR278+BB278</f>
        <v>3.5999999999999996</v>
      </c>
      <c r="BG278" s="34">
        <f>AVERAGE(AV278:AZ278)</f>
        <v>81</v>
      </c>
      <c r="BH278" s="35">
        <f>T278+AD278+AI278+AU278+BE278</f>
        <v>0.66868976531799529</v>
      </c>
      <c r="BI278" s="36" t="str">
        <f ca="1">IF(K278&lt;365,"New CE",(IF(BH278&gt;=100%,"Promote",IF(BH278&gt;=90%,"Sangat Baik",IF(BH278&gt;=80%,"Baik",IF(BH278&gt;=70%,"Lebih Dari Cukup",IF(BH278&gt;=60%,"Cukup","Kurang")))))))</f>
        <v>Cukup</v>
      </c>
      <c r="BJ278" s="36" t="s">
        <v>860</v>
      </c>
      <c r="BK278" s="58" t="s">
        <v>54</v>
      </c>
      <c r="BL278" s="59" t="e">
        <v>#N/A</v>
      </c>
    </row>
    <row r="279" spans="1:64" x14ac:dyDescent="0.35">
      <c r="A279" s="19">
        <v>275</v>
      </c>
      <c r="B279" s="13" t="s">
        <v>676</v>
      </c>
      <c r="C279" s="20" t="s">
        <v>677</v>
      </c>
      <c r="D279" s="76" t="s">
        <v>54</v>
      </c>
      <c r="E279" s="13" t="s">
        <v>95</v>
      </c>
      <c r="F279" s="13" t="s">
        <v>50</v>
      </c>
      <c r="G279" s="13" t="s">
        <v>61</v>
      </c>
      <c r="H279" s="65">
        <v>45075</v>
      </c>
      <c r="I279" s="21">
        <f t="shared" ca="1" si="162"/>
        <v>45974</v>
      </c>
      <c r="J279" s="13" t="str">
        <f t="shared" ca="1" si="144"/>
        <v xml:space="preserve">2 Tahun 5 Bulan 15 Hari </v>
      </c>
      <c r="K279" s="13">
        <f t="shared" ca="1" si="163"/>
        <v>1294560</v>
      </c>
      <c r="L279" s="13">
        <v>897</v>
      </c>
      <c r="M279" s="13">
        <v>13</v>
      </c>
      <c r="N279" s="13">
        <v>6212</v>
      </c>
      <c r="O279" s="22">
        <f t="shared" si="145"/>
        <v>477.84615384615387</v>
      </c>
      <c r="P279" s="13">
        <v>534</v>
      </c>
      <c r="Q279" s="23">
        <f t="shared" si="146"/>
        <v>1</v>
      </c>
      <c r="R279" s="24">
        <f t="shared" si="147"/>
        <v>5</v>
      </c>
      <c r="S279" s="25">
        <f t="shared" si="161"/>
        <v>1.1175144880875725</v>
      </c>
      <c r="T279" s="25">
        <f t="shared" si="148"/>
        <v>0.22350289761751452</v>
      </c>
      <c r="U279" s="26">
        <v>892.31584127632493</v>
      </c>
      <c r="V279" s="26">
        <v>0</v>
      </c>
      <c r="W279" s="26">
        <v>0</v>
      </c>
      <c r="X279" s="27">
        <f t="shared" si="165"/>
        <v>0</v>
      </c>
      <c r="Y279" s="27">
        <f t="shared" si="166"/>
        <v>0</v>
      </c>
      <c r="Z279" s="27">
        <f t="shared" si="138"/>
        <v>0</v>
      </c>
      <c r="AA279" s="23">
        <f t="shared" si="143"/>
        <v>0</v>
      </c>
      <c r="AB279" s="24">
        <f t="shared" ref="AB279:AB340" si="167">X279+Y279+Z279</f>
        <v>0</v>
      </c>
      <c r="AC279" s="28">
        <f t="shared" si="149"/>
        <v>0</v>
      </c>
      <c r="AD279" s="29">
        <f t="shared" si="150"/>
        <v>0</v>
      </c>
      <c r="AE279" s="30">
        <v>7.8264225004676391E-2</v>
      </c>
      <c r="AF279" s="23">
        <f t="shared" si="151"/>
        <v>1</v>
      </c>
      <c r="AG279" s="24">
        <f t="shared" si="142"/>
        <v>4</v>
      </c>
      <c r="AH279" s="28">
        <f t="shared" si="152"/>
        <v>0.8</v>
      </c>
      <c r="AI279" s="29">
        <f t="shared" si="153"/>
        <v>0.2</v>
      </c>
      <c r="AJ279" s="31">
        <v>1</v>
      </c>
      <c r="AK279" s="31">
        <v>1</v>
      </c>
      <c r="AL279" s="31">
        <v>1</v>
      </c>
      <c r="AM279" s="31">
        <v>0</v>
      </c>
      <c r="AN279" s="31">
        <v>0</v>
      </c>
      <c r="AO279" s="31">
        <v>0</v>
      </c>
      <c r="AP279" s="31">
        <v>0</v>
      </c>
      <c r="AQ279" s="31">
        <v>0</v>
      </c>
      <c r="AR279" s="23">
        <f t="shared" si="154"/>
        <v>0.6</v>
      </c>
      <c r="AS279" s="24">
        <f t="shared" si="155"/>
        <v>3</v>
      </c>
      <c r="AT279" s="28">
        <f t="shared" si="156"/>
        <v>0.375</v>
      </c>
      <c r="AU279" s="28">
        <f t="shared" si="157"/>
        <v>5.6249999999999994E-2</v>
      </c>
      <c r="AV279" s="32">
        <v>75</v>
      </c>
      <c r="AW279" s="32">
        <v>75</v>
      </c>
      <c r="AX279" s="32">
        <v>90</v>
      </c>
      <c r="AY279" s="32">
        <v>85</v>
      </c>
      <c r="AZ279" s="32">
        <v>80</v>
      </c>
      <c r="BA279" s="32">
        <v>100</v>
      </c>
      <c r="BB279" s="23">
        <f t="shared" ca="1" si="158"/>
        <v>0.8</v>
      </c>
      <c r="BC279" s="33">
        <f t="shared" si="164"/>
        <v>84.166666666666671</v>
      </c>
      <c r="BD279" s="28">
        <f t="shared" si="159"/>
        <v>0.94059405940594054</v>
      </c>
      <c r="BE279" s="28">
        <f t="shared" si="160"/>
        <v>0.18811881188118812</v>
      </c>
      <c r="BF279" s="34">
        <f ca="1">Q279+AA279+AF279+AR279+BB279</f>
        <v>3.4000000000000004</v>
      </c>
      <c r="BG279" s="34">
        <f>AVERAGE(AV279:AZ279)</f>
        <v>81</v>
      </c>
      <c r="BH279" s="35">
        <f>T279+AD279+AI279+AU279+BE279</f>
        <v>0.66787170949870256</v>
      </c>
      <c r="BI279" s="36" t="str">
        <f ca="1">IF(K279&lt;365,"New CE",(IF(BH279&gt;=100%,"Promote",IF(BH279&gt;=90%,"Sangat Baik",IF(BH279&gt;=80%,"Baik",IF(BH279&gt;=70%,"Lebih Dari Cukup",IF(BH279&gt;=60%,"Cukup","Kurang")))))))</f>
        <v>Cukup</v>
      </c>
      <c r="BJ279" s="36" t="s">
        <v>860</v>
      </c>
      <c r="BK279" s="58" t="s">
        <v>54</v>
      </c>
      <c r="BL279" s="59" t="e">
        <v>#N/A</v>
      </c>
    </row>
    <row r="280" spans="1:64" x14ac:dyDescent="0.35">
      <c r="A280" s="19">
        <v>276</v>
      </c>
      <c r="B280" s="13" t="s">
        <v>678</v>
      </c>
      <c r="C280" s="20" t="s">
        <v>679</v>
      </c>
      <c r="D280" s="76" t="s">
        <v>54</v>
      </c>
      <c r="E280" s="13" t="s">
        <v>174</v>
      </c>
      <c r="F280" s="13" t="s">
        <v>50</v>
      </c>
      <c r="G280" s="13" t="s">
        <v>61</v>
      </c>
      <c r="H280" s="65">
        <v>45173</v>
      </c>
      <c r="I280" s="21">
        <f t="shared" ca="1" si="162"/>
        <v>45974</v>
      </c>
      <c r="J280" s="13" t="str">
        <f t="shared" ca="1" si="144"/>
        <v xml:space="preserve">2 Tahun 2 Bulan 9 Hari </v>
      </c>
      <c r="K280" s="13">
        <f t="shared" ca="1" si="163"/>
        <v>1153440</v>
      </c>
      <c r="L280" s="13">
        <v>218</v>
      </c>
      <c r="M280" s="13">
        <v>4</v>
      </c>
      <c r="N280" s="13">
        <v>1692</v>
      </c>
      <c r="O280" s="22">
        <f t="shared" si="145"/>
        <v>423</v>
      </c>
      <c r="P280" s="13">
        <v>399</v>
      </c>
      <c r="Q280" s="23">
        <f t="shared" si="146"/>
        <v>0.8</v>
      </c>
      <c r="R280" s="24">
        <f t="shared" si="147"/>
        <v>4</v>
      </c>
      <c r="S280" s="25">
        <f t="shared" si="161"/>
        <v>0.94326241134751776</v>
      </c>
      <c r="T280" s="25">
        <f t="shared" si="148"/>
        <v>0.18865248226950357</v>
      </c>
      <c r="U280" s="26">
        <v>2781.3467291430479</v>
      </c>
      <c r="V280" s="26">
        <v>5683.281818576389</v>
      </c>
      <c r="W280" s="26">
        <v>8.1018518518518516E-4</v>
      </c>
      <c r="X280" s="27">
        <f t="shared" si="165"/>
        <v>0</v>
      </c>
      <c r="Y280" s="27">
        <f t="shared" si="166"/>
        <v>0</v>
      </c>
      <c r="Z280" s="27">
        <f t="shared" si="138"/>
        <v>1</v>
      </c>
      <c r="AA280" s="23">
        <f t="shared" si="143"/>
        <v>0.4</v>
      </c>
      <c r="AB280" s="24">
        <f t="shared" si="167"/>
        <v>1</v>
      </c>
      <c r="AC280" s="28">
        <f t="shared" si="149"/>
        <v>0.33333333333333331</v>
      </c>
      <c r="AD280" s="29">
        <f t="shared" si="150"/>
        <v>8.3333333333333329E-2</v>
      </c>
      <c r="AE280" s="30">
        <v>8.3919482952172081E-2</v>
      </c>
      <c r="AF280" s="23">
        <f t="shared" si="151"/>
        <v>0.75</v>
      </c>
      <c r="AG280" s="24">
        <f t="shared" si="142"/>
        <v>3</v>
      </c>
      <c r="AH280" s="28">
        <f t="shared" si="152"/>
        <v>0.6</v>
      </c>
      <c r="AI280" s="29">
        <f t="shared" si="153"/>
        <v>0.15</v>
      </c>
      <c r="AJ280" s="31">
        <v>1</v>
      </c>
      <c r="AK280" s="31">
        <v>1</v>
      </c>
      <c r="AL280" s="31">
        <v>1</v>
      </c>
      <c r="AM280" s="31">
        <v>0</v>
      </c>
      <c r="AN280" s="31">
        <v>0</v>
      </c>
      <c r="AO280" s="31">
        <v>0</v>
      </c>
      <c r="AP280" s="31">
        <v>0</v>
      </c>
      <c r="AQ280" s="31">
        <v>0</v>
      </c>
      <c r="AR280" s="23">
        <f t="shared" si="154"/>
        <v>0.6</v>
      </c>
      <c r="AS280" s="24">
        <f t="shared" si="155"/>
        <v>3</v>
      </c>
      <c r="AT280" s="28">
        <f t="shared" si="156"/>
        <v>0.375</v>
      </c>
      <c r="AU280" s="28">
        <f t="shared" si="157"/>
        <v>5.6249999999999994E-2</v>
      </c>
      <c r="AV280" s="32">
        <v>75</v>
      </c>
      <c r="AW280" s="32">
        <v>75</v>
      </c>
      <c r="AX280" s="32">
        <v>80</v>
      </c>
      <c r="AY280" s="32">
        <v>80</v>
      </c>
      <c r="AZ280" s="32">
        <v>80</v>
      </c>
      <c r="BA280" s="32">
        <v>100</v>
      </c>
      <c r="BB280" s="23">
        <f t="shared" ca="1" si="158"/>
        <v>0.8</v>
      </c>
      <c r="BC280" s="33">
        <f t="shared" si="164"/>
        <v>81.666666666666671</v>
      </c>
      <c r="BD280" s="28">
        <f t="shared" si="159"/>
        <v>0.93877551020408168</v>
      </c>
      <c r="BE280" s="28">
        <f t="shared" si="160"/>
        <v>0.18775510204081636</v>
      </c>
      <c r="BF280" s="34">
        <f ca="1">Q280+AA280+AF280+AR280+BB280</f>
        <v>3.3500000000000005</v>
      </c>
      <c r="BG280" s="34">
        <f>AVERAGE(AV280:AZ280)</f>
        <v>78</v>
      </c>
      <c r="BH280" s="35">
        <f>T280+AD280+AI280+AU280+BE280</f>
        <v>0.66599091764365326</v>
      </c>
      <c r="BI280" s="36" t="str">
        <f ca="1">IF(K280&lt;365,"New CE",(IF(BH280&gt;=100%,"Promote",IF(BH280&gt;=90%,"Sangat Baik",IF(BH280&gt;=80%,"Baik",IF(BH280&gt;=70%,"Lebih Dari Cukup",IF(BH280&gt;=60%,"Cukup","Kurang")))))))</f>
        <v>Cukup</v>
      </c>
      <c r="BJ280" s="36" t="s">
        <v>860</v>
      </c>
      <c r="BK280" s="58" t="s">
        <v>54</v>
      </c>
      <c r="BL280" s="59" t="e">
        <v>#N/A</v>
      </c>
    </row>
    <row r="281" spans="1:64" x14ac:dyDescent="0.35">
      <c r="A281" s="19">
        <v>277</v>
      </c>
      <c r="B281" s="13" t="s">
        <v>680</v>
      </c>
      <c r="C281" s="20" t="s">
        <v>681</v>
      </c>
      <c r="D281" s="76" t="s">
        <v>54</v>
      </c>
      <c r="E281" s="13" t="s">
        <v>95</v>
      </c>
      <c r="F281" s="13" t="s">
        <v>50</v>
      </c>
      <c r="G281" s="13" t="s">
        <v>45</v>
      </c>
      <c r="H281" s="65">
        <v>45173</v>
      </c>
      <c r="I281" s="21">
        <f t="shared" ca="1" si="162"/>
        <v>45974</v>
      </c>
      <c r="J281" s="13" t="str">
        <f t="shared" ca="1" si="144"/>
        <v xml:space="preserve">2 Tahun 2 Bulan 9 Hari </v>
      </c>
      <c r="K281" s="13">
        <f t="shared" ca="1" si="163"/>
        <v>1153440</v>
      </c>
      <c r="L281" s="13">
        <v>897</v>
      </c>
      <c r="M281" s="13">
        <v>13</v>
      </c>
      <c r="N281" s="13">
        <v>6212</v>
      </c>
      <c r="O281" s="22">
        <f t="shared" si="145"/>
        <v>477.84615384615387</v>
      </c>
      <c r="P281" s="13">
        <v>527</v>
      </c>
      <c r="Q281" s="23">
        <f t="shared" si="146"/>
        <v>1</v>
      </c>
      <c r="R281" s="24">
        <f t="shared" si="147"/>
        <v>5</v>
      </c>
      <c r="S281" s="25">
        <f t="shared" si="161"/>
        <v>1.102865421764327</v>
      </c>
      <c r="T281" s="25">
        <f t="shared" si="148"/>
        <v>0.22057308435286541</v>
      </c>
      <c r="U281" s="26">
        <v>529.15189114987072</v>
      </c>
      <c r="V281" s="26">
        <v>0</v>
      </c>
      <c r="W281" s="26">
        <v>0</v>
      </c>
      <c r="X281" s="27">
        <f t="shared" si="165"/>
        <v>0</v>
      </c>
      <c r="Y281" s="27">
        <f t="shared" si="166"/>
        <v>0</v>
      </c>
      <c r="Z281" s="27">
        <f t="shared" si="138"/>
        <v>0</v>
      </c>
      <c r="AA281" s="23">
        <f t="shared" si="143"/>
        <v>0</v>
      </c>
      <c r="AB281" s="24">
        <f t="shared" si="167"/>
        <v>0</v>
      </c>
      <c r="AC281" s="28">
        <f t="shared" si="149"/>
        <v>0</v>
      </c>
      <c r="AD281" s="29">
        <f t="shared" si="150"/>
        <v>0</v>
      </c>
      <c r="AE281" s="30">
        <v>6.5634604614695335E-2</v>
      </c>
      <c r="AF281" s="23">
        <f t="shared" si="151"/>
        <v>1</v>
      </c>
      <c r="AG281" s="24">
        <f t="shared" si="142"/>
        <v>4</v>
      </c>
      <c r="AH281" s="28">
        <f t="shared" si="152"/>
        <v>0.8</v>
      </c>
      <c r="AI281" s="29">
        <f t="shared" si="153"/>
        <v>0.2</v>
      </c>
      <c r="AJ281" s="31">
        <v>1</v>
      </c>
      <c r="AK281" s="31">
        <v>1</v>
      </c>
      <c r="AL281" s="31">
        <v>1</v>
      </c>
      <c r="AM281" s="31">
        <v>0</v>
      </c>
      <c r="AN281" s="31">
        <v>0</v>
      </c>
      <c r="AO281" s="31">
        <v>0</v>
      </c>
      <c r="AP281" s="31">
        <v>0</v>
      </c>
      <c r="AQ281" s="31">
        <v>0</v>
      </c>
      <c r="AR281" s="23">
        <f t="shared" si="154"/>
        <v>0.6</v>
      </c>
      <c r="AS281" s="24">
        <f t="shared" si="155"/>
        <v>3</v>
      </c>
      <c r="AT281" s="28">
        <f t="shared" si="156"/>
        <v>0.375</v>
      </c>
      <c r="AU281" s="28">
        <f t="shared" si="157"/>
        <v>5.6249999999999994E-2</v>
      </c>
      <c r="AV281" s="32">
        <v>75</v>
      </c>
      <c r="AW281" s="32">
        <v>75</v>
      </c>
      <c r="AX281" s="32">
        <v>90</v>
      </c>
      <c r="AY281" s="32">
        <v>85</v>
      </c>
      <c r="AZ281" s="32">
        <v>80</v>
      </c>
      <c r="BA281" s="32">
        <v>100</v>
      </c>
      <c r="BB281" s="23">
        <f t="shared" ca="1" si="158"/>
        <v>0.8</v>
      </c>
      <c r="BC281" s="33">
        <f t="shared" si="164"/>
        <v>84.166666666666671</v>
      </c>
      <c r="BD281" s="28">
        <f t="shared" si="159"/>
        <v>0.94059405940594054</v>
      </c>
      <c r="BE281" s="28">
        <f t="shared" si="160"/>
        <v>0.18811881188118812</v>
      </c>
      <c r="BF281" s="34">
        <f ca="1">Q281+AA281+AF281+AR281+BB281</f>
        <v>3.4000000000000004</v>
      </c>
      <c r="BG281" s="34">
        <f>AVERAGE(AV281:AZ281)</f>
        <v>81</v>
      </c>
      <c r="BH281" s="35">
        <f>T281+AD281+AI281+AU281+BE281</f>
        <v>0.66494189623405364</v>
      </c>
      <c r="BI281" s="36" t="str">
        <f ca="1">IF(K281&lt;365,"New CE",(IF(BH281&gt;=100%,"Promote",IF(BH281&gt;=90%,"Sangat Baik",IF(BH281&gt;=80%,"Baik",IF(BH281&gt;=70%,"Lebih Dari Cukup",IF(BH281&gt;=60%,"Cukup","Kurang")))))))</f>
        <v>Cukup</v>
      </c>
      <c r="BJ281" s="36" t="s">
        <v>860</v>
      </c>
      <c r="BK281" s="58" t="s">
        <v>54</v>
      </c>
      <c r="BL281" s="59" t="e">
        <v>#N/A</v>
      </c>
    </row>
    <row r="282" spans="1:64" x14ac:dyDescent="0.35">
      <c r="A282" s="19">
        <v>278</v>
      </c>
      <c r="B282" s="13" t="s">
        <v>682</v>
      </c>
      <c r="C282" s="20" t="s">
        <v>683</v>
      </c>
      <c r="D282" s="76" t="s">
        <v>42</v>
      </c>
      <c r="E282" s="13" t="s">
        <v>192</v>
      </c>
      <c r="F282" s="13" t="s">
        <v>50</v>
      </c>
      <c r="G282" s="13" t="s">
        <v>55</v>
      </c>
      <c r="H282" s="65">
        <v>43388</v>
      </c>
      <c r="I282" s="21">
        <f t="shared" ca="1" si="162"/>
        <v>45974</v>
      </c>
      <c r="J282" s="13" t="str">
        <f t="shared" ca="1" si="144"/>
        <v xml:space="preserve">7 Tahun 0 Bulan 29 Hari </v>
      </c>
      <c r="K282" s="13">
        <f t="shared" ca="1" si="163"/>
        <v>3723840</v>
      </c>
      <c r="L282" s="13">
        <v>510</v>
      </c>
      <c r="M282" s="13">
        <v>9</v>
      </c>
      <c r="N282" s="13">
        <v>3962</v>
      </c>
      <c r="O282" s="22">
        <f t="shared" si="145"/>
        <v>440.22222222222223</v>
      </c>
      <c r="P282" s="13">
        <v>485</v>
      </c>
      <c r="Q282" s="23">
        <f t="shared" si="146"/>
        <v>1</v>
      </c>
      <c r="R282" s="24">
        <f t="shared" si="147"/>
        <v>5</v>
      </c>
      <c r="S282" s="25">
        <f t="shared" si="161"/>
        <v>1.1017163048965168</v>
      </c>
      <c r="T282" s="25">
        <f t="shared" si="148"/>
        <v>0.22034326097930337</v>
      </c>
      <c r="U282" s="26">
        <v>2247.17611752842</v>
      </c>
      <c r="V282" s="26">
        <v>0</v>
      </c>
      <c r="W282" s="26">
        <v>0</v>
      </c>
      <c r="X282" s="27">
        <f t="shared" si="165"/>
        <v>0</v>
      </c>
      <c r="Y282" s="27">
        <f t="shared" si="166"/>
        <v>0</v>
      </c>
      <c r="Z282" s="27">
        <f t="shared" si="138"/>
        <v>0</v>
      </c>
      <c r="AA282" s="23">
        <f>IF(AB282=3, 1.75, IF(AB282=2, 1, IF(AB282=1, 0.75, IF(AB282=0, 0, 0))))</f>
        <v>0</v>
      </c>
      <c r="AB282" s="24">
        <f t="shared" si="167"/>
        <v>0</v>
      </c>
      <c r="AC282" s="28">
        <f t="shared" si="149"/>
        <v>0</v>
      </c>
      <c r="AD282" s="29">
        <f t="shared" si="150"/>
        <v>0</v>
      </c>
      <c r="AE282" s="30">
        <v>4.7964091331474834E-2</v>
      </c>
      <c r="AF282" s="23">
        <f t="shared" si="151"/>
        <v>1</v>
      </c>
      <c r="AG282" s="24">
        <f t="shared" si="142"/>
        <v>4</v>
      </c>
      <c r="AH282" s="28">
        <f t="shared" si="152"/>
        <v>0.8</v>
      </c>
      <c r="AI282" s="29">
        <f t="shared" si="153"/>
        <v>0.2</v>
      </c>
      <c r="AJ282" s="31">
        <v>1</v>
      </c>
      <c r="AK282" s="31">
        <v>1</v>
      </c>
      <c r="AL282" s="31">
        <v>1</v>
      </c>
      <c r="AM282" s="31">
        <v>0</v>
      </c>
      <c r="AN282" s="31">
        <v>0</v>
      </c>
      <c r="AO282" s="31">
        <v>0</v>
      </c>
      <c r="AP282" s="31">
        <v>0</v>
      </c>
      <c r="AQ282" s="31">
        <v>0</v>
      </c>
      <c r="AR282" s="23">
        <f t="shared" si="154"/>
        <v>0.6</v>
      </c>
      <c r="AS282" s="24">
        <f t="shared" si="155"/>
        <v>3</v>
      </c>
      <c r="AT282" s="28">
        <f t="shared" si="156"/>
        <v>0.375</v>
      </c>
      <c r="AU282" s="28">
        <f t="shared" si="157"/>
        <v>5.6249999999999994E-2</v>
      </c>
      <c r="AV282" s="32">
        <v>75</v>
      </c>
      <c r="AW282" s="32">
        <v>75</v>
      </c>
      <c r="AX282" s="32">
        <v>90</v>
      </c>
      <c r="AY282" s="32">
        <v>90</v>
      </c>
      <c r="AZ282" s="32">
        <v>90</v>
      </c>
      <c r="BA282" s="32">
        <v>100</v>
      </c>
      <c r="BB282" s="23">
        <f t="shared" ca="1" si="158"/>
        <v>0.8</v>
      </c>
      <c r="BC282" s="33">
        <f t="shared" si="164"/>
        <v>86.666666666666671</v>
      </c>
      <c r="BD282" s="28">
        <f t="shared" si="159"/>
        <v>0.94230769230769229</v>
      </c>
      <c r="BE282" s="28">
        <f t="shared" si="160"/>
        <v>0.18846153846153846</v>
      </c>
      <c r="BF282" s="34">
        <f ca="1">Q282+AA282+AF282+AR282+BB282</f>
        <v>3.4000000000000004</v>
      </c>
      <c r="BG282" s="34">
        <f>AVERAGE(AV282:AZ282)</f>
        <v>84</v>
      </c>
      <c r="BH282" s="35">
        <f>T282+AD282+AI282+AU282+BE282</f>
        <v>0.66505479944084189</v>
      </c>
      <c r="BI282" s="36" t="str">
        <f ca="1">IF(K282&lt;365,"New CE",(IF(BH282&gt;=100%,"Promote",IF(BH282&gt;=90%,"Sangat Baik",IF(BH282&gt;=80%,"Baik",IF(BH282&gt;=70%,"Lebih Dari Cukup",IF(BH282&gt;=60%,"Cukup","Kurang")))))))</f>
        <v>Cukup</v>
      </c>
      <c r="BJ282" s="36" t="s">
        <v>860</v>
      </c>
      <c r="BK282" s="58" t="s">
        <v>42</v>
      </c>
      <c r="BL282" s="59" t="e">
        <v>#N/A</v>
      </c>
    </row>
    <row r="283" spans="1:64" x14ac:dyDescent="0.35">
      <c r="A283" s="19">
        <v>279</v>
      </c>
      <c r="B283" s="13" t="s">
        <v>684</v>
      </c>
      <c r="C283" s="20" t="s">
        <v>685</v>
      </c>
      <c r="D283" s="76" t="s">
        <v>42</v>
      </c>
      <c r="E283" s="13" t="s">
        <v>95</v>
      </c>
      <c r="F283" s="13" t="s">
        <v>50</v>
      </c>
      <c r="G283" s="13" t="s">
        <v>55</v>
      </c>
      <c r="H283" s="65">
        <v>42433</v>
      </c>
      <c r="I283" s="21">
        <f t="shared" ca="1" si="162"/>
        <v>45974</v>
      </c>
      <c r="J283" s="13" t="str">
        <f t="shared" ca="1" si="144"/>
        <v xml:space="preserve">9 Tahun 8 Bulan 9 Hari </v>
      </c>
      <c r="K283" s="13">
        <f t="shared" ca="1" si="163"/>
        <v>5099040</v>
      </c>
      <c r="L283" s="13">
        <v>897</v>
      </c>
      <c r="M283" s="13">
        <v>13</v>
      </c>
      <c r="N283" s="13">
        <v>6212</v>
      </c>
      <c r="O283" s="22">
        <f t="shared" si="145"/>
        <v>477.84615384615387</v>
      </c>
      <c r="P283" s="13">
        <v>479</v>
      </c>
      <c r="Q283" s="23">
        <f t="shared" si="146"/>
        <v>1</v>
      </c>
      <c r="R283" s="24">
        <f t="shared" si="147"/>
        <v>5</v>
      </c>
      <c r="S283" s="25">
        <f t="shared" si="161"/>
        <v>1.0024146812620733</v>
      </c>
      <c r="T283" s="25">
        <f t="shared" si="148"/>
        <v>0.20048293625241467</v>
      </c>
      <c r="U283" s="26">
        <v>20646.499585086978</v>
      </c>
      <c r="V283" s="26">
        <v>0</v>
      </c>
      <c r="W283" s="26">
        <v>0</v>
      </c>
      <c r="X283" s="27">
        <f t="shared" si="165"/>
        <v>0</v>
      </c>
      <c r="Y283" s="27">
        <f t="shared" si="166"/>
        <v>0</v>
      </c>
      <c r="Z283" s="27">
        <f t="shared" si="138"/>
        <v>0</v>
      </c>
      <c r="AA283" s="23">
        <f t="shared" ref="AA283:AA302" si="168">IF(AB283=3, 1.25, IF(AB283=2, 0.8, IF(AB283=1, 0.4, IF(AB283=0, 0, 0))))</f>
        <v>0</v>
      </c>
      <c r="AB283" s="24">
        <f t="shared" si="167"/>
        <v>0</v>
      </c>
      <c r="AC283" s="28">
        <f t="shared" si="149"/>
        <v>0</v>
      </c>
      <c r="AD283" s="29">
        <f t="shared" si="150"/>
        <v>0</v>
      </c>
      <c r="AE283" s="30">
        <v>8.1845997635280388E-2</v>
      </c>
      <c r="AF283" s="23">
        <f t="shared" si="151"/>
        <v>1</v>
      </c>
      <c r="AG283" s="24">
        <f t="shared" si="142"/>
        <v>4</v>
      </c>
      <c r="AH283" s="28">
        <f t="shared" si="152"/>
        <v>0.8</v>
      </c>
      <c r="AI283" s="29">
        <f t="shared" si="153"/>
        <v>0.2</v>
      </c>
      <c r="AJ283" s="31">
        <v>1</v>
      </c>
      <c r="AK283" s="31">
        <v>1</v>
      </c>
      <c r="AL283" s="31">
        <v>1</v>
      </c>
      <c r="AM283" s="31">
        <v>0</v>
      </c>
      <c r="AN283" s="31">
        <v>0</v>
      </c>
      <c r="AO283" s="31">
        <v>1</v>
      </c>
      <c r="AP283" s="31">
        <v>0</v>
      </c>
      <c r="AQ283" s="31">
        <v>0</v>
      </c>
      <c r="AR283" s="23">
        <f t="shared" si="154"/>
        <v>0.8</v>
      </c>
      <c r="AS283" s="24">
        <f t="shared" si="155"/>
        <v>4</v>
      </c>
      <c r="AT283" s="28">
        <f t="shared" si="156"/>
        <v>0.5</v>
      </c>
      <c r="AU283" s="28">
        <f t="shared" si="157"/>
        <v>7.4999999999999997E-2</v>
      </c>
      <c r="AV283" s="32">
        <v>75</v>
      </c>
      <c r="AW283" s="32">
        <v>75</v>
      </c>
      <c r="AX283" s="32">
        <v>90</v>
      </c>
      <c r="AY283" s="32">
        <v>80</v>
      </c>
      <c r="AZ283" s="32">
        <v>90</v>
      </c>
      <c r="BA283" s="32">
        <v>100</v>
      </c>
      <c r="BB283" s="23">
        <f t="shared" ca="1" si="158"/>
        <v>0.8</v>
      </c>
      <c r="BC283" s="33">
        <f t="shared" si="164"/>
        <v>85</v>
      </c>
      <c r="BD283" s="28">
        <f t="shared" si="159"/>
        <v>0.94117647058823528</v>
      </c>
      <c r="BE283" s="28">
        <f t="shared" si="160"/>
        <v>0.18823529411764706</v>
      </c>
      <c r="BF283" s="34">
        <f ca="1">Q283+AA283+AF283+AR283+BB283</f>
        <v>3.5999999999999996</v>
      </c>
      <c r="BG283" s="34">
        <f>AVERAGE(AV283:AZ283)</f>
        <v>82</v>
      </c>
      <c r="BH283" s="35">
        <f>T283+AD283+AI283+AU283+BE283</f>
        <v>0.66371823037006172</v>
      </c>
      <c r="BI283" s="36" t="str">
        <f ca="1">IF(K283&lt;365,"New CE",(IF(BH283&gt;=100%,"Promote",IF(BH283&gt;=90%,"Sangat Baik",IF(BH283&gt;=80%,"Baik",IF(BH283&gt;=70%,"Lebih Dari Cukup",IF(BH283&gt;=60%,"Cukup","Kurang")))))))</f>
        <v>Cukup</v>
      </c>
      <c r="BJ283" s="36" t="s">
        <v>860</v>
      </c>
      <c r="BK283" s="58" t="s">
        <v>42</v>
      </c>
      <c r="BL283" s="59" t="e">
        <v>#N/A</v>
      </c>
    </row>
    <row r="284" spans="1:64" x14ac:dyDescent="0.35">
      <c r="A284" s="19">
        <v>280</v>
      </c>
      <c r="B284" s="13" t="s">
        <v>686</v>
      </c>
      <c r="C284" s="20" t="s">
        <v>687</v>
      </c>
      <c r="D284" s="76" t="s">
        <v>48</v>
      </c>
      <c r="E284" s="13" t="s">
        <v>322</v>
      </c>
      <c r="F284" s="13" t="s">
        <v>74</v>
      </c>
      <c r="G284" s="13" t="s">
        <v>51</v>
      </c>
      <c r="H284" s="65">
        <v>44431</v>
      </c>
      <c r="I284" s="21">
        <f t="shared" ca="1" si="162"/>
        <v>45974</v>
      </c>
      <c r="J284" s="13" t="str">
        <f t="shared" ca="1" si="144"/>
        <v xml:space="preserve">4 Tahun 2 Bulan 21 Hari </v>
      </c>
      <c r="K284" s="13">
        <f t="shared" ca="1" si="163"/>
        <v>2221920</v>
      </c>
      <c r="L284" s="13">
        <v>109</v>
      </c>
      <c r="M284" s="13">
        <v>2</v>
      </c>
      <c r="N284" s="13">
        <v>853</v>
      </c>
      <c r="O284" s="22">
        <f t="shared" si="145"/>
        <v>426.5</v>
      </c>
      <c r="P284" s="13">
        <v>396</v>
      </c>
      <c r="Q284" s="23">
        <f t="shared" si="146"/>
        <v>0.8</v>
      </c>
      <c r="R284" s="24">
        <f t="shared" si="147"/>
        <v>4</v>
      </c>
      <c r="S284" s="25">
        <f t="shared" si="161"/>
        <v>0.92848769050410318</v>
      </c>
      <c r="T284" s="25">
        <f t="shared" si="148"/>
        <v>0.18569753810082065</v>
      </c>
      <c r="U284" s="26">
        <v>5048.920077932099</v>
      </c>
      <c r="V284" s="26">
        <v>11367.307054398147</v>
      </c>
      <c r="W284" s="26">
        <v>9085.5178796296314</v>
      </c>
      <c r="X284" s="27">
        <f t="shared" si="165"/>
        <v>0</v>
      </c>
      <c r="Y284" s="27">
        <f t="shared" si="166"/>
        <v>0</v>
      </c>
      <c r="Z284" s="27">
        <f t="shared" si="138"/>
        <v>1</v>
      </c>
      <c r="AA284" s="23">
        <f t="shared" si="168"/>
        <v>0.4</v>
      </c>
      <c r="AB284" s="24">
        <f t="shared" si="167"/>
        <v>1</v>
      </c>
      <c r="AC284" s="28">
        <f t="shared" si="149"/>
        <v>0.33333333333333331</v>
      </c>
      <c r="AD284" s="29">
        <f t="shared" si="150"/>
        <v>8.3333333333333329E-2</v>
      </c>
      <c r="AE284" s="30">
        <v>0.12130983886542486</v>
      </c>
      <c r="AF284" s="23">
        <f t="shared" si="151"/>
        <v>0.75</v>
      </c>
      <c r="AG284" s="24">
        <f t="shared" si="142"/>
        <v>3</v>
      </c>
      <c r="AH284" s="28">
        <f t="shared" si="152"/>
        <v>0.6</v>
      </c>
      <c r="AI284" s="29">
        <f t="shared" si="153"/>
        <v>0.15</v>
      </c>
      <c r="AJ284" s="31">
        <v>1</v>
      </c>
      <c r="AK284" s="31">
        <v>1</v>
      </c>
      <c r="AL284" s="31">
        <v>1</v>
      </c>
      <c r="AM284" s="31">
        <v>0</v>
      </c>
      <c r="AN284" s="31">
        <v>0</v>
      </c>
      <c r="AO284" s="31">
        <v>0</v>
      </c>
      <c r="AP284" s="31">
        <v>0</v>
      </c>
      <c r="AQ284" s="31">
        <v>0</v>
      </c>
      <c r="AR284" s="23">
        <f t="shared" si="154"/>
        <v>0.6</v>
      </c>
      <c r="AS284" s="24">
        <f t="shared" si="155"/>
        <v>3</v>
      </c>
      <c r="AT284" s="28">
        <f t="shared" si="156"/>
        <v>0.375</v>
      </c>
      <c r="AU284" s="28">
        <f t="shared" si="157"/>
        <v>5.6249999999999994E-2</v>
      </c>
      <c r="AV284" s="32">
        <v>75</v>
      </c>
      <c r="AW284" s="32">
        <v>75</v>
      </c>
      <c r="AX284" s="32">
        <v>80</v>
      </c>
      <c r="AY284" s="32">
        <v>85</v>
      </c>
      <c r="AZ284" s="32">
        <v>80</v>
      </c>
      <c r="BA284" s="32">
        <v>100</v>
      </c>
      <c r="BB284" s="23">
        <f t="shared" ca="1" si="158"/>
        <v>0.8</v>
      </c>
      <c r="BC284" s="33">
        <f t="shared" si="164"/>
        <v>82.5</v>
      </c>
      <c r="BD284" s="28">
        <f t="shared" si="159"/>
        <v>0.93939393939393945</v>
      </c>
      <c r="BE284" s="28">
        <f t="shared" si="160"/>
        <v>0.1878787878787879</v>
      </c>
      <c r="BF284" s="34">
        <f ca="1">Q284+AA284+AF284+AR284+BB284</f>
        <v>3.3500000000000005</v>
      </c>
      <c r="BG284" s="34">
        <f>AVERAGE(AV284:AZ284)</f>
        <v>79</v>
      </c>
      <c r="BH284" s="35">
        <f>T284+AD284+AI284+AU284+BE284</f>
        <v>0.66315965931294185</v>
      </c>
      <c r="BI284" s="36" t="str">
        <f ca="1">IF(K284&lt;365,"New CE",(IF(BH284&gt;=100%,"Promote",IF(BH284&gt;=90%,"Sangat Baik",IF(BH284&gt;=80%,"Baik",IF(BH284&gt;=70%,"Lebih Dari Cukup",IF(BH284&gt;=60%,"Cukup","Kurang")))))))</f>
        <v>Cukup</v>
      </c>
      <c r="BJ284" s="36" t="s">
        <v>860</v>
      </c>
      <c r="BK284" s="58" t="s">
        <v>48</v>
      </c>
      <c r="BL284" s="59" t="str">
        <v>Moh. Rosyid</v>
      </c>
    </row>
    <row r="285" spans="1:64" x14ac:dyDescent="0.35">
      <c r="A285" s="19">
        <v>281</v>
      </c>
      <c r="B285" s="13" t="s">
        <v>688</v>
      </c>
      <c r="C285" s="20" t="s">
        <v>689</v>
      </c>
      <c r="D285" s="76" t="s">
        <v>54</v>
      </c>
      <c r="E285" s="13" t="s">
        <v>205</v>
      </c>
      <c r="F285" s="13" t="s">
        <v>74</v>
      </c>
      <c r="G285" s="13" t="s">
        <v>61</v>
      </c>
      <c r="H285" s="65">
        <v>45131</v>
      </c>
      <c r="I285" s="21">
        <f t="shared" ca="1" si="162"/>
        <v>45974</v>
      </c>
      <c r="J285" s="13" t="str">
        <f t="shared" ca="1" si="144"/>
        <v xml:space="preserve">2 Tahun 3 Bulan 20 Hari </v>
      </c>
      <c r="K285" s="13">
        <f t="shared" ca="1" si="163"/>
        <v>1213920</v>
      </c>
      <c r="L285" s="13">
        <v>90</v>
      </c>
      <c r="M285" s="13">
        <v>2</v>
      </c>
      <c r="N285" s="13">
        <v>587</v>
      </c>
      <c r="O285" s="22">
        <f t="shared" si="145"/>
        <v>293.5</v>
      </c>
      <c r="P285" s="13">
        <v>223</v>
      </c>
      <c r="Q285" s="23">
        <f t="shared" si="146"/>
        <v>0.6</v>
      </c>
      <c r="R285" s="24">
        <f t="shared" si="147"/>
        <v>3</v>
      </c>
      <c r="S285" s="25">
        <f t="shared" si="161"/>
        <v>0.75979557069846682</v>
      </c>
      <c r="T285" s="25">
        <f t="shared" si="148"/>
        <v>0.15195911413969337</v>
      </c>
      <c r="U285" s="26">
        <v>1301.9880142195766</v>
      </c>
      <c r="V285" s="26">
        <v>7.1631944444444443E-2</v>
      </c>
      <c r="W285" s="26">
        <v>3.5482253086419752E-2</v>
      </c>
      <c r="X285" s="27">
        <f t="shared" si="165"/>
        <v>0</v>
      </c>
      <c r="Y285" s="27">
        <f t="shared" si="166"/>
        <v>1</v>
      </c>
      <c r="Z285" s="27">
        <f t="shared" si="138"/>
        <v>1</v>
      </c>
      <c r="AA285" s="23">
        <f t="shared" si="168"/>
        <v>0.8</v>
      </c>
      <c r="AB285" s="24">
        <f t="shared" si="167"/>
        <v>2</v>
      </c>
      <c r="AC285" s="28">
        <f t="shared" si="149"/>
        <v>0.66666666666666663</v>
      </c>
      <c r="AD285" s="29">
        <f t="shared" si="150"/>
        <v>0.16666666666666666</v>
      </c>
      <c r="AE285" s="30">
        <v>0.14116927083333336</v>
      </c>
      <c r="AF285" s="23">
        <f t="shared" si="151"/>
        <v>0.5</v>
      </c>
      <c r="AG285" s="24">
        <f t="shared" ref="AG285:AG315" si="169">IF(AE285="",0,IF(AE285&lt;=TIME(1,0,0),5,IF(AE285&lt;=TIME(2,0,0),4,IF(AE285&lt;=TIME(3,0,0),3,IF(AE285&lt;=TIME(4,0,0),2,IF(AE285&lt;TIME(8,0,0),1,0))))))</f>
        <v>2</v>
      </c>
      <c r="AH285" s="28">
        <f t="shared" si="152"/>
        <v>0.4</v>
      </c>
      <c r="AI285" s="29">
        <f t="shared" si="153"/>
        <v>0.1</v>
      </c>
      <c r="AJ285" s="31">
        <v>1</v>
      </c>
      <c r="AK285" s="31">
        <v>1</v>
      </c>
      <c r="AL285" s="31">
        <v>1</v>
      </c>
      <c r="AM285" s="31">
        <v>0</v>
      </c>
      <c r="AN285" s="31">
        <v>0</v>
      </c>
      <c r="AO285" s="31">
        <v>0</v>
      </c>
      <c r="AP285" s="31">
        <v>0</v>
      </c>
      <c r="AQ285" s="31">
        <v>0</v>
      </c>
      <c r="AR285" s="23">
        <f t="shared" si="154"/>
        <v>0.6</v>
      </c>
      <c r="AS285" s="24">
        <f t="shared" si="155"/>
        <v>3</v>
      </c>
      <c r="AT285" s="28">
        <f t="shared" si="156"/>
        <v>0.375</v>
      </c>
      <c r="AU285" s="28">
        <f t="shared" si="157"/>
        <v>5.6249999999999994E-2</v>
      </c>
      <c r="AV285" s="32">
        <v>75</v>
      </c>
      <c r="AW285" s="32">
        <v>75</v>
      </c>
      <c r="AX285" s="32">
        <v>85</v>
      </c>
      <c r="AY285" s="32">
        <v>85</v>
      </c>
      <c r="AZ285" s="32">
        <v>85</v>
      </c>
      <c r="BA285" s="32">
        <v>100</v>
      </c>
      <c r="BB285" s="23">
        <f t="shared" ca="1" si="158"/>
        <v>0.8</v>
      </c>
      <c r="BC285" s="33">
        <f t="shared" si="164"/>
        <v>84.166666666666671</v>
      </c>
      <c r="BD285" s="28">
        <f t="shared" si="159"/>
        <v>0.94059405940594054</v>
      </c>
      <c r="BE285" s="28">
        <f t="shared" si="160"/>
        <v>0.18811881188118812</v>
      </c>
      <c r="BF285" s="34">
        <f ca="1">Q285+AA285+AF285+AR285+BB285</f>
        <v>3.3</v>
      </c>
      <c r="BG285" s="34">
        <f>AVERAGE(AV285:AZ285)</f>
        <v>81</v>
      </c>
      <c r="BH285" s="35">
        <f>T285+AD285+AI285+AU285+BE285</f>
        <v>0.66299459268754823</v>
      </c>
      <c r="BI285" s="36" t="str">
        <f ca="1">IF(K285&lt;365,"New CE",(IF(BH285&gt;=100%,"Promote",IF(BH285&gt;=90%,"Sangat Baik",IF(BH285&gt;=80%,"Baik",IF(BH285&gt;=70%,"Lebih Dari Cukup",IF(BH285&gt;=60%,"Cukup","Kurang")))))))</f>
        <v>Cukup</v>
      </c>
      <c r="BJ285" s="36" t="s">
        <v>860</v>
      </c>
      <c r="BK285" s="58" t="s">
        <v>54</v>
      </c>
      <c r="BL285" s="59" t="str">
        <v>Muhammad Gusti Agung</v>
      </c>
    </row>
    <row r="286" spans="1:64" x14ac:dyDescent="0.35">
      <c r="A286" s="19">
        <v>282</v>
      </c>
      <c r="B286" s="13" t="s">
        <v>690</v>
      </c>
      <c r="C286" s="20" t="s">
        <v>691</v>
      </c>
      <c r="D286" s="76" t="s">
        <v>48</v>
      </c>
      <c r="E286" s="13" t="s">
        <v>133</v>
      </c>
      <c r="F286" s="13" t="s">
        <v>50</v>
      </c>
      <c r="G286" s="13" t="s">
        <v>45</v>
      </c>
      <c r="H286" s="65">
        <v>44410</v>
      </c>
      <c r="I286" s="21">
        <f t="shared" ca="1" si="162"/>
        <v>45974</v>
      </c>
      <c r="J286" s="13" t="str">
        <f t="shared" ca="1" si="144"/>
        <v xml:space="preserve">4 Tahun 3 Bulan 11 Hari </v>
      </c>
      <c r="K286" s="13">
        <f t="shared" ca="1" si="163"/>
        <v>2252160</v>
      </c>
      <c r="L286" s="13">
        <v>760</v>
      </c>
      <c r="M286" s="13">
        <v>13</v>
      </c>
      <c r="N286" s="13">
        <v>5863</v>
      </c>
      <c r="O286" s="22">
        <f t="shared" si="145"/>
        <v>451</v>
      </c>
      <c r="P286" s="13">
        <v>375</v>
      </c>
      <c r="Q286" s="23">
        <f t="shared" si="146"/>
        <v>0.8</v>
      </c>
      <c r="R286" s="24">
        <f t="shared" si="147"/>
        <v>4</v>
      </c>
      <c r="S286" s="25">
        <f t="shared" si="161"/>
        <v>0.83148558758314861</v>
      </c>
      <c r="T286" s="25">
        <f t="shared" si="148"/>
        <v>0.16629711751662973</v>
      </c>
      <c r="U286" s="26">
        <v>4687.5204994749911</v>
      </c>
      <c r="V286" s="26">
        <v>0</v>
      </c>
      <c r="W286" s="26">
        <v>0</v>
      </c>
      <c r="X286" s="27">
        <f t="shared" si="165"/>
        <v>0</v>
      </c>
      <c r="Y286" s="27">
        <f t="shared" si="166"/>
        <v>0</v>
      </c>
      <c r="Z286" s="27">
        <f t="shared" ref="Z286:Z349" si="170">IF(W286=TIME(0,0,0),0, IF(W286&gt;=TIME(24,0,0), 1, 0))</f>
        <v>0</v>
      </c>
      <c r="AA286" s="23">
        <f t="shared" si="168"/>
        <v>0</v>
      </c>
      <c r="AB286" s="24">
        <f t="shared" si="167"/>
        <v>0</v>
      </c>
      <c r="AC286" s="28">
        <f t="shared" si="149"/>
        <v>0</v>
      </c>
      <c r="AD286" s="29">
        <f t="shared" si="150"/>
        <v>0</v>
      </c>
      <c r="AE286" s="30">
        <v>2.852815368062344E-2</v>
      </c>
      <c r="AF286" s="23">
        <f t="shared" si="151"/>
        <v>1.25</v>
      </c>
      <c r="AG286" s="24">
        <f t="shared" si="169"/>
        <v>5</v>
      </c>
      <c r="AH286" s="28">
        <f t="shared" si="152"/>
        <v>1</v>
      </c>
      <c r="AI286" s="29">
        <f t="shared" si="153"/>
        <v>0.25</v>
      </c>
      <c r="AJ286" s="31">
        <v>1</v>
      </c>
      <c r="AK286" s="31">
        <v>1</v>
      </c>
      <c r="AL286" s="31">
        <v>1</v>
      </c>
      <c r="AM286" s="31">
        <v>0</v>
      </c>
      <c r="AN286" s="31">
        <v>0</v>
      </c>
      <c r="AO286" s="31">
        <v>0</v>
      </c>
      <c r="AP286" s="31">
        <v>0</v>
      </c>
      <c r="AQ286" s="31">
        <v>0</v>
      </c>
      <c r="AR286" s="23">
        <f t="shared" si="154"/>
        <v>0.6</v>
      </c>
      <c r="AS286" s="24">
        <f t="shared" si="155"/>
        <v>3</v>
      </c>
      <c r="AT286" s="28">
        <f t="shared" si="156"/>
        <v>0.375</v>
      </c>
      <c r="AU286" s="28">
        <f t="shared" si="157"/>
        <v>5.6249999999999994E-2</v>
      </c>
      <c r="AV286" s="32">
        <v>75</v>
      </c>
      <c r="AW286" s="32">
        <v>75</v>
      </c>
      <c r="AX286" s="32">
        <v>90</v>
      </c>
      <c r="AY286" s="32">
        <v>90</v>
      </c>
      <c r="AZ286" s="32">
        <v>80</v>
      </c>
      <c r="BA286" s="32">
        <v>100</v>
      </c>
      <c r="BB286" s="23">
        <f t="shared" ca="1" si="158"/>
        <v>0.8</v>
      </c>
      <c r="BC286" s="33">
        <f t="shared" si="164"/>
        <v>85</v>
      </c>
      <c r="BD286" s="28">
        <f t="shared" si="159"/>
        <v>0.94117647058823528</v>
      </c>
      <c r="BE286" s="28">
        <f t="shared" si="160"/>
        <v>0.18823529411764706</v>
      </c>
      <c r="BF286" s="34">
        <f ca="1">Q286+AA286+AF286+AR286+BB286</f>
        <v>3.45</v>
      </c>
      <c r="BG286" s="34">
        <f>AVERAGE(AV286:AZ286)</f>
        <v>82</v>
      </c>
      <c r="BH286" s="35">
        <f>T286+AD286+AI286+AU286+BE286</f>
        <v>0.66078241163427676</v>
      </c>
      <c r="BI286" s="36" t="str">
        <f ca="1">IF(K286&lt;365,"New CE",(IF(BH286&gt;=100%,"Promote",IF(BH286&gt;=90%,"Sangat Baik",IF(BH286&gt;=80%,"Baik",IF(BH286&gt;=70%,"Lebih Dari Cukup",IF(BH286&gt;=60%,"Cukup","Kurang")))))))</f>
        <v>Cukup</v>
      </c>
      <c r="BJ286" s="36" t="s">
        <v>860</v>
      </c>
      <c r="BK286" s="58" t="s">
        <v>48</v>
      </c>
      <c r="BL286" s="59" t="e">
        <v>#N/A</v>
      </c>
    </row>
    <row r="287" spans="1:64" x14ac:dyDescent="0.35">
      <c r="A287" s="19">
        <v>283</v>
      </c>
      <c r="B287" s="13" t="s">
        <v>692</v>
      </c>
      <c r="C287" s="20" t="s">
        <v>693</v>
      </c>
      <c r="D287" s="76" t="s">
        <v>54</v>
      </c>
      <c r="E287" s="13" t="s">
        <v>192</v>
      </c>
      <c r="F287" s="13" t="s">
        <v>50</v>
      </c>
      <c r="G287" s="13" t="s">
        <v>55</v>
      </c>
      <c r="H287" s="65">
        <v>45306</v>
      </c>
      <c r="I287" s="21">
        <f t="shared" ca="1" si="162"/>
        <v>45974</v>
      </c>
      <c r="J287" s="13" t="str">
        <f t="shared" ca="1" si="144"/>
        <v xml:space="preserve">1 Tahun 9 Bulan 29 Hari </v>
      </c>
      <c r="K287" s="13">
        <f t="shared" ca="1" si="163"/>
        <v>961920</v>
      </c>
      <c r="L287" s="13">
        <v>510</v>
      </c>
      <c r="M287" s="13">
        <v>9</v>
      </c>
      <c r="N287" s="13">
        <v>3962</v>
      </c>
      <c r="O287" s="22">
        <f t="shared" si="145"/>
        <v>440.22222222222223</v>
      </c>
      <c r="P287" s="13">
        <v>290</v>
      </c>
      <c r="Q287" s="23">
        <f t="shared" si="146"/>
        <v>0.6</v>
      </c>
      <c r="R287" s="24">
        <f t="shared" si="147"/>
        <v>3</v>
      </c>
      <c r="S287" s="25">
        <f t="shared" si="161"/>
        <v>0.65875820292781417</v>
      </c>
      <c r="T287" s="25">
        <f t="shared" si="148"/>
        <v>0.13175164058556285</v>
      </c>
      <c r="U287" s="26">
        <v>1.7183320473251024E-2</v>
      </c>
      <c r="V287" s="26">
        <v>0</v>
      </c>
      <c r="W287" s="26">
        <v>0</v>
      </c>
      <c r="X287" s="27">
        <f t="shared" si="165"/>
        <v>1</v>
      </c>
      <c r="Y287" s="27">
        <f t="shared" si="166"/>
        <v>0</v>
      </c>
      <c r="Z287" s="27">
        <f t="shared" si="170"/>
        <v>0</v>
      </c>
      <c r="AA287" s="23">
        <f t="shared" si="168"/>
        <v>0.4</v>
      </c>
      <c r="AB287" s="24">
        <f t="shared" si="167"/>
        <v>1</v>
      </c>
      <c r="AC287" s="28">
        <f t="shared" si="149"/>
        <v>0.33333333333333331</v>
      </c>
      <c r="AD287" s="29">
        <f t="shared" si="150"/>
        <v>8.3333333333333329E-2</v>
      </c>
      <c r="AE287" s="30">
        <v>6.6591811801881257E-2</v>
      </c>
      <c r="AF287" s="23">
        <f t="shared" si="151"/>
        <v>1</v>
      </c>
      <c r="AG287" s="24">
        <f t="shared" si="169"/>
        <v>4</v>
      </c>
      <c r="AH287" s="28">
        <f t="shared" si="152"/>
        <v>0.8</v>
      </c>
      <c r="AI287" s="29">
        <f t="shared" si="153"/>
        <v>0.2</v>
      </c>
      <c r="AJ287" s="31">
        <v>1</v>
      </c>
      <c r="AK287" s="31">
        <v>1</v>
      </c>
      <c r="AL287" s="31">
        <v>1</v>
      </c>
      <c r="AM287" s="31">
        <v>0</v>
      </c>
      <c r="AN287" s="31">
        <v>0</v>
      </c>
      <c r="AO287" s="31">
        <v>0</v>
      </c>
      <c r="AP287" s="31">
        <v>0</v>
      </c>
      <c r="AQ287" s="31">
        <v>0</v>
      </c>
      <c r="AR287" s="23">
        <f t="shared" si="154"/>
        <v>0.6</v>
      </c>
      <c r="AS287" s="24">
        <f t="shared" si="155"/>
        <v>3</v>
      </c>
      <c r="AT287" s="28">
        <f t="shared" si="156"/>
        <v>0.375</v>
      </c>
      <c r="AU287" s="28">
        <f t="shared" si="157"/>
        <v>5.6249999999999994E-2</v>
      </c>
      <c r="AV287" s="32">
        <v>75</v>
      </c>
      <c r="AW287" s="32">
        <v>75</v>
      </c>
      <c r="AX287" s="32">
        <v>90</v>
      </c>
      <c r="AY287" s="32">
        <v>85</v>
      </c>
      <c r="AZ287" s="32">
        <v>80</v>
      </c>
      <c r="BA287" s="32">
        <v>100</v>
      </c>
      <c r="BB287" s="23">
        <f t="shared" ca="1" si="158"/>
        <v>0.8</v>
      </c>
      <c r="BC287" s="33">
        <f t="shared" si="164"/>
        <v>84.166666666666671</v>
      </c>
      <c r="BD287" s="28">
        <f t="shared" si="159"/>
        <v>0.94059405940594054</v>
      </c>
      <c r="BE287" s="28">
        <f t="shared" si="160"/>
        <v>0.18811881188118812</v>
      </c>
      <c r="BF287" s="34">
        <f ca="1">Q287+AA287+AF287+AR287+BB287</f>
        <v>3.4000000000000004</v>
      </c>
      <c r="BG287" s="34">
        <f>AVERAGE(AV287:AZ287)</f>
        <v>81</v>
      </c>
      <c r="BH287" s="35">
        <f>T287+AD287+AI287+AU287+BE287</f>
        <v>0.6594537858000844</v>
      </c>
      <c r="BI287" s="36" t="str">
        <f ca="1">IF(K287&lt;365,"New CE",(IF(BH287&gt;=100%,"Promote",IF(BH287&gt;=90%,"Sangat Baik",IF(BH287&gt;=80%,"Baik",IF(BH287&gt;=70%,"Lebih Dari Cukup",IF(BH287&gt;=60%,"Cukup","Kurang")))))))</f>
        <v>Cukup</v>
      </c>
      <c r="BJ287" s="36" t="s">
        <v>860</v>
      </c>
      <c r="BK287" s="58" t="s">
        <v>54</v>
      </c>
      <c r="BL287" s="59" t="e">
        <v>#N/A</v>
      </c>
    </row>
    <row r="288" spans="1:64" x14ac:dyDescent="0.35">
      <c r="A288" s="19">
        <v>284</v>
      </c>
      <c r="B288" s="13" t="s">
        <v>694</v>
      </c>
      <c r="C288" s="20" t="s">
        <v>695</v>
      </c>
      <c r="D288" s="76" t="s">
        <v>54</v>
      </c>
      <c r="E288" s="13" t="s">
        <v>95</v>
      </c>
      <c r="F288" s="13" t="s">
        <v>50</v>
      </c>
      <c r="G288" s="13" t="s">
        <v>55</v>
      </c>
      <c r="H288" s="65">
        <v>44882</v>
      </c>
      <c r="I288" s="21">
        <f t="shared" ca="1" si="162"/>
        <v>45974</v>
      </c>
      <c r="J288" s="13" t="str">
        <f t="shared" ca="1" si="144"/>
        <v xml:space="preserve">2 Tahun 11 Bulan 27 Hari </v>
      </c>
      <c r="K288" s="13">
        <f t="shared" ca="1" si="163"/>
        <v>1572480</v>
      </c>
      <c r="L288" s="13">
        <v>897</v>
      </c>
      <c r="M288" s="13">
        <v>13</v>
      </c>
      <c r="N288" s="13">
        <v>6212</v>
      </c>
      <c r="O288" s="22">
        <f t="shared" si="145"/>
        <v>477.84615384615387</v>
      </c>
      <c r="P288" s="13">
        <v>505</v>
      </c>
      <c r="Q288" s="23">
        <f t="shared" si="146"/>
        <v>1</v>
      </c>
      <c r="R288" s="24">
        <f t="shared" si="147"/>
        <v>5</v>
      </c>
      <c r="S288" s="25">
        <f t="shared" si="161"/>
        <v>1.0568254990341275</v>
      </c>
      <c r="T288" s="25">
        <f t="shared" si="148"/>
        <v>0.2113650998068255</v>
      </c>
      <c r="U288" s="26">
        <v>1904.7727577052563</v>
      </c>
      <c r="V288" s="26">
        <v>11334.02841724537</v>
      </c>
      <c r="W288" s="26">
        <v>0</v>
      </c>
      <c r="X288" s="27">
        <f t="shared" si="165"/>
        <v>0</v>
      </c>
      <c r="Y288" s="27">
        <f t="shared" si="166"/>
        <v>0</v>
      </c>
      <c r="Z288" s="27">
        <f t="shared" si="170"/>
        <v>0</v>
      </c>
      <c r="AA288" s="23">
        <f t="shared" si="168"/>
        <v>0</v>
      </c>
      <c r="AB288" s="24">
        <f t="shared" si="167"/>
        <v>0</v>
      </c>
      <c r="AC288" s="28">
        <f t="shared" si="149"/>
        <v>0</v>
      </c>
      <c r="AD288" s="29">
        <f t="shared" si="150"/>
        <v>0</v>
      </c>
      <c r="AE288" s="30">
        <v>6.6928203997648456E-2</v>
      </c>
      <c r="AF288" s="23">
        <f t="shared" si="151"/>
        <v>1</v>
      </c>
      <c r="AG288" s="24">
        <f t="shared" si="169"/>
        <v>4</v>
      </c>
      <c r="AH288" s="28">
        <f t="shared" si="152"/>
        <v>0.8</v>
      </c>
      <c r="AI288" s="29">
        <f t="shared" si="153"/>
        <v>0.2</v>
      </c>
      <c r="AJ288" s="31">
        <v>1</v>
      </c>
      <c r="AK288" s="31">
        <v>1</v>
      </c>
      <c r="AL288" s="31">
        <v>1</v>
      </c>
      <c r="AM288" s="31">
        <v>0</v>
      </c>
      <c r="AN288" s="31">
        <v>0</v>
      </c>
      <c r="AO288" s="31">
        <v>0</v>
      </c>
      <c r="AP288" s="31">
        <v>0</v>
      </c>
      <c r="AQ288" s="31">
        <v>0</v>
      </c>
      <c r="AR288" s="23">
        <f t="shared" si="154"/>
        <v>0.6</v>
      </c>
      <c r="AS288" s="24">
        <f t="shared" si="155"/>
        <v>3</v>
      </c>
      <c r="AT288" s="28">
        <f t="shared" si="156"/>
        <v>0.375</v>
      </c>
      <c r="AU288" s="28">
        <f t="shared" si="157"/>
        <v>5.6249999999999994E-2</v>
      </c>
      <c r="AV288" s="32">
        <v>75</v>
      </c>
      <c r="AW288" s="32">
        <v>75</v>
      </c>
      <c r="AX288" s="32">
        <v>90</v>
      </c>
      <c r="AY288" s="32">
        <v>85</v>
      </c>
      <c r="AZ288" s="32">
        <v>80</v>
      </c>
      <c r="BA288" s="32">
        <v>100</v>
      </c>
      <c r="BB288" s="23">
        <f t="shared" ca="1" si="158"/>
        <v>0.8</v>
      </c>
      <c r="BC288" s="33">
        <f t="shared" si="164"/>
        <v>84.166666666666671</v>
      </c>
      <c r="BD288" s="28">
        <f t="shared" si="159"/>
        <v>0.94059405940594054</v>
      </c>
      <c r="BE288" s="28">
        <f t="shared" si="160"/>
        <v>0.18811881188118812</v>
      </c>
      <c r="BF288" s="34">
        <f ca="1">Q288+AA288+AF288+AR288+BB288</f>
        <v>3.4000000000000004</v>
      </c>
      <c r="BG288" s="34">
        <f>AVERAGE(AV288:AZ288)</f>
        <v>81</v>
      </c>
      <c r="BH288" s="35">
        <f>T288+AD288+AI288+AU288+BE288</f>
        <v>0.65573391168801365</v>
      </c>
      <c r="BI288" s="36" t="str">
        <f ca="1">IF(K288&lt;365,"New CE",(IF(BH288&gt;=100%,"Promote",IF(BH288&gt;=90%,"Sangat Baik",IF(BH288&gt;=80%,"Baik",IF(BH288&gt;=70%,"Lebih Dari Cukup",IF(BH288&gt;=60%,"Cukup","Kurang")))))))</f>
        <v>Cukup</v>
      </c>
      <c r="BJ288" s="36" t="s">
        <v>860</v>
      </c>
      <c r="BK288" s="58" t="s">
        <v>54</v>
      </c>
      <c r="BL288" s="59" t="e">
        <v>#N/A</v>
      </c>
    </row>
    <row r="289" spans="1:64" x14ac:dyDescent="0.35">
      <c r="A289" s="19">
        <v>285</v>
      </c>
      <c r="B289" s="13" t="s">
        <v>696</v>
      </c>
      <c r="C289" s="20" t="s">
        <v>697</v>
      </c>
      <c r="D289" s="76" t="s">
        <v>54</v>
      </c>
      <c r="E289" s="13" t="s">
        <v>654</v>
      </c>
      <c r="F289" s="13" t="s">
        <v>44</v>
      </c>
      <c r="G289" s="13" t="s">
        <v>61</v>
      </c>
      <c r="H289" s="65">
        <v>45075</v>
      </c>
      <c r="I289" s="21">
        <f t="shared" ca="1" si="162"/>
        <v>45974</v>
      </c>
      <c r="J289" s="13" t="str">
        <f t="shared" ca="1" si="144"/>
        <v xml:space="preserve">2 Tahun 5 Bulan 15 Hari </v>
      </c>
      <c r="K289" s="13">
        <f t="shared" ca="1" si="163"/>
        <v>1294560</v>
      </c>
      <c r="L289" s="13">
        <v>329</v>
      </c>
      <c r="M289" s="13">
        <v>6</v>
      </c>
      <c r="N289" s="13">
        <v>2587</v>
      </c>
      <c r="O289" s="22">
        <f t="shared" si="145"/>
        <v>431.16666666666669</v>
      </c>
      <c r="P289" s="13">
        <v>487</v>
      </c>
      <c r="Q289" s="23">
        <f t="shared" si="146"/>
        <v>1</v>
      </c>
      <c r="R289" s="24">
        <f t="shared" si="147"/>
        <v>5</v>
      </c>
      <c r="S289" s="25">
        <f t="shared" si="161"/>
        <v>1.1294936219559335</v>
      </c>
      <c r="T289" s="25">
        <f t="shared" si="148"/>
        <v>0.22589872439118672</v>
      </c>
      <c r="U289" s="26">
        <v>10805.204481802351</v>
      </c>
      <c r="V289" s="26">
        <v>9097.5864768518513</v>
      </c>
      <c r="W289" s="26">
        <v>0</v>
      </c>
      <c r="X289" s="27">
        <f t="shared" si="165"/>
        <v>0</v>
      </c>
      <c r="Y289" s="27">
        <f t="shared" si="166"/>
        <v>0</v>
      </c>
      <c r="Z289" s="27">
        <f t="shared" si="170"/>
        <v>0</v>
      </c>
      <c r="AA289" s="23">
        <f t="shared" si="168"/>
        <v>0</v>
      </c>
      <c r="AB289" s="24">
        <f t="shared" si="167"/>
        <v>0</v>
      </c>
      <c r="AC289" s="28">
        <f t="shared" si="149"/>
        <v>0</v>
      </c>
      <c r="AD289" s="29">
        <f t="shared" si="150"/>
        <v>0</v>
      </c>
      <c r="AE289" s="30">
        <v>7.4560294460471466E-2</v>
      </c>
      <c r="AF289" s="23">
        <f t="shared" si="151"/>
        <v>1</v>
      </c>
      <c r="AG289" s="24">
        <f t="shared" si="169"/>
        <v>4</v>
      </c>
      <c r="AH289" s="28">
        <f t="shared" si="152"/>
        <v>0.8</v>
      </c>
      <c r="AI289" s="29">
        <f t="shared" si="153"/>
        <v>0.2</v>
      </c>
      <c r="AJ289" s="31">
        <v>1</v>
      </c>
      <c r="AK289" s="31">
        <v>1</v>
      </c>
      <c r="AL289" s="31">
        <v>0</v>
      </c>
      <c r="AM289" s="31">
        <v>0</v>
      </c>
      <c r="AN289" s="31">
        <v>0</v>
      </c>
      <c r="AO289" s="31">
        <v>0</v>
      </c>
      <c r="AP289" s="31">
        <v>0</v>
      </c>
      <c r="AQ289" s="31">
        <v>0</v>
      </c>
      <c r="AR289" s="23">
        <f t="shared" si="154"/>
        <v>0.4</v>
      </c>
      <c r="AS289" s="24">
        <f t="shared" si="155"/>
        <v>2</v>
      </c>
      <c r="AT289" s="28">
        <f t="shared" si="156"/>
        <v>0.25</v>
      </c>
      <c r="AU289" s="28">
        <f t="shared" si="157"/>
        <v>3.7499999999999999E-2</v>
      </c>
      <c r="AV289" s="32">
        <v>75</v>
      </c>
      <c r="AW289" s="32">
        <v>75</v>
      </c>
      <c r="AX289" s="32">
        <v>80</v>
      </c>
      <c r="AY289" s="32">
        <v>80</v>
      </c>
      <c r="AZ289" s="32">
        <v>80</v>
      </c>
      <c r="BA289" s="32">
        <v>100</v>
      </c>
      <c r="BB289" s="23">
        <f t="shared" ca="1" si="158"/>
        <v>0.8</v>
      </c>
      <c r="BC289" s="33">
        <f t="shared" si="164"/>
        <v>81.666666666666671</v>
      </c>
      <c r="BD289" s="28">
        <f t="shared" si="159"/>
        <v>0.93877551020408168</v>
      </c>
      <c r="BE289" s="28">
        <f t="shared" si="160"/>
        <v>0.18775510204081636</v>
      </c>
      <c r="BF289" s="34">
        <f ca="1">Q289+AA289+AF289+AR289+BB289</f>
        <v>3.2</v>
      </c>
      <c r="BG289" s="34">
        <f>AVERAGE(AV289:AZ289)</f>
        <v>78</v>
      </c>
      <c r="BH289" s="35">
        <f>T289+AD289+AI289+AU289+BE289</f>
        <v>0.65115382643200304</v>
      </c>
      <c r="BI289" s="36" t="str">
        <f ca="1">IF(K289&lt;365,"New CE",(IF(BH289&gt;=100%,"Promote",IF(BH289&gt;=90%,"Sangat Baik",IF(BH289&gt;=80%,"Baik",IF(BH289&gt;=70%,"Lebih Dari Cukup",IF(BH289&gt;=60%,"Cukup","Kurang")))))))</f>
        <v>Cukup</v>
      </c>
      <c r="BJ289" s="36" t="s">
        <v>860</v>
      </c>
      <c r="BK289" s="58" t="s">
        <v>54</v>
      </c>
      <c r="BL289" s="59" t="e">
        <v>#N/A</v>
      </c>
    </row>
    <row r="290" spans="1:64" x14ac:dyDescent="0.35">
      <c r="A290" s="19">
        <v>286</v>
      </c>
      <c r="B290" s="13" t="s">
        <v>698</v>
      </c>
      <c r="C290" s="20" t="s">
        <v>699</v>
      </c>
      <c r="D290" s="76" t="s">
        <v>54</v>
      </c>
      <c r="E290" s="13" t="s">
        <v>49</v>
      </c>
      <c r="F290" s="13" t="s">
        <v>50</v>
      </c>
      <c r="G290" s="13" t="s">
        <v>51</v>
      </c>
      <c r="H290" s="65">
        <v>44641</v>
      </c>
      <c r="I290" s="21">
        <f t="shared" ca="1" si="162"/>
        <v>45974</v>
      </c>
      <c r="J290" s="13" t="str">
        <f t="shared" ca="1" si="144"/>
        <v xml:space="preserve">3 Tahun 7 Bulan 23 Hari </v>
      </c>
      <c r="K290" s="13">
        <f t="shared" ca="1" si="163"/>
        <v>1919520</v>
      </c>
      <c r="L290" s="13">
        <v>893</v>
      </c>
      <c r="M290" s="13">
        <v>14</v>
      </c>
      <c r="N290" s="13">
        <v>6172</v>
      </c>
      <c r="O290" s="22">
        <f t="shared" si="145"/>
        <v>440.85714285714283</v>
      </c>
      <c r="P290" s="13">
        <v>415</v>
      </c>
      <c r="Q290" s="23">
        <f t="shared" si="146"/>
        <v>0.8</v>
      </c>
      <c r="R290" s="24">
        <f t="shared" si="147"/>
        <v>4</v>
      </c>
      <c r="S290" s="25">
        <f t="shared" si="161"/>
        <v>0.94134802333117307</v>
      </c>
      <c r="T290" s="25">
        <f t="shared" si="148"/>
        <v>0.18826960466623463</v>
      </c>
      <c r="U290" s="26">
        <v>590.72901169432407</v>
      </c>
      <c r="V290" s="26">
        <v>0</v>
      </c>
      <c r="W290" s="26">
        <v>0</v>
      </c>
      <c r="X290" s="27">
        <f t="shared" si="165"/>
        <v>0</v>
      </c>
      <c r="Y290" s="27">
        <f t="shared" si="166"/>
        <v>0</v>
      </c>
      <c r="Z290" s="27">
        <f t="shared" si="170"/>
        <v>0</v>
      </c>
      <c r="AA290" s="23">
        <f t="shared" si="168"/>
        <v>0</v>
      </c>
      <c r="AB290" s="24">
        <f t="shared" si="167"/>
        <v>0</v>
      </c>
      <c r="AC290" s="28">
        <f t="shared" si="149"/>
        <v>0</v>
      </c>
      <c r="AD290" s="29">
        <f t="shared" si="150"/>
        <v>0</v>
      </c>
      <c r="AE290" s="30">
        <v>6.6673790708812256E-2</v>
      </c>
      <c r="AF290" s="23">
        <f t="shared" si="151"/>
        <v>1</v>
      </c>
      <c r="AG290" s="24">
        <f t="shared" si="169"/>
        <v>4</v>
      </c>
      <c r="AH290" s="28">
        <f t="shared" si="152"/>
        <v>0.8</v>
      </c>
      <c r="AI290" s="29">
        <f t="shared" si="153"/>
        <v>0.2</v>
      </c>
      <c r="AJ290" s="31">
        <v>1</v>
      </c>
      <c r="AK290" s="31">
        <v>1</v>
      </c>
      <c r="AL290" s="31">
        <v>1</v>
      </c>
      <c r="AM290" s="31">
        <v>1</v>
      </c>
      <c r="AN290" s="31">
        <v>0</v>
      </c>
      <c r="AO290" s="31">
        <v>0</v>
      </c>
      <c r="AP290" s="31">
        <v>0</v>
      </c>
      <c r="AQ290" s="31">
        <v>0</v>
      </c>
      <c r="AR290" s="23">
        <f t="shared" si="154"/>
        <v>0.8</v>
      </c>
      <c r="AS290" s="24">
        <f t="shared" si="155"/>
        <v>4</v>
      </c>
      <c r="AT290" s="28">
        <f t="shared" si="156"/>
        <v>0.5</v>
      </c>
      <c r="AU290" s="28">
        <f t="shared" si="157"/>
        <v>7.4999999999999997E-2</v>
      </c>
      <c r="AV290" s="32">
        <v>75</v>
      </c>
      <c r="AW290" s="32">
        <v>75</v>
      </c>
      <c r="AX290" s="32">
        <v>90</v>
      </c>
      <c r="AY290" s="32">
        <v>85</v>
      </c>
      <c r="AZ290" s="32">
        <v>80</v>
      </c>
      <c r="BA290" s="32">
        <v>100</v>
      </c>
      <c r="BB290" s="23">
        <f t="shared" ca="1" si="158"/>
        <v>0.8</v>
      </c>
      <c r="BC290" s="33">
        <f t="shared" si="164"/>
        <v>84.166666666666671</v>
      </c>
      <c r="BD290" s="28">
        <f t="shared" si="159"/>
        <v>0.94059405940594054</v>
      </c>
      <c r="BE290" s="28">
        <f t="shared" si="160"/>
        <v>0.18811881188118812</v>
      </c>
      <c r="BF290" s="34">
        <f ca="1">Q290+AA290+AF290+AR290+BB290</f>
        <v>3.4000000000000004</v>
      </c>
      <c r="BG290" s="34">
        <f>AVERAGE(AV290:AZ290)</f>
        <v>81</v>
      </c>
      <c r="BH290" s="35">
        <f>T290+AD290+AI290+AU290+BE290</f>
        <v>0.65138841654742274</v>
      </c>
      <c r="BI290" s="36" t="str">
        <f ca="1">IF(K290&lt;365,"New CE",(IF(BH290&gt;=100%,"Promote",IF(BH290&gt;=90%,"Sangat Baik",IF(BH290&gt;=80%,"Baik",IF(BH290&gt;=70%,"Lebih Dari Cukup",IF(BH290&gt;=60%,"Cukup","Kurang")))))))</f>
        <v>Cukup</v>
      </c>
      <c r="BJ290" s="36" t="s">
        <v>860</v>
      </c>
      <c r="BK290" s="58" t="s">
        <v>54</v>
      </c>
      <c r="BL290" s="59" t="e">
        <v>#N/A</v>
      </c>
    </row>
    <row r="291" spans="1:64" x14ac:dyDescent="0.35">
      <c r="A291" s="19">
        <v>287</v>
      </c>
      <c r="B291" s="13" t="s">
        <v>700</v>
      </c>
      <c r="C291" s="20" t="s">
        <v>701</v>
      </c>
      <c r="D291" s="76" t="s">
        <v>48</v>
      </c>
      <c r="E291" s="13" t="s">
        <v>98</v>
      </c>
      <c r="F291" s="13" t="s">
        <v>50</v>
      </c>
      <c r="G291" s="13" t="s">
        <v>51</v>
      </c>
      <c r="H291" s="65">
        <v>44529</v>
      </c>
      <c r="I291" s="21">
        <f t="shared" ca="1" si="162"/>
        <v>45974</v>
      </c>
      <c r="J291" s="13" t="str">
        <f t="shared" ca="1" si="144"/>
        <v xml:space="preserve">3 Tahun 11 Bulan 15 Hari </v>
      </c>
      <c r="K291" s="13">
        <f t="shared" ca="1" si="163"/>
        <v>2080800</v>
      </c>
      <c r="L291" s="13">
        <v>1040</v>
      </c>
      <c r="M291" s="13">
        <v>17</v>
      </c>
      <c r="N291" s="13">
        <v>7455</v>
      </c>
      <c r="O291" s="22">
        <f t="shared" si="145"/>
        <v>438.52941176470586</v>
      </c>
      <c r="P291" s="13">
        <v>369</v>
      </c>
      <c r="Q291" s="23">
        <f t="shared" si="146"/>
        <v>0.8</v>
      </c>
      <c r="R291" s="24">
        <f t="shared" si="147"/>
        <v>4</v>
      </c>
      <c r="S291" s="25">
        <f t="shared" si="161"/>
        <v>0.84144869215291751</v>
      </c>
      <c r="T291" s="25">
        <f t="shared" si="148"/>
        <v>0.16828973843058351</v>
      </c>
      <c r="U291" s="26">
        <v>465.19653297430125</v>
      </c>
      <c r="V291" s="26">
        <v>0</v>
      </c>
      <c r="W291" s="26">
        <v>0</v>
      </c>
      <c r="X291" s="27">
        <f t="shared" si="165"/>
        <v>0</v>
      </c>
      <c r="Y291" s="27">
        <f t="shared" si="166"/>
        <v>0</v>
      </c>
      <c r="Z291" s="27">
        <f t="shared" si="170"/>
        <v>0</v>
      </c>
      <c r="AA291" s="23">
        <f t="shared" si="168"/>
        <v>0</v>
      </c>
      <c r="AB291" s="24">
        <f t="shared" si="167"/>
        <v>0</v>
      </c>
      <c r="AC291" s="28">
        <f t="shared" si="149"/>
        <v>0</v>
      </c>
      <c r="AD291" s="29">
        <f t="shared" si="150"/>
        <v>0</v>
      </c>
      <c r="AE291" s="30">
        <v>7.565023791152263E-2</v>
      </c>
      <c r="AF291" s="23">
        <f t="shared" si="151"/>
        <v>1</v>
      </c>
      <c r="AG291" s="24">
        <f t="shared" si="169"/>
        <v>4</v>
      </c>
      <c r="AH291" s="28">
        <f t="shared" si="152"/>
        <v>0.8</v>
      </c>
      <c r="AI291" s="29">
        <f t="shared" si="153"/>
        <v>0.2</v>
      </c>
      <c r="AJ291" s="31">
        <v>1</v>
      </c>
      <c r="AK291" s="31">
        <v>1</v>
      </c>
      <c r="AL291" s="31">
        <v>1</v>
      </c>
      <c r="AM291" s="31">
        <v>0</v>
      </c>
      <c r="AN291" s="31">
        <v>0</v>
      </c>
      <c r="AO291" s="31">
        <v>0</v>
      </c>
      <c r="AP291" s="31">
        <v>1</v>
      </c>
      <c r="AQ291" s="31">
        <v>1</v>
      </c>
      <c r="AR291" s="23">
        <f t="shared" si="154"/>
        <v>1</v>
      </c>
      <c r="AS291" s="24">
        <f t="shared" si="155"/>
        <v>5</v>
      </c>
      <c r="AT291" s="28">
        <f t="shared" si="156"/>
        <v>0.625</v>
      </c>
      <c r="AU291" s="28">
        <f t="shared" si="157"/>
        <v>9.375E-2</v>
      </c>
      <c r="AV291" s="32">
        <v>75</v>
      </c>
      <c r="AW291" s="32">
        <v>75</v>
      </c>
      <c r="AX291" s="32">
        <v>75</v>
      </c>
      <c r="AY291" s="32">
        <v>90</v>
      </c>
      <c r="AZ291" s="32">
        <v>75</v>
      </c>
      <c r="BA291" s="32">
        <v>100</v>
      </c>
      <c r="BB291" s="23">
        <f t="shared" ca="1" si="158"/>
        <v>0.8</v>
      </c>
      <c r="BC291" s="33">
        <f t="shared" si="164"/>
        <v>81.666666666666671</v>
      </c>
      <c r="BD291" s="28">
        <f t="shared" si="159"/>
        <v>0.93877551020408168</v>
      </c>
      <c r="BE291" s="28">
        <f t="shared" si="160"/>
        <v>0.18775510204081636</v>
      </c>
      <c r="BF291" s="34">
        <f ca="1">Q291+AA291+AF291+AR291+BB291</f>
        <v>3.5999999999999996</v>
      </c>
      <c r="BG291" s="34">
        <f>AVERAGE(AV291:AZ291)</f>
        <v>78</v>
      </c>
      <c r="BH291" s="35">
        <f>T291+AD291+AI291+AU291+BE291</f>
        <v>0.6497948404713999</v>
      </c>
      <c r="BI291" s="36" t="str">
        <f ca="1">IF(K291&lt;365,"New CE",(IF(BH291&gt;=100%,"Promote",IF(BH291&gt;=90%,"Sangat Baik",IF(BH291&gt;=80%,"Baik",IF(BH291&gt;=70%,"Lebih Dari Cukup",IF(BH291&gt;=60%,"Cukup","Kurang")))))))</f>
        <v>Cukup</v>
      </c>
      <c r="BJ291" s="36" t="s">
        <v>860</v>
      </c>
      <c r="BK291" s="58" t="s">
        <v>48</v>
      </c>
      <c r="BL291" s="59" t="e">
        <v>#N/A</v>
      </c>
    </row>
    <row r="292" spans="1:64" x14ac:dyDescent="0.35">
      <c r="A292" s="19">
        <v>288</v>
      </c>
      <c r="B292" s="13" t="s">
        <v>702</v>
      </c>
      <c r="C292" s="20" t="s">
        <v>703</v>
      </c>
      <c r="D292" s="76" t="s">
        <v>54</v>
      </c>
      <c r="E292" s="13" t="s">
        <v>49</v>
      </c>
      <c r="F292" s="13" t="s">
        <v>50</v>
      </c>
      <c r="G292" s="13" t="s">
        <v>61</v>
      </c>
      <c r="H292" s="65">
        <v>44966</v>
      </c>
      <c r="I292" s="21">
        <f t="shared" ca="1" si="162"/>
        <v>45974</v>
      </c>
      <c r="J292" s="13" t="str">
        <f t="shared" ca="1" si="144"/>
        <v xml:space="preserve">2 Tahun 9 Bulan 4 Hari </v>
      </c>
      <c r="K292" s="13">
        <f t="shared" ca="1" si="163"/>
        <v>1451520</v>
      </c>
      <c r="L292" s="13">
        <v>893</v>
      </c>
      <c r="M292" s="13">
        <v>14</v>
      </c>
      <c r="N292" s="13">
        <v>6172</v>
      </c>
      <c r="O292" s="22">
        <f t="shared" si="145"/>
        <v>440.85714285714283</v>
      </c>
      <c r="P292" s="13">
        <v>411</v>
      </c>
      <c r="Q292" s="23">
        <f t="shared" si="146"/>
        <v>0.8</v>
      </c>
      <c r="R292" s="24">
        <f t="shared" si="147"/>
        <v>4</v>
      </c>
      <c r="S292" s="25">
        <f t="shared" si="161"/>
        <v>0.93227478937135455</v>
      </c>
      <c r="T292" s="25">
        <f t="shared" si="148"/>
        <v>0.18645495787427091</v>
      </c>
      <c r="U292" s="26">
        <v>3298.6378665123461</v>
      </c>
      <c r="V292" s="26">
        <v>0</v>
      </c>
      <c r="W292" s="26">
        <v>0</v>
      </c>
      <c r="X292" s="27">
        <f t="shared" si="165"/>
        <v>0</v>
      </c>
      <c r="Y292" s="27">
        <f t="shared" si="166"/>
        <v>0</v>
      </c>
      <c r="Z292" s="27">
        <f t="shared" si="170"/>
        <v>0</v>
      </c>
      <c r="AA292" s="23">
        <f t="shared" si="168"/>
        <v>0</v>
      </c>
      <c r="AB292" s="24">
        <f t="shared" si="167"/>
        <v>0</v>
      </c>
      <c r="AC292" s="28">
        <f t="shared" si="149"/>
        <v>0</v>
      </c>
      <c r="AD292" s="29">
        <f t="shared" si="150"/>
        <v>0</v>
      </c>
      <c r="AE292" s="30">
        <v>4.1798068019943027E-2</v>
      </c>
      <c r="AF292" s="23">
        <f t="shared" si="151"/>
        <v>1</v>
      </c>
      <c r="AG292" s="24">
        <f t="shared" si="169"/>
        <v>4</v>
      </c>
      <c r="AH292" s="28">
        <f t="shared" si="152"/>
        <v>0.8</v>
      </c>
      <c r="AI292" s="29">
        <f t="shared" si="153"/>
        <v>0.2</v>
      </c>
      <c r="AJ292" s="31">
        <v>1</v>
      </c>
      <c r="AK292" s="31">
        <v>1</v>
      </c>
      <c r="AL292" s="31">
        <v>1</v>
      </c>
      <c r="AM292" s="31">
        <v>0</v>
      </c>
      <c r="AN292" s="31">
        <v>0</v>
      </c>
      <c r="AO292" s="31">
        <v>1</v>
      </c>
      <c r="AP292" s="31">
        <v>0</v>
      </c>
      <c r="AQ292" s="31">
        <v>0</v>
      </c>
      <c r="AR292" s="23">
        <f t="shared" si="154"/>
        <v>0.8</v>
      </c>
      <c r="AS292" s="24">
        <f t="shared" si="155"/>
        <v>4</v>
      </c>
      <c r="AT292" s="28">
        <f t="shared" si="156"/>
        <v>0.5</v>
      </c>
      <c r="AU292" s="28">
        <f t="shared" si="157"/>
        <v>7.4999999999999997E-2</v>
      </c>
      <c r="AV292" s="32">
        <v>75</v>
      </c>
      <c r="AW292" s="32">
        <v>75</v>
      </c>
      <c r="AX292" s="32">
        <v>90</v>
      </c>
      <c r="AY292" s="32">
        <v>75</v>
      </c>
      <c r="AZ292" s="32">
        <v>80</v>
      </c>
      <c r="BA292" s="32">
        <v>100</v>
      </c>
      <c r="BB292" s="23">
        <f t="shared" ca="1" si="158"/>
        <v>0.8</v>
      </c>
      <c r="BC292" s="33">
        <f t="shared" si="164"/>
        <v>82.5</v>
      </c>
      <c r="BD292" s="28">
        <f t="shared" si="159"/>
        <v>0.93939393939393945</v>
      </c>
      <c r="BE292" s="28">
        <f t="shared" si="160"/>
        <v>0.1878787878787879</v>
      </c>
      <c r="BF292" s="34">
        <f ca="1">Q292+AA292+AF292+AR292+BB292</f>
        <v>3.4000000000000004</v>
      </c>
      <c r="BG292" s="34">
        <f>AVERAGE(AV292:AZ292)</f>
        <v>79</v>
      </c>
      <c r="BH292" s="35">
        <f>T292+AD292+AI292+AU292+BE292</f>
        <v>0.6493337457530588</v>
      </c>
      <c r="BI292" s="36" t="str">
        <f ca="1">IF(K292&lt;365,"New CE",(IF(BH292&gt;=100%,"Promote",IF(BH292&gt;=90%,"Sangat Baik",IF(BH292&gt;=80%,"Baik",IF(BH292&gt;=70%,"Lebih Dari Cukup",IF(BH292&gt;=60%,"Cukup","Kurang")))))))</f>
        <v>Cukup</v>
      </c>
      <c r="BJ292" s="36" t="s">
        <v>860</v>
      </c>
      <c r="BK292" s="58" t="s">
        <v>54</v>
      </c>
      <c r="BL292" s="59" t="e">
        <v>#N/A</v>
      </c>
    </row>
    <row r="293" spans="1:64" x14ac:dyDescent="0.35">
      <c r="A293" s="19">
        <v>289</v>
      </c>
      <c r="B293" s="13" t="s">
        <v>704</v>
      </c>
      <c r="C293" s="20" t="s">
        <v>705</v>
      </c>
      <c r="D293" s="76" t="s">
        <v>42</v>
      </c>
      <c r="E293" s="13" t="s">
        <v>187</v>
      </c>
      <c r="F293" s="13" t="s">
        <v>74</v>
      </c>
      <c r="G293" s="13" t="s">
        <v>45</v>
      </c>
      <c r="H293" s="65">
        <v>43108</v>
      </c>
      <c r="I293" s="21">
        <f t="shared" ca="1" si="162"/>
        <v>45974</v>
      </c>
      <c r="J293" s="13" t="str">
        <f t="shared" ca="1" si="144"/>
        <v xml:space="preserve">7 Tahun 10 Bulan 5 Hari </v>
      </c>
      <c r="K293" s="13">
        <f t="shared" ca="1" si="163"/>
        <v>4127040</v>
      </c>
      <c r="L293" s="13">
        <v>684</v>
      </c>
      <c r="M293" s="13">
        <v>10</v>
      </c>
      <c r="N293" s="13">
        <v>4972</v>
      </c>
      <c r="O293" s="22">
        <f t="shared" si="145"/>
        <v>497.2</v>
      </c>
      <c r="P293" s="13">
        <v>291</v>
      </c>
      <c r="Q293" s="23">
        <f t="shared" si="146"/>
        <v>0.4</v>
      </c>
      <c r="R293" s="24">
        <f t="shared" si="147"/>
        <v>2</v>
      </c>
      <c r="S293" s="25">
        <f t="shared" si="161"/>
        <v>0.585277554304103</v>
      </c>
      <c r="T293" s="25">
        <f t="shared" si="148"/>
        <v>0.11705551086082061</v>
      </c>
      <c r="U293" s="26">
        <v>9929.1956998697915</v>
      </c>
      <c r="V293" s="26">
        <v>13615.488725694444</v>
      </c>
      <c r="W293" s="26">
        <v>0</v>
      </c>
      <c r="X293" s="27">
        <f t="shared" si="165"/>
        <v>0</v>
      </c>
      <c r="Y293" s="27">
        <f t="shared" si="166"/>
        <v>0</v>
      </c>
      <c r="Z293" s="27">
        <f t="shared" si="170"/>
        <v>0</v>
      </c>
      <c r="AA293" s="23">
        <f t="shared" si="168"/>
        <v>0</v>
      </c>
      <c r="AB293" s="24">
        <f t="shared" si="167"/>
        <v>0</v>
      </c>
      <c r="AC293" s="28">
        <f t="shared" si="149"/>
        <v>0</v>
      </c>
      <c r="AD293" s="29">
        <f t="shared" si="150"/>
        <v>0</v>
      </c>
      <c r="AE293" s="30">
        <v>3.8190467790651619E-2</v>
      </c>
      <c r="AF293" s="23">
        <f t="shared" si="151"/>
        <v>1.25</v>
      </c>
      <c r="AG293" s="24">
        <f t="shared" si="169"/>
        <v>5</v>
      </c>
      <c r="AH293" s="28">
        <f t="shared" si="152"/>
        <v>1</v>
      </c>
      <c r="AI293" s="29">
        <f t="shared" si="153"/>
        <v>0.25</v>
      </c>
      <c r="AJ293" s="31">
        <v>1</v>
      </c>
      <c r="AK293" s="31">
        <v>1</v>
      </c>
      <c r="AL293" s="31">
        <v>1</v>
      </c>
      <c r="AM293" s="31">
        <v>0</v>
      </c>
      <c r="AN293" s="31">
        <v>0</v>
      </c>
      <c r="AO293" s="31">
        <v>1</v>
      </c>
      <c r="AP293" s="31">
        <v>0</v>
      </c>
      <c r="AQ293" s="31">
        <v>1</v>
      </c>
      <c r="AR293" s="23">
        <f t="shared" si="154"/>
        <v>1</v>
      </c>
      <c r="AS293" s="24">
        <f t="shared" si="155"/>
        <v>5</v>
      </c>
      <c r="AT293" s="28">
        <f t="shared" si="156"/>
        <v>0.625</v>
      </c>
      <c r="AU293" s="28">
        <f t="shared" si="157"/>
        <v>9.375E-2</v>
      </c>
      <c r="AV293" s="32">
        <v>75</v>
      </c>
      <c r="AW293" s="32">
        <v>75</v>
      </c>
      <c r="AX293" s="32">
        <v>80</v>
      </c>
      <c r="AY293" s="32">
        <v>80</v>
      </c>
      <c r="AZ293" s="32">
        <v>80</v>
      </c>
      <c r="BA293" s="32">
        <v>100</v>
      </c>
      <c r="BB293" s="23">
        <f t="shared" ca="1" si="158"/>
        <v>0.8</v>
      </c>
      <c r="BC293" s="33">
        <f t="shared" si="164"/>
        <v>81.666666666666671</v>
      </c>
      <c r="BD293" s="28">
        <f t="shared" si="159"/>
        <v>0.93877551020408168</v>
      </c>
      <c r="BE293" s="28">
        <f t="shared" si="160"/>
        <v>0.18775510204081636</v>
      </c>
      <c r="BF293" s="34">
        <f ca="1">Q293+AA293+AF293+AR293+BB293</f>
        <v>3.45</v>
      </c>
      <c r="BG293" s="34">
        <f>AVERAGE(AV293:AZ293)</f>
        <v>78</v>
      </c>
      <c r="BH293" s="35">
        <f>T293+AD293+AI293+AU293+BE293</f>
        <v>0.64856061290163702</v>
      </c>
      <c r="BI293" s="36" t="str">
        <f ca="1">IF(K293&lt;365,"New CE",(IF(BH293&gt;=100%,"Promote",IF(BH293&gt;=90%,"Sangat Baik",IF(BH293&gt;=80%,"Baik",IF(BH293&gt;=70%,"Lebih Dari Cukup",IF(BH293&gt;=60%,"Cukup","Kurang")))))))</f>
        <v>Cukup</v>
      </c>
      <c r="BJ293" s="36" t="s">
        <v>860</v>
      </c>
      <c r="BK293" s="58" t="s">
        <v>42</v>
      </c>
      <c r="BL293" s="59" t="str">
        <v>Ardiansyah</v>
      </c>
    </row>
    <row r="294" spans="1:64" x14ac:dyDescent="0.35">
      <c r="A294" s="19">
        <v>290</v>
      </c>
      <c r="B294" s="13" t="s">
        <v>706</v>
      </c>
      <c r="C294" s="20" t="s">
        <v>707</v>
      </c>
      <c r="D294" s="76" t="s">
        <v>48</v>
      </c>
      <c r="E294" s="13" t="s">
        <v>98</v>
      </c>
      <c r="F294" s="13" t="s">
        <v>50</v>
      </c>
      <c r="G294" s="13" t="s">
        <v>55</v>
      </c>
      <c r="H294" s="65">
        <v>43388</v>
      </c>
      <c r="I294" s="21">
        <f t="shared" ca="1" si="162"/>
        <v>45974</v>
      </c>
      <c r="J294" s="13" t="str">
        <f t="shared" ca="1" si="144"/>
        <v xml:space="preserve">7 Tahun 0 Bulan 29 Hari </v>
      </c>
      <c r="K294" s="13">
        <f t="shared" ca="1" si="163"/>
        <v>3723840</v>
      </c>
      <c r="L294" s="13">
        <v>1040</v>
      </c>
      <c r="M294" s="13">
        <v>17</v>
      </c>
      <c r="N294" s="13">
        <v>7455</v>
      </c>
      <c r="O294" s="22">
        <f t="shared" si="145"/>
        <v>438.52941176470586</v>
      </c>
      <c r="P294" s="13">
        <v>399</v>
      </c>
      <c r="Q294" s="23">
        <f t="shared" si="146"/>
        <v>0.8</v>
      </c>
      <c r="R294" s="24">
        <f t="shared" si="147"/>
        <v>4</v>
      </c>
      <c r="S294" s="25">
        <f t="shared" si="161"/>
        <v>0.90985915492957747</v>
      </c>
      <c r="T294" s="25">
        <f t="shared" si="148"/>
        <v>0.18197183098591552</v>
      </c>
      <c r="U294" s="26">
        <v>771.26585687382271</v>
      </c>
      <c r="V294" s="26">
        <v>0</v>
      </c>
      <c r="W294" s="26">
        <v>0</v>
      </c>
      <c r="X294" s="27">
        <f t="shared" si="165"/>
        <v>0</v>
      </c>
      <c r="Y294" s="27">
        <f t="shared" si="166"/>
        <v>0</v>
      </c>
      <c r="Z294" s="27">
        <f t="shared" si="170"/>
        <v>0</v>
      </c>
      <c r="AA294" s="23">
        <f t="shared" si="168"/>
        <v>0</v>
      </c>
      <c r="AB294" s="24">
        <f t="shared" si="167"/>
        <v>0</v>
      </c>
      <c r="AC294" s="28">
        <f t="shared" si="149"/>
        <v>0</v>
      </c>
      <c r="AD294" s="29">
        <f t="shared" si="150"/>
        <v>0</v>
      </c>
      <c r="AE294" s="30">
        <v>4.3104260121923171E-2</v>
      </c>
      <c r="AF294" s="23">
        <f t="shared" si="151"/>
        <v>1</v>
      </c>
      <c r="AG294" s="24">
        <f t="shared" si="169"/>
        <v>4</v>
      </c>
      <c r="AH294" s="28">
        <f t="shared" si="152"/>
        <v>0.8</v>
      </c>
      <c r="AI294" s="29">
        <f t="shared" si="153"/>
        <v>0.2</v>
      </c>
      <c r="AJ294" s="31">
        <v>1</v>
      </c>
      <c r="AK294" s="31">
        <v>1</v>
      </c>
      <c r="AL294" s="31">
        <v>1</v>
      </c>
      <c r="AM294" s="31">
        <v>1</v>
      </c>
      <c r="AN294" s="31">
        <v>0</v>
      </c>
      <c r="AO294" s="31">
        <v>0</v>
      </c>
      <c r="AP294" s="31">
        <v>0</v>
      </c>
      <c r="AQ294" s="31">
        <v>0</v>
      </c>
      <c r="AR294" s="23">
        <f t="shared" si="154"/>
        <v>0.8</v>
      </c>
      <c r="AS294" s="24">
        <f t="shared" si="155"/>
        <v>4</v>
      </c>
      <c r="AT294" s="28">
        <f t="shared" si="156"/>
        <v>0.5</v>
      </c>
      <c r="AU294" s="28">
        <f t="shared" si="157"/>
        <v>7.4999999999999997E-2</v>
      </c>
      <c r="AV294" s="32">
        <v>75</v>
      </c>
      <c r="AW294" s="32">
        <v>75</v>
      </c>
      <c r="AX294" s="32">
        <v>90</v>
      </c>
      <c r="AY294" s="32">
        <v>90</v>
      </c>
      <c r="AZ294" s="32">
        <v>65</v>
      </c>
      <c r="BA294" s="32">
        <v>100</v>
      </c>
      <c r="BB294" s="23">
        <f t="shared" ca="1" si="158"/>
        <v>0.8</v>
      </c>
      <c r="BC294" s="33">
        <f t="shared" si="164"/>
        <v>82.5</v>
      </c>
      <c r="BD294" s="28">
        <f t="shared" si="159"/>
        <v>0.93939393939393945</v>
      </c>
      <c r="BE294" s="28">
        <f t="shared" si="160"/>
        <v>0.1878787878787879</v>
      </c>
      <c r="BF294" s="34">
        <f ca="1">Q294+AA294+AF294+AR294+BB294</f>
        <v>3.4000000000000004</v>
      </c>
      <c r="BG294" s="34">
        <f>AVERAGE(AV294:AZ294)</f>
        <v>79</v>
      </c>
      <c r="BH294" s="35">
        <f>T294+AD294+AI294+AU294+BE294</f>
        <v>0.64485061886470341</v>
      </c>
      <c r="BI294" s="36" t="str">
        <f ca="1">IF(K294&lt;365,"New CE",(IF(BH294&gt;=100%,"Promote",IF(BH294&gt;=90%,"Sangat Baik",IF(BH294&gt;=80%,"Baik",IF(BH294&gt;=70%,"Lebih Dari Cukup",IF(BH294&gt;=60%,"Cukup","Kurang")))))))</f>
        <v>Cukup</v>
      </c>
      <c r="BJ294" s="36" t="s">
        <v>860</v>
      </c>
      <c r="BK294" s="58" t="s">
        <v>48</v>
      </c>
      <c r="BL294" s="59" t="e">
        <v>#N/A</v>
      </c>
    </row>
    <row r="295" spans="1:64" x14ac:dyDescent="0.35">
      <c r="A295" s="19">
        <v>291</v>
      </c>
      <c r="B295" s="13" t="s">
        <v>708</v>
      </c>
      <c r="C295" s="20" t="s">
        <v>709</v>
      </c>
      <c r="D295" s="76" t="s">
        <v>54</v>
      </c>
      <c r="E295" s="13" t="s">
        <v>98</v>
      </c>
      <c r="F295" s="13" t="s">
        <v>50</v>
      </c>
      <c r="G295" s="13" t="s">
        <v>51</v>
      </c>
      <c r="H295" s="65">
        <v>44795</v>
      </c>
      <c r="I295" s="21">
        <f t="shared" ca="1" si="162"/>
        <v>45974</v>
      </c>
      <c r="J295" s="13" t="str">
        <f t="shared" ca="1" si="144"/>
        <v xml:space="preserve">3 Tahun 2 Bulan 22 Hari </v>
      </c>
      <c r="K295" s="13">
        <f t="shared" ca="1" si="163"/>
        <v>1697760</v>
      </c>
      <c r="L295" s="13">
        <v>1040</v>
      </c>
      <c r="M295" s="13">
        <v>17</v>
      </c>
      <c r="N295" s="13">
        <v>7455</v>
      </c>
      <c r="O295" s="22">
        <f t="shared" si="145"/>
        <v>438.52941176470586</v>
      </c>
      <c r="P295" s="13">
        <v>437</v>
      </c>
      <c r="Q295" s="23">
        <f t="shared" si="146"/>
        <v>0.8</v>
      </c>
      <c r="R295" s="24">
        <f t="shared" si="147"/>
        <v>4</v>
      </c>
      <c r="S295" s="25">
        <f t="shared" si="161"/>
        <v>0.99651240778001349</v>
      </c>
      <c r="T295" s="25">
        <f t="shared" si="148"/>
        <v>0.19930248155600272</v>
      </c>
      <c r="U295" s="26">
        <v>3311.7406547791302</v>
      </c>
      <c r="V295" s="26">
        <v>0</v>
      </c>
      <c r="W295" s="26">
        <v>0</v>
      </c>
      <c r="X295" s="27">
        <f t="shared" si="165"/>
        <v>0</v>
      </c>
      <c r="Y295" s="27">
        <f t="shared" si="166"/>
        <v>0</v>
      </c>
      <c r="Z295" s="27">
        <f t="shared" si="170"/>
        <v>0</v>
      </c>
      <c r="AA295" s="23">
        <f t="shared" si="168"/>
        <v>0</v>
      </c>
      <c r="AB295" s="24">
        <f t="shared" si="167"/>
        <v>0</v>
      </c>
      <c r="AC295" s="28">
        <f t="shared" si="149"/>
        <v>0</v>
      </c>
      <c r="AD295" s="29">
        <f t="shared" si="150"/>
        <v>0</v>
      </c>
      <c r="AE295" s="30">
        <v>7.8421875000000002E-2</v>
      </c>
      <c r="AF295" s="23">
        <f t="shared" si="151"/>
        <v>1</v>
      </c>
      <c r="AG295" s="24">
        <f t="shared" si="169"/>
        <v>4</v>
      </c>
      <c r="AH295" s="28">
        <f t="shared" si="152"/>
        <v>0.8</v>
      </c>
      <c r="AI295" s="29">
        <f t="shared" si="153"/>
        <v>0.2</v>
      </c>
      <c r="AJ295" s="31">
        <v>1</v>
      </c>
      <c r="AK295" s="31">
        <v>1</v>
      </c>
      <c r="AL295" s="31">
        <v>1</v>
      </c>
      <c r="AM295" s="31">
        <v>0</v>
      </c>
      <c r="AN295" s="31">
        <v>0</v>
      </c>
      <c r="AO295" s="31">
        <v>0</v>
      </c>
      <c r="AP295" s="31">
        <v>0</v>
      </c>
      <c r="AQ295" s="31">
        <v>0</v>
      </c>
      <c r="AR295" s="23">
        <f t="shared" si="154"/>
        <v>0.6</v>
      </c>
      <c r="AS295" s="24">
        <f t="shared" si="155"/>
        <v>3</v>
      </c>
      <c r="AT295" s="28">
        <f t="shared" si="156"/>
        <v>0.375</v>
      </c>
      <c r="AU295" s="28">
        <f t="shared" si="157"/>
        <v>5.6249999999999994E-2</v>
      </c>
      <c r="AV295" s="32">
        <v>75</v>
      </c>
      <c r="AW295" s="32">
        <v>75</v>
      </c>
      <c r="AX295" s="32">
        <v>90</v>
      </c>
      <c r="AY295" s="32">
        <v>85</v>
      </c>
      <c r="AZ295" s="32">
        <v>80</v>
      </c>
      <c r="BA295" s="32">
        <v>100</v>
      </c>
      <c r="BB295" s="23">
        <f t="shared" ca="1" si="158"/>
        <v>0.8</v>
      </c>
      <c r="BC295" s="33">
        <f t="shared" si="164"/>
        <v>84.166666666666671</v>
      </c>
      <c r="BD295" s="28">
        <f t="shared" si="159"/>
        <v>0.94059405940594054</v>
      </c>
      <c r="BE295" s="28">
        <f t="shared" si="160"/>
        <v>0.18811881188118812</v>
      </c>
      <c r="BF295" s="34">
        <f ca="1">Q295+AA295+AF295+AR295+BB295</f>
        <v>3.2</v>
      </c>
      <c r="BG295" s="34">
        <f>AVERAGE(AV295:AZ295)</f>
        <v>81</v>
      </c>
      <c r="BH295" s="35">
        <f>T295+AD295+AI295+AU295+BE295</f>
        <v>0.64367129343719087</v>
      </c>
      <c r="BI295" s="36" t="str">
        <f ca="1">IF(K295&lt;365,"New CE",(IF(BH295&gt;=100%,"Promote",IF(BH295&gt;=90%,"Sangat Baik",IF(BH295&gt;=80%,"Baik",IF(BH295&gt;=70%,"Lebih Dari Cukup",IF(BH295&gt;=60%,"Cukup","Kurang")))))))</f>
        <v>Cukup</v>
      </c>
      <c r="BJ295" s="36" t="s">
        <v>860</v>
      </c>
      <c r="BK295" s="58" t="s">
        <v>54</v>
      </c>
      <c r="BL295" s="59" t="e">
        <v>#N/A</v>
      </c>
    </row>
    <row r="296" spans="1:64" x14ac:dyDescent="0.35">
      <c r="A296" s="19">
        <v>292</v>
      </c>
      <c r="B296" s="13" t="s">
        <v>710</v>
      </c>
      <c r="C296" s="20" t="s">
        <v>711</v>
      </c>
      <c r="D296" s="76" t="s">
        <v>42</v>
      </c>
      <c r="E296" s="13" t="s">
        <v>241</v>
      </c>
      <c r="F296" s="13" t="s">
        <v>74</v>
      </c>
      <c r="G296" s="13" t="s">
        <v>51</v>
      </c>
      <c r="H296" s="65">
        <v>44508</v>
      </c>
      <c r="I296" s="21">
        <f t="shared" ca="1" si="162"/>
        <v>45974</v>
      </c>
      <c r="J296" s="13" t="str">
        <f t="shared" ca="1" si="144"/>
        <v xml:space="preserve">4 Tahun 0 Bulan 5 Hari </v>
      </c>
      <c r="K296" s="13">
        <f t="shared" ca="1" si="163"/>
        <v>2111040</v>
      </c>
      <c r="L296" s="13">
        <v>142</v>
      </c>
      <c r="M296" s="13">
        <v>3</v>
      </c>
      <c r="N296" s="13">
        <v>1369</v>
      </c>
      <c r="O296" s="22">
        <f t="shared" si="145"/>
        <v>456.33333333333331</v>
      </c>
      <c r="P296" s="13">
        <v>454</v>
      </c>
      <c r="Q296" s="23">
        <f t="shared" si="146"/>
        <v>0.8</v>
      </c>
      <c r="R296" s="24">
        <f t="shared" si="147"/>
        <v>4</v>
      </c>
      <c r="S296" s="25">
        <f t="shared" si="161"/>
        <v>0.99488677867056252</v>
      </c>
      <c r="T296" s="25">
        <f t="shared" si="148"/>
        <v>0.19897735573411252</v>
      </c>
      <c r="U296" s="26">
        <v>3089.5615297067889</v>
      </c>
      <c r="V296" s="26">
        <v>8025.9379030501086</v>
      </c>
      <c r="W296" s="26">
        <v>0</v>
      </c>
      <c r="X296" s="27">
        <f t="shared" si="165"/>
        <v>0</v>
      </c>
      <c r="Y296" s="27">
        <f t="shared" si="166"/>
        <v>0</v>
      </c>
      <c r="Z296" s="27">
        <f t="shared" si="170"/>
        <v>0</v>
      </c>
      <c r="AA296" s="23">
        <f t="shared" si="168"/>
        <v>0</v>
      </c>
      <c r="AB296" s="24">
        <f t="shared" si="167"/>
        <v>0</v>
      </c>
      <c r="AC296" s="28">
        <f t="shared" si="149"/>
        <v>0</v>
      </c>
      <c r="AD296" s="29">
        <f t="shared" si="150"/>
        <v>0</v>
      </c>
      <c r="AE296" s="30">
        <v>7.8211918290043286E-2</v>
      </c>
      <c r="AF296" s="23">
        <f t="shared" si="151"/>
        <v>1</v>
      </c>
      <c r="AG296" s="24">
        <f t="shared" si="169"/>
        <v>4</v>
      </c>
      <c r="AH296" s="28">
        <f t="shared" si="152"/>
        <v>0.8</v>
      </c>
      <c r="AI296" s="29">
        <f t="shared" si="153"/>
        <v>0.2</v>
      </c>
      <c r="AJ296" s="31">
        <v>1</v>
      </c>
      <c r="AK296" s="31">
        <v>1</v>
      </c>
      <c r="AL296" s="31">
        <v>1</v>
      </c>
      <c r="AM296" s="31">
        <v>0</v>
      </c>
      <c r="AN296" s="31">
        <v>0</v>
      </c>
      <c r="AO296" s="31">
        <v>0</v>
      </c>
      <c r="AP296" s="31">
        <v>0</v>
      </c>
      <c r="AQ296" s="31">
        <v>0</v>
      </c>
      <c r="AR296" s="23">
        <f t="shared" si="154"/>
        <v>0.6</v>
      </c>
      <c r="AS296" s="24">
        <f t="shared" si="155"/>
        <v>3</v>
      </c>
      <c r="AT296" s="28">
        <f t="shared" si="156"/>
        <v>0.375</v>
      </c>
      <c r="AU296" s="28">
        <f t="shared" si="157"/>
        <v>5.6249999999999994E-2</v>
      </c>
      <c r="AV296" s="32">
        <v>75</v>
      </c>
      <c r="AW296" s="32">
        <v>75</v>
      </c>
      <c r="AX296" s="32">
        <v>80</v>
      </c>
      <c r="AY296" s="32">
        <v>80</v>
      </c>
      <c r="AZ296" s="32">
        <v>80</v>
      </c>
      <c r="BA296" s="32">
        <v>100</v>
      </c>
      <c r="BB296" s="23">
        <f t="shared" ca="1" si="158"/>
        <v>0.8</v>
      </c>
      <c r="BC296" s="33">
        <f t="shared" si="164"/>
        <v>81.666666666666671</v>
      </c>
      <c r="BD296" s="28">
        <f t="shared" si="159"/>
        <v>0.93877551020408168</v>
      </c>
      <c r="BE296" s="28">
        <f t="shared" si="160"/>
        <v>0.18775510204081636</v>
      </c>
      <c r="BF296" s="34">
        <f ca="1">Q296+AA296+AF296+AR296+BB296</f>
        <v>3.2</v>
      </c>
      <c r="BG296" s="34">
        <f>AVERAGE(AV296:AZ296)</f>
        <v>78</v>
      </c>
      <c r="BH296" s="35">
        <f>T296+AD296+AI296+AU296+BE296</f>
        <v>0.64298245777492891</v>
      </c>
      <c r="BI296" s="36" t="str">
        <f ca="1">IF(K296&lt;365,"New CE",(IF(BH296&gt;=100%,"Promote",IF(BH296&gt;=90%,"Sangat Baik",IF(BH296&gt;=80%,"Baik",IF(BH296&gt;=70%,"Lebih Dari Cukup",IF(BH296&gt;=60%,"Cukup","Kurang")))))))</f>
        <v>Cukup</v>
      </c>
      <c r="BJ296" s="36" t="s">
        <v>860</v>
      </c>
      <c r="BK296" s="58" t="s">
        <v>42</v>
      </c>
      <c r="BL296" s="59" t="str">
        <v>Novaely Rachman</v>
      </c>
    </row>
    <row r="297" spans="1:64" x14ac:dyDescent="0.35">
      <c r="A297" s="19">
        <v>293</v>
      </c>
      <c r="B297" s="13" t="s">
        <v>712</v>
      </c>
      <c r="C297" s="20" t="s">
        <v>713</v>
      </c>
      <c r="D297" s="76" t="s">
        <v>48</v>
      </c>
      <c r="E297" s="13" t="s">
        <v>64</v>
      </c>
      <c r="F297" s="13" t="s">
        <v>44</v>
      </c>
      <c r="G297" s="13" t="s">
        <v>55</v>
      </c>
      <c r="H297" s="65">
        <v>44144</v>
      </c>
      <c r="I297" s="21">
        <f t="shared" ca="1" si="162"/>
        <v>45974</v>
      </c>
      <c r="J297" s="13" t="str">
        <f t="shared" ca="1" si="144"/>
        <v xml:space="preserve">5 Tahun 0 Bulan 4 Hari </v>
      </c>
      <c r="K297" s="13">
        <f t="shared" ca="1" si="163"/>
        <v>2635200</v>
      </c>
      <c r="L297" s="13">
        <v>872</v>
      </c>
      <c r="M297" s="13">
        <v>15</v>
      </c>
      <c r="N297" s="13">
        <v>5975</v>
      </c>
      <c r="O297" s="22">
        <f t="shared" si="145"/>
        <v>398.33333333333331</v>
      </c>
      <c r="P297" s="13">
        <v>396</v>
      </c>
      <c r="Q297" s="23">
        <f t="shared" si="146"/>
        <v>0.8</v>
      </c>
      <c r="R297" s="24">
        <f t="shared" si="147"/>
        <v>4</v>
      </c>
      <c r="S297" s="25">
        <f t="shared" si="161"/>
        <v>0.99414225941422596</v>
      </c>
      <c r="T297" s="25">
        <f t="shared" si="148"/>
        <v>0.1988284518828452</v>
      </c>
      <c r="U297" s="26">
        <v>8688.3599334490718</v>
      </c>
      <c r="V297" s="26">
        <v>0</v>
      </c>
      <c r="W297" s="26">
        <v>0</v>
      </c>
      <c r="X297" s="27">
        <f t="shared" si="165"/>
        <v>0</v>
      </c>
      <c r="Y297" s="27">
        <f t="shared" si="166"/>
        <v>0</v>
      </c>
      <c r="Z297" s="27">
        <f t="shared" si="170"/>
        <v>0</v>
      </c>
      <c r="AA297" s="23">
        <f t="shared" si="168"/>
        <v>0</v>
      </c>
      <c r="AB297" s="24">
        <f t="shared" si="167"/>
        <v>0</v>
      </c>
      <c r="AC297" s="28">
        <f t="shared" si="149"/>
        <v>0</v>
      </c>
      <c r="AD297" s="29">
        <f t="shared" si="150"/>
        <v>0</v>
      </c>
      <c r="AE297" s="30">
        <v>4.833141915954417E-2</v>
      </c>
      <c r="AF297" s="23">
        <f t="shared" si="151"/>
        <v>1</v>
      </c>
      <c r="AG297" s="24">
        <f t="shared" si="169"/>
        <v>4</v>
      </c>
      <c r="AH297" s="28">
        <f t="shared" si="152"/>
        <v>0.8</v>
      </c>
      <c r="AI297" s="29">
        <f t="shared" si="153"/>
        <v>0.2</v>
      </c>
      <c r="AJ297" s="31">
        <v>1</v>
      </c>
      <c r="AK297" s="31">
        <v>1</v>
      </c>
      <c r="AL297" s="31">
        <v>1</v>
      </c>
      <c r="AM297" s="31">
        <v>0</v>
      </c>
      <c r="AN297" s="31">
        <v>0</v>
      </c>
      <c r="AO297" s="31">
        <v>0</v>
      </c>
      <c r="AP297" s="31">
        <v>0</v>
      </c>
      <c r="AQ297" s="31">
        <v>0</v>
      </c>
      <c r="AR297" s="23">
        <f t="shared" si="154"/>
        <v>0.6</v>
      </c>
      <c r="AS297" s="24">
        <f t="shared" si="155"/>
        <v>3</v>
      </c>
      <c r="AT297" s="28">
        <f t="shared" si="156"/>
        <v>0.375</v>
      </c>
      <c r="AU297" s="28">
        <f t="shared" si="157"/>
        <v>5.6249999999999994E-2</v>
      </c>
      <c r="AV297" s="32">
        <v>75</v>
      </c>
      <c r="AW297" s="32">
        <v>75</v>
      </c>
      <c r="AX297" s="32">
        <v>80</v>
      </c>
      <c r="AY297" s="32">
        <v>80</v>
      </c>
      <c r="AZ297" s="32">
        <v>80</v>
      </c>
      <c r="BA297" s="32">
        <v>100</v>
      </c>
      <c r="BB297" s="23">
        <f t="shared" ca="1" si="158"/>
        <v>0.8</v>
      </c>
      <c r="BC297" s="33">
        <f t="shared" si="164"/>
        <v>81.666666666666671</v>
      </c>
      <c r="BD297" s="28">
        <f t="shared" si="159"/>
        <v>0.93877551020408168</v>
      </c>
      <c r="BE297" s="28">
        <f t="shared" si="160"/>
        <v>0.18775510204081636</v>
      </c>
      <c r="BF297" s="34">
        <f ca="1">Q297+AA297+AF297+AR297+BB297</f>
        <v>3.2</v>
      </c>
      <c r="BG297" s="34">
        <f>AVERAGE(AV297:AZ297)</f>
        <v>78</v>
      </c>
      <c r="BH297" s="35">
        <f>T297+AD297+AI297+AU297+BE297</f>
        <v>0.64283355392366159</v>
      </c>
      <c r="BI297" s="36" t="str">
        <f ca="1">IF(K297&lt;365,"New CE",(IF(BH297&gt;=100%,"Promote",IF(BH297&gt;=90%,"Sangat Baik",IF(BH297&gt;=80%,"Baik",IF(BH297&gt;=70%,"Lebih Dari Cukup",IF(BH297&gt;=60%,"Cukup","Kurang")))))))</f>
        <v>Cukup</v>
      </c>
      <c r="BJ297" s="36" t="s">
        <v>860</v>
      </c>
      <c r="BK297" s="58" t="s">
        <v>48</v>
      </c>
      <c r="BL297" s="59" t="e">
        <v>#N/A</v>
      </c>
    </row>
    <row r="298" spans="1:64" x14ac:dyDescent="0.35">
      <c r="A298" s="19">
        <v>294</v>
      </c>
      <c r="B298" s="13" t="s">
        <v>714</v>
      </c>
      <c r="C298" s="20" t="s">
        <v>715</v>
      </c>
      <c r="D298" s="76" t="s">
        <v>54</v>
      </c>
      <c r="E298" s="13" t="s">
        <v>192</v>
      </c>
      <c r="F298" s="13" t="s">
        <v>50</v>
      </c>
      <c r="G298" s="13" t="s">
        <v>61</v>
      </c>
      <c r="H298" s="65">
        <v>45131</v>
      </c>
      <c r="I298" s="21">
        <f t="shared" ca="1" si="162"/>
        <v>45974</v>
      </c>
      <c r="J298" s="13" t="str">
        <f t="shared" ca="1" si="144"/>
        <v xml:space="preserve">2 Tahun 3 Bulan 20 Hari </v>
      </c>
      <c r="K298" s="13">
        <f t="shared" ca="1" si="163"/>
        <v>1213920</v>
      </c>
      <c r="L298" s="13">
        <v>510</v>
      </c>
      <c r="M298" s="13">
        <v>9</v>
      </c>
      <c r="N298" s="13">
        <v>3962</v>
      </c>
      <c r="O298" s="22">
        <f t="shared" si="145"/>
        <v>440.22222222222223</v>
      </c>
      <c r="P298" s="13">
        <v>429</v>
      </c>
      <c r="Q298" s="23">
        <f t="shared" si="146"/>
        <v>0.8</v>
      </c>
      <c r="R298" s="24">
        <f t="shared" si="147"/>
        <v>4</v>
      </c>
      <c r="S298" s="25">
        <f t="shared" si="161"/>
        <v>0.97450782433114591</v>
      </c>
      <c r="T298" s="25">
        <f t="shared" si="148"/>
        <v>0.1949015648662292</v>
      </c>
      <c r="U298" s="26">
        <v>4200.0792156862763</v>
      </c>
      <c r="V298" s="26">
        <v>0</v>
      </c>
      <c r="W298" s="26">
        <v>0</v>
      </c>
      <c r="X298" s="27">
        <f t="shared" si="165"/>
        <v>0</v>
      </c>
      <c r="Y298" s="27">
        <f t="shared" si="166"/>
        <v>0</v>
      </c>
      <c r="Z298" s="27">
        <f t="shared" si="170"/>
        <v>0</v>
      </c>
      <c r="AA298" s="23">
        <f t="shared" si="168"/>
        <v>0</v>
      </c>
      <c r="AB298" s="24">
        <f t="shared" si="167"/>
        <v>0</v>
      </c>
      <c r="AC298" s="28">
        <f t="shared" si="149"/>
        <v>0</v>
      </c>
      <c r="AD298" s="29">
        <f t="shared" si="150"/>
        <v>0</v>
      </c>
      <c r="AE298" s="30">
        <v>5.2984988327002214E-2</v>
      </c>
      <c r="AF298" s="23">
        <f t="shared" si="151"/>
        <v>1</v>
      </c>
      <c r="AG298" s="24">
        <f t="shared" si="169"/>
        <v>4</v>
      </c>
      <c r="AH298" s="28">
        <f t="shared" si="152"/>
        <v>0.8</v>
      </c>
      <c r="AI298" s="29">
        <f t="shared" si="153"/>
        <v>0.2</v>
      </c>
      <c r="AJ298" s="31">
        <v>1</v>
      </c>
      <c r="AK298" s="31">
        <v>1</v>
      </c>
      <c r="AL298" s="31">
        <v>0</v>
      </c>
      <c r="AM298" s="31">
        <v>0</v>
      </c>
      <c r="AN298" s="31">
        <v>0</v>
      </c>
      <c r="AO298" s="31">
        <v>1</v>
      </c>
      <c r="AP298" s="31">
        <v>0</v>
      </c>
      <c r="AQ298" s="31">
        <v>0</v>
      </c>
      <c r="AR298" s="23">
        <f t="shared" si="154"/>
        <v>0.6</v>
      </c>
      <c r="AS298" s="24">
        <f t="shared" si="155"/>
        <v>3</v>
      </c>
      <c r="AT298" s="28">
        <f t="shared" si="156"/>
        <v>0.375</v>
      </c>
      <c r="AU298" s="28">
        <f t="shared" si="157"/>
        <v>5.6249999999999994E-2</v>
      </c>
      <c r="AV298" s="32">
        <v>75</v>
      </c>
      <c r="AW298" s="32">
        <v>75</v>
      </c>
      <c r="AX298" s="32">
        <v>90</v>
      </c>
      <c r="AY298" s="32">
        <v>85</v>
      </c>
      <c r="AZ298" s="32">
        <v>80</v>
      </c>
      <c r="BA298" s="32">
        <v>100</v>
      </c>
      <c r="BB298" s="23">
        <f t="shared" ca="1" si="158"/>
        <v>0.8</v>
      </c>
      <c r="BC298" s="33">
        <f t="shared" si="164"/>
        <v>84.166666666666671</v>
      </c>
      <c r="BD298" s="28">
        <f t="shared" si="159"/>
        <v>0.94059405940594054</v>
      </c>
      <c r="BE298" s="28">
        <f t="shared" si="160"/>
        <v>0.18811881188118812</v>
      </c>
      <c r="BF298" s="34">
        <f ca="1">Q298+AA298+AF298+AR298+BB298</f>
        <v>3.2</v>
      </c>
      <c r="BG298" s="34">
        <f>AVERAGE(AV298:AZ298)</f>
        <v>81</v>
      </c>
      <c r="BH298" s="35">
        <f>T298+AD298+AI298+AU298+BE298</f>
        <v>0.63927037674741727</v>
      </c>
      <c r="BI298" s="36" t="str">
        <f ca="1">IF(K298&lt;365,"New CE",(IF(BH298&gt;=100%,"Promote",IF(BH298&gt;=90%,"Sangat Baik",IF(BH298&gt;=80%,"Baik",IF(BH298&gt;=70%,"Lebih Dari Cukup",IF(BH298&gt;=60%,"Cukup","Kurang")))))))</f>
        <v>Cukup</v>
      </c>
      <c r="BJ298" s="36" t="s">
        <v>860</v>
      </c>
      <c r="BK298" s="58" t="s">
        <v>54</v>
      </c>
      <c r="BL298" s="59" t="e">
        <v>#N/A</v>
      </c>
    </row>
    <row r="299" spans="1:64" x14ac:dyDescent="0.35">
      <c r="A299" s="19">
        <v>295</v>
      </c>
      <c r="B299" s="13" t="s">
        <v>716</v>
      </c>
      <c r="C299" s="20" t="s">
        <v>717</v>
      </c>
      <c r="D299" s="76" t="s">
        <v>54</v>
      </c>
      <c r="E299" s="13" t="s">
        <v>49</v>
      </c>
      <c r="F299" s="13" t="s">
        <v>50</v>
      </c>
      <c r="G299" s="13" t="s">
        <v>55</v>
      </c>
      <c r="H299" s="65">
        <v>44882</v>
      </c>
      <c r="I299" s="21">
        <f t="shared" ca="1" si="162"/>
        <v>45974</v>
      </c>
      <c r="J299" s="13" t="str">
        <f t="shared" ca="1" si="144"/>
        <v xml:space="preserve">2 Tahun 11 Bulan 27 Hari </v>
      </c>
      <c r="K299" s="13">
        <f t="shared" ca="1" si="163"/>
        <v>1572480</v>
      </c>
      <c r="L299" s="13">
        <v>893</v>
      </c>
      <c r="M299" s="13">
        <v>14</v>
      </c>
      <c r="N299" s="13">
        <v>6172</v>
      </c>
      <c r="O299" s="22">
        <f t="shared" si="145"/>
        <v>440.85714285714283</v>
      </c>
      <c r="P299" s="13">
        <v>385</v>
      </c>
      <c r="Q299" s="23">
        <f t="shared" si="146"/>
        <v>0.8</v>
      </c>
      <c r="R299" s="24">
        <f t="shared" si="147"/>
        <v>4</v>
      </c>
      <c r="S299" s="25">
        <f t="shared" si="161"/>
        <v>0.87329876863253408</v>
      </c>
      <c r="T299" s="25">
        <f t="shared" si="148"/>
        <v>0.17465975372650683</v>
      </c>
      <c r="U299" s="26">
        <v>4701.9605411877401</v>
      </c>
      <c r="V299" s="26">
        <v>0</v>
      </c>
      <c r="W299" s="26">
        <v>0</v>
      </c>
      <c r="X299" s="27">
        <f t="shared" si="165"/>
        <v>0</v>
      </c>
      <c r="Y299" s="27">
        <f t="shared" si="166"/>
        <v>0</v>
      </c>
      <c r="Z299" s="27">
        <f t="shared" si="170"/>
        <v>0</v>
      </c>
      <c r="AA299" s="23">
        <f t="shared" si="168"/>
        <v>0</v>
      </c>
      <c r="AB299" s="24">
        <f t="shared" si="167"/>
        <v>0</v>
      </c>
      <c r="AC299" s="28">
        <f t="shared" si="149"/>
        <v>0</v>
      </c>
      <c r="AD299" s="29">
        <f t="shared" si="150"/>
        <v>0</v>
      </c>
      <c r="AE299" s="30">
        <v>5.3030601733447008E-2</v>
      </c>
      <c r="AF299" s="23">
        <f t="shared" si="151"/>
        <v>1</v>
      </c>
      <c r="AG299" s="24">
        <f t="shared" si="169"/>
        <v>4</v>
      </c>
      <c r="AH299" s="28">
        <f t="shared" si="152"/>
        <v>0.8</v>
      </c>
      <c r="AI299" s="29">
        <f t="shared" si="153"/>
        <v>0.2</v>
      </c>
      <c r="AJ299" s="31">
        <v>1</v>
      </c>
      <c r="AK299" s="31">
        <v>1</v>
      </c>
      <c r="AL299" s="31">
        <v>1</v>
      </c>
      <c r="AM299" s="31">
        <v>0</v>
      </c>
      <c r="AN299" s="31">
        <v>0</v>
      </c>
      <c r="AO299" s="31">
        <v>0</v>
      </c>
      <c r="AP299" s="31">
        <v>0</v>
      </c>
      <c r="AQ299" s="31">
        <v>1</v>
      </c>
      <c r="AR299" s="23">
        <f t="shared" si="154"/>
        <v>0.8</v>
      </c>
      <c r="AS299" s="24">
        <f t="shared" si="155"/>
        <v>4</v>
      </c>
      <c r="AT299" s="28">
        <f t="shared" si="156"/>
        <v>0.5</v>
      </c>
      <c r="AU299" s="28">
        <f t="shared" si="157"/>
        <v>7.4999999999999997E-2</v>
      </c>
      <c r="AV299" s="32">
        <v>75</v>
      </c>
      <c r="AW299" s="32">
        <v>75</v>
      </c>
      <c r="AX299" s="32">
        <v>90</v>
      </c>
      <c r="AY299" s="32">
        <v>85</v>
      </c>
      <c r="AZ299" s="32">
        <v>80</v>
      </c>
      <c r="BA299" s="32">
        <v>100</v>
      </c>
      <c r="BB299" s="23">
        <f t="shared" ca="1" si="158"/>
        <v>0.8</v>
      </c>
      <c r="BC299" s="33">
        <f t="shared" si="164"/>
        <v>84.166666666666671</v>
      </c>
      <c r="BD299" s="28">
        <f t="shared" si="159"/>
        <v>0.94059405940594054</v>
      </c>
      <c r="BE299" s="28">
        <f t="shared" si="160"/>
        <v>0.18811881188118812</v>
      </c>
      <c r="BF299" s="34">
        <f ca="1">Q299+AA299+AF299+AR299+BB299</f>
        <v>3.4000000000000004</v>
      </c>
      <c r="BG299" s="34">
        <f>AVERAGE(AV299:AZ299)</f>
        <v>81</v>
      </c>
      <c r="BH299" s="35">
        <f>T299+AD299+AI299+AU299+BE299</f>
        <v>0.63777856560769497</v>
      </c>
      <c r="BI299" s="36" t="str">
        <f ca="1">IF(K299&lt;365,"New CE",(IF(BH299&gt;=100%,"Promote",IF(BH299&gt;=90%,"Sangat Baik",IF(BH299&gt;=80%,"Baik",IF(BH299&gt;=70%,"Lebih Dari Cukup",IF(BH299&gt;=60%,"Cukup","Kurang")))))))</f>
        <v>Cukup</v>
      </c>
      <c r="BJ299" s="36" t="s">
        <v>860</v>
      </c>
      <c r="BK299" s="58" t="s">
        <v>54</v>
      </c>
      <c r="BL299" s="59" t="e">
        <v>#N/A</v>
      </c>
    </row>
    <row r="300" spans="1:64" x14ac:dyDescent="0.35">
      <c r="A300" s="19">
        <v>296</v>
      </c>
      <c r="B300" s="13" t="s">
        <v>718</v>
      </c>
      <c r="C300" s="20" t="s">
        <v>719</v>
      </c>
      <c r="D300" s="76" t="s">
        <v>48</v>
      </c>
      <c r="E300" s="13" t="s">
        <v>179</v>
      </c>
      <c r="F300" s="13" t="s">
        <v>44</v>
      </c>
      <c r="G300" s="13" t="s">
        <v>51</v>
      </c>
      <c r="H300" s="65">
        <v>44529</v>
      </c>
      <c r="I300" s="21">
        <f t="shared" ca="1" si="162"/>
        <v>45974</v>
      </c>
      <c r="J300" s="13" t="str">
        <f t="shared" ca="1" si="144"/>
        <v xml:space="preserve">3 Tahun 11 Bulan 15 Hari </v>
      </c>
      <c r="K300" s="13">
        <f t="shared" ca="1" si="163"/>
        <v>2080800</v>
      </c>
      <c r="L300" s="13">
        <v>304</v>
      </c>
      <c r="M300" s="13">
        <v>5</v>
      </c>
      <c r="N300" s="13">
        <v>2111</v>
      </c>
      <c r="O300" s="22">
        <f t="shared" si="145"/>
        <v>422.2</v>
      </c>
      <c r="P300" s="13">
        <v>366</v>
      </c>
      <c r="Q300" s="23">
        <f t="shared" si="146"/>
        <v>0.8</v>
      </c>
      <c r="R300" s="24">
        <f t="shared" si="147"/>
        <v>4</v>
      </c>
      <c r="S300" s="25">
        <f t="shared" si="161"/>
        <v>0.86688773093320703</v>
      </c>
      <c r="T300" s="25">
        <f t="shared" si="148"/>
        <v>0.17337754618664142</v>
      </c>
      <c r="U300" s="26">
        <v>2524.7781749399865</v>
      </c>
      <c r="V300" s="26">
        <v>22739.842499999999</v>
      </c>
      <c r="W300" s="26">
        <v>0</v>
      </c>
      <c r="X300" s="27">
        <f t="shared" si="165"/>
        <v>0</v>
      </c>
      <c r="Y300" s="27">
        <f t="shared" si="166"/>
        <v>0</v>
      </c>
      <c r="Z300" s="27">
        <f t="shared" si="170"/>
        <v>0</v>
      </c>
      <c r="AA300" s="23">
        <f t="shared" si="168"/>
        <v>0</v>
      </c>
      <c r="AB300" s="24">
        <f t="shared" si="167"/>
        <v>0</v>
      </c>
      <c r="AC300" s="28">
        <f t="shared" si="149"/>
        <v>0</v>
      </c>
      <c r="AD300" s="29">
        <f t="shared" si="150"/>
        <v>0</v>
      </c>
      <c r="AE300" s="30">
        <v>5.3719907407407404E-2</v>
      </c>
      <c r="AF300" s="23">
        <f t="shared" si="151"/>
        <v>1</v>
      </c>
      <c r="AG300" s="24">
        <f t="shared" si="169"/>
        <v>4</v>
      </c>
      <c r="AH300" s="28">
        <f t="shared" si="152"/>
        <v>0.8</v>
      </c>
      <c r="AI300" s="29">
        <f t="shared" si="153"/>
        <v>0.2</v>
      </c>
      <c r="AJ300" s="31">
        <v>1</v>
      </c>
      <c r="AK300" s="31">
        <v>1</v>
      </c>
      <c r="AL300" s="31">
        <v>0</v>
      </c>
      <c r="AM300" s="31">
        <v>0</v>
      </c>
      <c r="AN300" s="31">
        <v>0</v>
      </c>
      <c r="AO300" s="31">
        <v>1</v>
      </c>
      <c r="AP300" s="31">
        <v>0</v>
      </c>
      <c r="AQ300" s="31">
        <v>1</v>
      </c>
      <c r="AR300" s="23">
        <f t="shared" si="154"/>
        <v>0.8</v>
      </c>
      <c r="AS300" s="24">
        <f t="shared" si="155"/>
        <v>4</v>
      </c>
      <c r="AT300" s="28">
        <f t="shared" si="156"/>
        <v>0.5</v>
      </c>
      <c r="AU300" s="28">
        <f t="shared" si="157"/>
        <v>7.4999999999999997E-2</v>
      </c>
      <c r="AV300" s="32">
        <v>75</v>
      </c>
      <c r="AW300" s="32">
        <v>75</v>
      </c>
      <c r="AX300" s="32">
        <v>80</v>
      </c>
      <c r="AY300" s="32">
        <v>80</v>
      </c>
      <c r="AZ300" s="32">
        <v>80</v>
      </c>
      <c r="BA300" s="32">
        <v>100</v>
      </c>
      <c r="BB300" s="23">
        <f t="shared" ca="1" si="158"/>
        <v>0.8</v>
      </c>
      <c r="BC300" s="33">
        <f t="shared" si="164"/>
        <v>81.666666666666671</v>
      </c>
      <c r="BD300" s="28">
        <f t="shared" si="159"/>
        <v>0.93877551020408168</v>
      </c>
      <c r="BE300" s="28">
        <f t="shared" si="160"/>
        <v>0.18775510204081636</v>
      </c>
      <c r="BF300" s="34">
        <f ca="1">Q300+AA300+AF300+AR300+BB300</f>
        <v>3.4000000000000004</v>
      </c>
      <c r="BG300" s="34">
        <f>AVERAGE(AV300:AZ300)</f>
        <v>78</v>
      </c>
      <c r="BH300" s="35">
        <f>T300+AD300+AI300+AU300+BE300</f>
        <v>0.63613264822745785</v>
      </c>
      <c r="BI300" s="36" t="str">
        <f ca="1">IF(K300&lt;365,"New CE",(IF(BH300&gt;=100%,"Promote",IF(BH300&gt;=90%,"Sangat Baik",IF(BH300&gt;=80%,"Baik",IF(BH300&gt;=70%,"Lebih Dari Cukup",IF(BH300&gt;=60%,"Cukup","Kurang")))))))</f>
        <v>Cukup</v>
      </c>
      <c r="BJ300" s="36" t="s">
        <v>860</v>
      </c>
      <c r="BK300" s="58" t="s">
        <v>48</v>
      </c>
      <c r="BL300" s="59" t="e">
        <v>#N/A</v>
      </c>
    </row>
    <row r="301" spans="1:64" x14ac:dyDescent="0.35">
      <c r="A301" s="19">
        <v>297</v>
      </c>
      <c r="B301" s="13" t="s">
        <v>720</v>
      </c>
      <c r="C301" s="20" t="s">
        <v>721</v>
      </c>
      <c r="D301" s="76" t="s">
        <v>54</v>
      </c>
      <c r="E301" s="13" t="s">
        <v>549</v>
      </c>
      <c r="F301" s="13" t="s">
        <v>74</v>
      </c>
      <c r="G301" s="13" t="s">
        <v>61</v>
      </c>
      <c r="H301" s="65">
        <v>45131</v>
      </c>
      <c r="I301" s="21">
        <f t="shared" ca="1" si="162"/>
        <v>45974</v>
      </c>
      <c r="J301" s="13" t="str">
        <f t="shared" ca="1" si="144"/>
        <v xml:space="preserve">2 Tahun 3 Bulan 20 Hari </v>
      </c>
      <c r="K301" s="13">
        <f t="shared" ca="1" si="163"/>
        <v>1213920</v>
      </c>
      <c r="L301" s="13">
        <v>81</v>
      </c>
      <c r="M301" s="13">
        <v>2</v>
      </c>
      <c r="N301" s="13">
        <v>677</v>
      </c>
      <c r="O301" s="22">
        <f t="shared" si="145"/>
        <v>338.5</v>
      </c>
      <c r="P301" s="13">
        <v>300</v>
      </c>
      <c r="Q301" s="23">
        <f t="shared" si="146"/>
        <v>0.8</v>
      </c>
      <c r="R301" s="24">
        <f t="shared" si="147"/>
        <v>4</v>
      </c>
      <c r="S301" s="25">
        <f t="shared" si="161"/>
        <v>0.88626292466765144</v>
      </c>
      <c r="T301" s="25">
        <f t="shared" si="148"/>
        <v>0.1772525849335303</v>
      </c>
      <c r="U301" s="26">
        <v>2216.9389823283655</v>
      </c>
      <c r="V301" s="26">
        <v>0</v>
      </c>
      <c r="W301" s="26">
        <v>2.0100308641975307E-3</v>
      </c>
      <c r="X301" s="27">
        <f t="shared" si="165"/>
        <v>0</v>
      </c>
      <c r="Y301" s="27">
        <f t="shared" si="166"/>
        <v>0</v>
      </c>
      <c r="Z301" s="27">
        <f t="shared" si="170"/>
        <v>1</v>
      </c>
      <c r="AA301" s="23">
        <f t="shared" si="168"/>
        <v>0.4</v>
      </c>
      <c r="AB301" s="24">
        <f t="shared" si="167"/>
        <v>1</v>
      </c>
      <c r="AC301" s="28">
        <f t="shared" si="149"/>
        <v>0.33333333333333331</v>
      </c>
      <c r="AD301" s="29">
        <f t="shared" si="150"/>
        <v>8.3333333333333329E-2</v>
      </c>
      <c r="AE301" s="30">
        <v>9.5541409465020571E-2</v>
      </c>
      <c r="AF301" s="23">
        <f t="shared" si="151"/>
        <v>0.75</v>
      </c>
      <c r="AG301" s="24">
        <f t="shared" si="169"/>
        <v>3</v>
      </c>
      <c r="AH301" s="28">
        <f t="shared" si="152"/>
        <v>0.6</v>
      </c>
      <c r="AI301" s="29">
        <f t="shared" si="153"/>
        <v>0.15</v>
      </c>
      <c r="AJ301" s="31">
        <v>1</v>
      </c>
      <c r="AK301" s="31">
        <v>1</v>
      </c>
      <c r="AL301" s="31">
        <v>0</v>
      </c>
      <c r="AM301" s="31">
        <v>0</v>
      </c>
      <c r="AN301" s="31">
        <v>0</v>
      </c>
      <c r="AO301" s="31">
        <v>0</v>
      </c>
      <c r="AP301" s="31">
        <v>0</v>
      </c>
      <c r="AQ301" s="31">
        <v>0</v>
      </c>
      <c r="AR301" s="23">
        <f t="shared" si="154"/>
        <v>0.4</v>
      </c>
      <c r="AS301" s="24">
        <f t="shared" si="155"/>
        <v>2</v>
      </c>
      <c r="AT301" s="28">
        <f t="shared" si="156"/>
        <v>0.25</v>
      </c>
      <c r="AU301" s="28">
        <f t="shared" si="157"/>
        <v>3.7499999999999999E-2</v>
      </c>
      <c r="AV301" s="32">
        <v>75</v>
      </c>
      <c r="AW301" s="32">
        <v>75</v>
      </c>
      <c r="AX301" s="32">
        <v>80</v>
      </c>
      <c r="AY301" s="32">
        <v>80</v>
      </c>
      <c r="AZ301" s="32">
        <v>80</v>
      </c>
      <c r="BA301" s="32">
        <v>100</v>
      </c>
      <c r="BB301" s="23">
        <f t="shared" ca="1" si="158"/>
        <v>0.8</v>
      </c>
      <c r="BC301" s="33">
        <f t="shared" si="164"/>
        <v>81.666666666666671</v>
      </c>
      <c r="BD301" s="28">
        <f t="shared" si="159"/>
        <v>0.93877551020408168</v>
      </c>
      <c r="BE301" s="28">
        <f t="shared" si="160"/>
        <v>0.18775510204081636</v>
      </c>
      <c r="BF301" s="34">
        <f ca="1">Q301+AA301+AF301+AR301+BB301</f>
        <v>3.1500000000000004</v>
      </c>
      <c r="BG301" s="34">
        <f>AVERAGE(AV301:AZ301)</f>
        <v>78</v>
      </c>
      <c r="BH301" s="35">
        <f>T301+AD301+AI301+AU301+BE301</f>
        <v>0.63584102030767997</v>
      </c>
      <c r="BI301" s="36" t="str">
        <f ca="1">IF(K301&lt;365,"New CE",(IF(BH301&gt;=100%,"Promote",IF(BH301&gt;=90%,"Sangat Baik",IF(BH301&gt;=80%,"Baik",IF(BH301&gt;=70%,"Lebih Dari Cukup",IF(BH301&gt;=60%,"Cukup","Kurang")))))))</f>
        <v>Cukup</v>
      </c>
      <c r="BJ301" s="36" t="s">
        <v>860</v>
      </c>
      <c r="BK301" s="58" t="s">
        <v>54</v>
      </c>
      <c r="BL301" s="59" t="str">
        <v>Rahmat Taufiq</v>
      </c>
    </row>
    <row r="302" spans="1:64" x14ac:dyDescent="0.35">
      <c r="A302" s="19">
        <v>298</v>
      </c>
      <c r="B302" s="13" t="s">
        <v>722</v>
      </c>
      <c r="C302" s="20" t="s">
        <v>723</v>
      </c>
      <c r="D302" s="76" t="s">
        <v>48</v>
      </c>
      <c r="E302" s="13" t="s">
        <v>192</v>
      </c>
      <c r="F302" s="13" t="s">
        <v>50</v>
      </c>
      <c r="G302" s="13" t="s">
        <v>55</v>
      </c>
      <c r="H302" s="65">
        <v>43349</v>
      </c>
      <c r="I302" s="21">
        <f t="shared" ca="1" si="162"/>
        <v>45974</v>
      </c>
      <c r="J302" s="13" t="str">
        <f t="shared" ca="1" si="144"/>
        <v xml:space="preserve">7 Tahun 2 Bulan 7 Hari </v>
      </c>
      <c r="K302" s="13">
        <f t="shared" ca="1" si="163"/>
        <v>3780000</v>
      </c>
      <c r="L302" s="13">
        <v>510</v>
      </c>
      <c r="M302" s="13">
        <v>9</v>
      </c>
      <c r="N302" s="13">
        <v>3962</v>
      </c>
      <c r="O302" s="22">
        <f t="shared" si="145"/>
        <v>440.22222222222223</v>
      </c>
      <c r="P302" s="13">
        <v>420</v>
      </c>
      <c r="Q302" s="23">
        <f t="shared" si="146"/>
        <v>0.8</v>
      </c>
      <c r="R302" s="24">
        <f t="shared" si="147"/>
        <v>4</v>
      </c>
      <c r="S302" s="25">
        <f t="shared" si="161"/>
        <v>0.95406360424028269</v>
      </c>
      <c r="T302" s="25">
        <f t="shared" si="148"/>
        <v>0.19081272084805656</v>
      </c>
      <c r="U302" s="26">
        <v>6754.5907238488462</v>
      </c>
      <c r="V302" s="26">
        <v>0</v>
      </c>
      <c r="W302" s="26">
        <v>0</v>
      </c>
      <c r="X302" s="27">
        <f t="shared" si="165"/>
        <v>0</v>
      </c>
      <c r="Y302" s="27">
        <f t="shared" si="166"/>
        <v>0</v>
      </c>
      <c r="Z302" s="27">
        <f t="shared" si="170"/>
        <v>0</v>
      </c>
      <c r="AA302" s="23">
        <f t="shared" si="168"/>
        <v>0</v>
      </c>
      <c r="AB302" s="24">
        <f t="shared" si="167"/>
        <v>0</v>
      </c>
      <c r="AC302" s="28">
        <f t="shared" si="149"/>
        <v>0</v>
      </c>
      <c r="AD302" s="29">
        <f t="shared" si="150"/>
        <v>0</v>
      </c>
      <c r="AE302" s="30">
        <v>5.8140696981618334E-2</v>
      </c>
      <c r="AF302" s="23">
        <f t="shared" si="151"/>
        <v>1</v>
      </c>
      <c r="AG302" s="24">
        <f t="shared" si="169"/>
        <v>4</v>
      </c>
      <c r="AH302" s="28">
        <f t="shared" si="152"/>
        <v>0.8</v>
      </c>
      <c r="AI302" s="29">
        <f t="shared" si="153"/>
        <v>0.2</v>
      </c>
      <c r="AJ302" s="31">
        <v>1</v>
      </c>
      <c r="AK302" s="31">
        <v>1</v>
      </c>
      <c r="AL302" s="31">
        <v>1</v>
      </c>
      <c r="AM302" s="31">
        <v>0</v>
      </c>
      <c r="AN302" s="31">
        <v>0</v>
      </c>
      <c r="AO302" s="31">
        <v>0</v>
      </c>
      <c r="AP302" s="31">
        <v>0</v>
      </c>
      <c r="AQ302" s="31">
        <v>0</v>
      </c>
      <c r="AR302" s="23">
        <f t="shared" si="154"/>
        <v>0.6</v>
      </c>
      <c r="AS302" s="24">
        <f t="shared" si="155"/>
        <v>3</v>
      </c>
      <c r="AT302" s="28">
        <f t="shared" si="156"/>
        <v>0.375</v>
      </c>
      <c r="AU302" s="28">
        <f t="shared" si="157"/>
        <v>5.6249999999999994E-2</v>
      </c>
      <c r="AV302" s="32">
        <v>75</v>
      </c>
      <c r="AW302" s="32">
        <v>75</v>
      </c>
      <c r="AX302" s="32">
        <v>90</v>
      </c>
      <c r="AY302" s="32">
        <v>90</v>
      </c>
      <c r="AZ302" s="32">
        <v>75</v>
      </c>
      <c r="BA302" s="32">
        <v>100</v>
      </c>
      <c r="BB302" s="23">
        <f t="shared" ca="1" si="158"/>
        <v>0.8</v>
      </c>
      <c r="BC302" s="33">
        <f t="shared" si="164"/>
        <v>84.166666666666671</v>
      </c>
      <c r="BD302" s="28">
        <f t="shared" si="159"/>
        <v>0.94059405940594054</v>
      </c>
      <c r="BE302" s="28">
        <f t="shared" si="160"/>
        <v>0.18811881188118812</v>
      </c>
      <c r="BF302" s="34">
        <f ca="1">Q302+AA302+AF302+AR302+BB302</f>
        <v>3.2</v>
      </c>
      <c r="BG302" s="34">
        <f>AVERAGE(AV302:AZ302)</f>
        <v>81</v>
      </c>
      <c r="BH302" s="35">
        <f>T302+AD302+AI302+AU302+BE302</f>
        <v>0.63518153272924471</v>
      </c>
      <c r="BI302" s="36" t="str">
        <f ca="1">IF(K302&lt;365,"New CE",(IF(BH302&gt;=100%,"Promote",IF(BH302&gt;=90%,"Sangat Baik",IF(BH302&gt;=80%,"Baik",IF(BH302&gt;=70%,"Lebih Dari Cukup",IF(BH302&gt;=60%,"Cukup","Kurang")))))))</f>
        <v>Cukup</v>
      </c>
      <c r="BJ302" s="36" t="s">
        <v>860</v>
      </c>
      <c r="BK302" s="58" t="s">
        <v>48</v>
      </c>
      <c r="BL302" s="59" t="e">
        <v>#N/A</v>
      </c>
    </row>
    <row r="303" spans="1:64" x14ac:dyDescent="0.35">
      <c r="A303" s="19">
        <v>299</v>
      </c>
      <c r="B303" s="13" t="s">
        <v>724</v>
      </c>
      <c r="C303" s="20" t="s">
        <v>725</v>
      </c>
      <c r="D303" s="76" t="s">
        <v>42</v>
      </c>
      <c r="E303" s="13" t="s">
        <v>98</v>
      </c>
      <c r="F303" s="13" t="s">
        <v>50</v>
      </c>
      <c r="G303" s="13" t="s">
        <v>61</v>
      </c>
      <c r="H303" s="65">
        <v>43740</v>
      </c>
      <c r="I303" s="21">
        <f t="shared" ca="1" si="162"/>
        <v>45974</v>
      </c>
      <c r="J303" s="13" t="str">
        <f t="shared" ca="1" si="144"/>
        <v xml:space="preserve">6 Tahun 1 Bulan 11 Hari </v>
      </c>
      <c r="K303" s="13">
        <f t="shared" ca="1" si="163"/>
        <v>3216960</v>
      </c>
      <c r="L303" s="13">
        <v>1040</v>
      </c>
      <c r="M303" s="13">
        <v>17</v>
      </c>
      <c r="N303" s="13">
        <v>7455</v>
      </c>
      <c r="O303" s="22">
        <f t="shared" si="145"/>
        <v>438.52941176470586</v>
      </c>
      <c r="P303" s="13">
        <v>417</v>
      </c>
      <c r="Q303" s="23">
        <f t="shared" si="146"/>
        <v>0.8</v>
      </c>
      <c r="R303" s="24">
        <f t="shared" si="147"/>
        <v>4</v>
      </c>
      <c r="S303" s="25">
        <f t="shared" si="161"/>
        <v>0.95090543259557347</v>
      </c>
      <c r="T303" s="25">
        <f t="shared" si="148"/>
        <v>0.19018108651911469</v>
      </c>
      <c r="U303" s="26">
        <v>1911.3205702972712</v>
      </c>
      <c r="V303" s="26">
        <v>0</v>
      </c>
      <c r="W303" s="26">
        <v>0</v>
      </c>
      <c r="X303" s="27">
        <f t="shared" si="165"/>
        <v>0</v>
      </c>
      <c r="Y303" s="27">
        <f t="shared" si="166"/>
        <v>0</v>
      </c>
      <c r="Z303" s="27">
        <f t="shared" si="170"/>
        <v>0</v>
      </c>
      <c r="AA303" s="23">
        <f>IF(AB303=3, 1.75, IF(AB303=2, 1, IF(AB303=1, 0.75, IF(AB303=0, 0, 0))))</f>
        <v>0</v>
      </c>
      <c r="AB303" s="24">
        <f t="shared" si="167"/>
        <v>0</v>
      </c>
      <c r="AC303" s="28">
        <f t="shared" si="149"/>
        <v>0</v>
      </c>
      <c r="AD303" s="29">
        <f t="shared" si="150"/>
        <v>0</v>
      </c>
      <c r="AE303" s="30">
        <v>4.9117344075677409E-2</v>
      </c>
      <c r="AF303" s="23">
        <f t="shared" si="151"/>
        <v>1</v>
      </c>
      <c r="AG303" s="24">
        <f t="shared" si="169"/>
        <v>4</v>
      </c>
      <c r="AH303" s="28">
        <f t="shared" si="152"/>
        <v>0.8</v>
      </c>
      <c r="AI303" s="29">
        <f t="shared" si="153"/>
        <v>0.2</v>
      </c>
      <c r="AJ303" s="31">
        <v>1</v>
      </c>
      <c r="AK303" s="31">
        <v>1</v>
      </c>
      <c r="AL303" s="31">
        <v>1</v>
      </c>
      <c r="AM303" s="31">
        <v>0</v>
      </c>
      <c r="AN303" s="31">
        <v>0</v>
      </c>
      <c r="AO303" s="31">
        <v>0</v>
      </c>
      <c r="AP303" s="31">
        <v>0</v>
      </c>
      <c r="AQ303" s="31">
        <v>0</v>
      </c>
      <c r="AR303" s="23">
        <f t="shared" si="154"/>
        <v>0.6</v>
      </c>
      <c r="AS303" s="24">
        <f t="shared" si="155"/>
        <v>3</v>
      </c>
      <c r="AT303" s="28">
        <f t="shared" si="156"/>
        <v>0.375</v>
      </c>
      <c r="AU303" s="28">
        <f t="shared" si="157"/>
        <v>5.6249999999999994E-2</v>
      </c>
      <c r="AV303" s="32">
        <v>75</v>
      </c>
      <c r="AW303" s="32">
        <v>75</v>
      </c>
      <c r="AX303" s="32">
        <v>90</v>
      </c>
      <c r="AY303" s="32">
        <v>90</v>
      </c>
      <c r="AZ303" s="32">
        <v>80</v>
      </c>
      <c r="BA303" s="32">
        <v>100</v>
      </c>
      <c r="BB303" s="23">
        <f t="shared" ca="1" si="158"/>
        <v>0.8</v>
      </c>
      <c r="BC303" s="33">
        <f t="shared" si="164"/>
        <v>85</v>
      </c>
      <c r="BD303" s="28">
        <f t="shared" si="159"/>
        <v>0.94117647058823528</v>
      </c>
      <c r="BE303" s="28">
        <f t="shared" si="160"/>
        <v>0.18823529411764706</v>
      </c>
      <c r="BF303" s="34">
        <f ca="1">Q303+AA303+AF303+AR303+BB303</f>
        <v>3.2</v>
      </c>
      <c r="BG303" s="34">
        <f>AVERAGE(AV303:AZ303)</f>
        <v>82</v>
      </c>
      <c r="BH303" s="35">
        <f>T303+AD303+AI303+AU303+BE303</f>
        <v>0.63466638063676173</v>
      </c>
      <c r="BI303" s="36" t="str">
        <f ca="1">IF(K303&lt;365,"New CE",(IF(BH303&gt;=100%,"Promote",IF(BH303&gt;=90%,"Sangat Baik",IF(BH303&gt;=80%,"Baik",IF(BH303&gt;=70%,"Lebih Dari Cukup",IF(BH303&gt;=60%,"Cukup","Kurang")))))))</f>
        <v>Cukup</v>
      </c>
      <c r="BJ303" s="36" t="s">
        <v>860</v>
      </c>
      <c r="BK303" s="58" t="s">
        <v>42</v>
      </c>
      <c r="BL303" s="59" t="e">
        <v>#N/A</v>
      </c>
    </row>
    <row r="304" spans="1:64" x14ac:dyDescent="0.35">
      <c r="A304" s="19">
        <v>300</v>
      </c>
      <c r="B304" s="13" t="s">
        <v>726</v>
      </c>
      <c r="C304" s="20" t="s">
        <v>727</v>
      </c>
      <c r="D304" s="76" t="s">
        <v>48</v>
      </c>
      <c r="E304" s="13" t="s">
        <v>49</v>
      </c>
      <c r="F304" s="13" t="s">
        <v>50</v>
      </c>
      <c r="G304" s="13" t="s">
        <v>51</v>
      </c>
      <c r="H304" s="65">
        <v>44690</v>
      </c>
      <c r="I304" s="21">
        <f t="shared" ca="1" si="162"/>
        <v>45974</v>
      </c>
      <c r="J304" s="13" t="str">
        <f t="shared" ca="1" si="144"/>
        <v xml:space="preserve">3 Tahun 6 Bulan 4 Hari </v>
      </c>
      <c r="K304" s="13">
        <f t="shared" ca="1" si="163"/>
        <v>1848960</v>
      </c>
      <c r="L304" s="13">
        <v>893</v>
      </c>
      <c r="M304" s="13">
        <v>14</v>
      </c>
      <c r="N304" s="13">
        <v>6172</v>
      </c>
      <c r="O304" s="22">
        <f t="shared" si="145"/>
        <v>440.85714285714283</v>
      </c>
      <c r="P304" s="13">
        <v>376</v>
      </c>
      <c r="Q304" s="23">
        <f t="shared" si="146"/>
        <v>0.8</v>
      </c>
      <c r="R304" s="24">
        <f t="shared" si="147"/>
        <v>4</v>
      </c>
      <c r="S304" s="25">
        <f t="shared" si="161"/>
        <v>0.85288399222294242</v>
      </c>
      <c r="T304" s="25">
        <f t="shared" si="148"/>
        <v>0.17057679844458851</v>
      </c>
      <c r="U304" s="26">
        <v>4283.9595095213135</v>
      </c>
      <c r="V304" s="26">
        <v>0</v>
      </c>
      <c r="W304" s="26">
        <v>0</v>
      </c>
      <c r="X304" s="27">
        <f t="shared" si="165"/>
        <v>0</v>
      </c>
      <c r="Y304" s="27">
        <f t="shared" si="166"/>
        <v>0</v>
      </c>
      <c r="Z304" s="27">
        <f t="shared" si="170"/>
        <v>0</v>
      </c>
      <c r="AA304" s="23">
        <f t="shared" ref="AA304:AA349" si="171">IF(AB304=3, 1.25, IF(AB304=2, 0.8, IF(AB304=1, 0.4, IF(AB304=0, 0, 0))))</f>
        <v>0</v>
      </c>
      <c r="AB304" s="24">
        <f t="shared" si="167"/>
        <v>0</v>
      </c>
      <c r="AC304" s="28">
        <f t="shared" si="149"/>
        <v>0</v>
      </c>
      <c r="AD304" s="29">
        <f t="shared" si="150"/>
        <v>0</v>
      </c>
      <c r="AE304" s="30">
        <v>4.7290476032252352E-2</v>
      </c>
      <c r="AF304" s="23">
        <f t="shared" si="151"/>
        <v>1</v>
      </c>
      <c r="AG304" s="24">
        <f t="shared" si="169"/>
        <v>4</v>
      </c>
      <c r="AH304" s="28">
        <f t="shared" si="152"/>
        <v>0.8</v>
      </c>
      <c r="AI304" s="29">
        <f t="shared" si="153"/>
        <v>0.2</v>
      </c>
      <c r="AJ304" s="31">
        <v>1</v>
      </c>
      <c r="AK304" s="31">
        <v>1</v>
      </c>
      <c r="AL304" s="31">
        <v>1</v>
      </c>
      <c r="AM304" s="31">
        <v>1</v>
      </c>
      <c r="AN304" s="31">
        <v>0</v>
      </c>
      <c r="AO304" s="31">
        <v>0</v>
      </c>
      <c r="AP304" s="31">
        <v>0</v>
      </c>
      <c r="AQ304" s="31">
        <v>0</v>
      </c>
      <c r="AR304" s="23">
        <f t="shared" si="154"/>
        <v>0.8</v>
      </c>
      <c r="AS304" s="24">
        <f t="shared" si="155"/>
        <v>4</v>
      </c>
      <c r="AT304" s="28">
        <f t="shared" si="156"/>
        <v>0.5</v>
      </c>
      <c r="AU304" s="28">
        <f t="shared" si="157"/>
        <v>7.4999999999999997E-2</v>
      </c>
      <c r="AV304" s="32">
        <v>75</v>
      </c>
      <c r="AW304" s="32">
        <v>75</v>
      </c>
      <c r="AX304" s="32">
        <v>90</v>
      </c>
      <c r="AY304" s="32">
        <v>90</v>
      </c>
      <c r="AZ304" s="32">
        <v>85</v>
      </c>
      <c r="BA304" s="32">
        <v>100</v>
      </c>
      <c r="BB304" s="23">
        <f t="shared" ca="1" si="158"/>
        <v>0.8</v>
      </c>
      <c r="BC304" s="33">
        <f t="shared" si="164"/>
        <v>85.833333333333329</v>
      </c>
      <c r="BD304" s="28">
        <f t="shared" si="159"/>
        <v>0.94174757281553401</v>
      </c>
      <c r="BE304" s="28">
        <f t="shared" si="160"/>
        <v>0.18834951456310681</v>
      </c>
      <c r="BF304" s="34">
        <f ca="1">Q304+AA304+AF304+AR304+BB304</f>
        <v>3.4000000000000004</v>
      </c>
      <c r="BG304" s="34">
        <f>AVERAGE(AV304:AZ304)</f>
        <v>83</v>
      </c>
      <c r="BH304" s="35">
        <f>T304+AD304+AI304+AU304+BE304</f>
        <v>0.63392631300769531</v>
      </c>
      <c r="BI304" s="36" t="str">
        <f ca="1">IF(K304&lt;365,"New CE",(IF(BH304&gt;=100%,"Promote",IF(BH304&gt;=90%,"Sangat Baik",IF(BH304&gt;=80%,"Baik",IF(BH304&gt;=70%,"Lebih Dari Cukup",IF(BH304&gt;=60%,"Cukup","Kurang")))))))</f>
        <v>Cukup</v>
      </c>
      <c r="BJ304" s="36" t="s">
        <v>860</v>
      </c>
      <c r="BK304" s="58" t="s">
        <v>48</v>
      </c>
      <c r="BL304" s="59" t="e">
        <v>#N/A</v>
      </c>
    </row>
    <row r="305" spans="1:64" x14ac:dyDescent="0.35">
      <c r="A305" s="19">
        <v>301</v>
      </c>
      <c r="B305" s="13" t="s">
        <v>728</v>
      </c>
      <c r="C305" s="20" t="s">
        <v>729</v>
      </c>
      <c r="D305" s="76" t="s">
        <v>48</v>
      </c>
      <c r="E305" s="13" t="s">
        <v>226</v>
      </c>
      <c r="F305" s="13" t="s">
        <v>74</v>
      </c>
      <c r="G305" s="13" t="s">
        <v>55</v>
      </c>
      <c r="H305" s="65">
        <v>44228</v>
      </c>
      <c r="I305" s="21">
        <f t="shared" ca="1" si="162"/>
        <v>45974</v>
      </c>
      <c r="J305" s="13" t="str">
        <f t="shared" ca="1" si="144"/>
        <v xml:space="preserve">4 Tahun 9 Bulan 12 Hari </v>
      </c>
      <c r="K305" s="13">
        <f t="shared" ca="1" si="163"/>
        <v>2514240</v>
      </c>
      <c r="L305" s="13">
        <v>283</v>
      </c>
      <c r="M305" s="13">
        <v>4</v>
      </c>
      <c r="N305" s="13">
        <v>1878</v>
      </c>
      <c r="O305" s="22">
        <f t="shared" si="145"/>
        <v>469.5</v>
      </c>
      <c r="P305" s="13">
        <v>362</v>
      </c>
      <c r="Q305" s="23">
        <f t="shared" si="146"/>
        <v>0.6</v>
      </c>
      <c r="R305" s="24">
        <f t="shared" si="147"/>
        <v>3</v>
      </c>
      <c r="S305" s="25">
        <f t="shared" si="161"/>
        <v>0.77103301384451539</v>
      </c>
      <c r="T305" s="25">
        <f t="shared" si="148"/>
        <v>0.15420660276890308</v>
      </c>
      <c r="U305" s="26">
        <v>3251.4317390046299</v>
      </c>
      <c r="V305" s="26">
        <v>5340.2970179738559</v>
      </c>
      <c r="W305" s="26">
        <v>8.5086805555555561E-2</v>
      </c>
      <c r="X305" s="27">
        <f t="shared" si="165"/>
        <v>0</v>
      </c>
      <c r="Y305" s="27">
        <f t="shared" si="166"/>
        <v>0</v>
      </c>
      <c r="Z305" s="27">
        <f t="shared" si="170"/>
        <v>1</v>
      </c>
      <c r="AA305" s="23">
        <f t="shared" si="171"/>
        <v>0.4</v>
      </c>
      <c r="AB305" s="24">
        <f t="shared" si="167"/>
        <v>1</v>
      </c>
      <c r="AC305" s="28">
        <f t="shared" si="149"/>
        <v>0.33333333333333331</v>
      </c>
      <c r="AD305" s="29">
        <f t="shared" si="150"/>
        <v>8.3333333333333329E-2</v>
      </c>
      <c r="AE305" s="30">
        <v>9.7141242982235615E-2</v>
      </c>
      <c r="AF305" s="23">
        <f t="shared" si="151"/>
        <v>0.75</v>
      </c>
      <c r="AG305" s="24">
        <f t="shared" si="169"/>
        <v>3</v>
      </c>
      <c r="AH305" s="28">
        <f t="shared" si="152"/>
        <v>0.6</v>
      </c>
      <c r="AI305" s="29">
        <f t="shared" si="153"/>
        <v>0.15</v>
      </c>
      <c r="AJ305" s="31">
        <v>1</v>
      </c>
      <c r="AK305" s="31">
        <v>1</v>
      </c>
      <c r="AL305" s="31">
        <v>0</v>
      </c>
      <c r="AM305" s="31">
        <v>0</v>
      </c>
      <c r="AN305" s="31">
        <v>0</v>
      </c>
      <c r="AO305" s="31">
        <v>1</v>
      </c>
      <c r="AP305" s="31">
        <v>0</v>
      </c>
      <c r="AQ305" s="31">
        <v>0</v>
      </c>
      <c r="AR305" s="23">
        <f t="shared" si="154"/>
        <v>0.6</v>
      </c>
      <c r="AS305" s="24">
        <f t="shared" si="155"/>
        <v>3</v>
      </c>
      <c r="AT305" s="28">
        <f t="shared" si="156"/>
        <v>0.375</v>
      </c>
      <c r="AU305" s="28">
        <f t="shared" si="157"/>
        <v>5.6249999999999994E-2</v>
      </c>
      <c r="AV305" s="32">
        <v>75</v>
      </c>
      <c r="AW305" s="32">
        <v>75</v>
      </c>
      <c r="AX305" s="32">
        <v>80</v>
      </c>
      <c r="AY305" s="32">
        <v>75</v>
      </c>
      <c r="AZ305" s="32">
        <v>80</v>
      </c>
      <c r="BA305" s="32">
        <v>100</v>
      </c>
      <c r="BB305" s="23">
        <f t="shared" ca="1" si="158"/>
        <v>0.8</v>
      </c>
      <c r="BC305" s="33">
        <f t="shared" si="164"/>
        <v>80.833333333333329</v>
      </c>
      <c r="BD305" s="28">
        <f t="shared" si="159"/>
        <v>0.93814432989690721</v>
      </c>
      <c r="BE305" s="28">
        <f t="shared" si="160"/>
        <v>0.18762886597938144</v>
      </c>
      <c r="BF305" s="34">
        <f ca="1">Q305+AA305+AF305+AR305+BB305</f>
        <v>3.1500000000000004</v>
      </c>
      <c r="BG305" s="34">
        <f>AVERAGE(AV305:AZ305)</f>
        <v>77</v>
      </c>
      <c r="BH305" s="35">
        <f>T305+AD305+AI305+AU305+BE305</f>
        <v>0.63141880208161782</v>
      </c>
      <c r="BI305" s="36" t="str">
        <f ca="1">IF(K305&lt;365,"New CE",(IF(BH305&gt;=100%,"Promote",IF(BH305&gt;=90%,"Sangat Baik",IF(BH305&gt;=80%,"Baik",IF(BH305&gt;=70%,"Lebih Dari Cukup",IF(BH305&gt;=60%,"Cukup","Kurang")))))))</f>
        <v>Cukup</v>
      </c>
      <c r="BJ305" s="36" t="s">
        <v>860</v>
      </c>
      <c r="BK305" s="58" t="s">
        <v>48</v>
      </c>
      <c r="BL305" s="59" t="str">
        <v>Yusuf Banjarnahor</v>
      </c>
    </row>
    <row r="306" spans="1:64" x14ac:dyDescent="0.35">
      <c r="A306" s="19">
        <v>302</v>
      </c>
      <c r="B306" s="13" t="s">
        <v>730</v>
      </c>
      <c r="C306" s="20" t="s">
        <v>731</v>
      </c>
      <c r="D306" s="76" t="s">
        <v>54</v>
      </c>
      <c r="E306" s="13" t="s">
        <v>95</v>
      </c>
      <c r="F306" s="13" t="s">
        <v>50</v>
      </c>
      <c r="G306" s="13" t="s">
        <v>55</v>
      </c>
      <c r="H306" s="65">
        <v>44882</v>
      </c>
      <c r="I306" s="21">
        <f t="shared" ca="1" si="162"/>
        <v>45974</v>
      </c>
      <c r="J306" s="13" t="str">
        <f t="shared" ca="1" si="144"/>
        <v xml:space="preserve">2 Tahun 11 Bulan 27 Hari </v>
      </c>
      <c r="K306" s="13">
        <f t="shared" ca="1" si="163"/>
        <v>1572480</v>
      </c>
      <c r="L306" s="13">
        <v>897</v>
      </c>
      <c r="M306" s="13">
        <v>13</v>
      </c>
      <c r="N306" s="13">
        <v>6212</v>
      </c>
      <c r="O306" s="22">
        <f t="shared" si="145"/>
        <v>477.84615384615387</v>
      </c>
      <c r="P306" s="13">
        <v>446</v>
      </c>
      <c r="Q306" s="23">
        <f t="shared" si="146"/>
        <v>0.8</v>
      </c>
      <c r="R306" s="24">
        <f t="shared" si="147"/>
        <v>4</v>
      </c>
      <c r="S306" s="25">
        <f t="shared" si="161"/>
        <v>0.93335479716677394</v>
      </c>
      <c r="T306" s="25">
        <f t="shared" si="148"/>
        <v>0.18667095943335479</v>
      </c>
      <c r="U306" s="26">
        <v>756.98693846450635</v>
      </c>
      <c r="V306" s="26">
        <v>0</v>
      </c>
      <c r="W306" s="26">
        <v>0</v>
      </c>
      <c r="X306" s="27">
        <f t="shared" si="165"/>
        <v>0</v>
      </c>
      <c r="Y306" s="27">
        <f t="shared" si="166"/>
        <v>0</v>
      </c>
      <c r="Z306" s="27">
        <f t="shared" si="170"/>
        <v>0</v>
      </c>
      <c r="AA306" s="23">
        <f t="shared" si="171"/>
        <v>0</v>
      </c>
      <c r="AB306" s="24">
        <f t="shared" si="167"/>
        <v>0</v>
      </c>
      <c r="AC306" s="28">
        <f t="shared" si="149"/>
        <v>0</v>
      </c>
      <c r="AD306" s="29">
        <f t="shared" si="150"/>
        <v>0</v>
      </c>
      <c r="AE306" s="30">
        <v>8.1790297137373458E-2</v>
      </c>
      <c r="AF306" s="23">
        <f t="shared" si="151"/>
        <v>1</v>
      </c>
      <c r="AG306" s="24">
        <f t="shared" si="169"/>
        <v>4</v>
      </c>
      <c r="AH306" s="28">
        <f t="shared" si="152"/>
        <v>0.8</v>
      </c>
      <c r="AI306" s="29">
        <f t="shared" si="153"/>
        <v>0.2</v>
      </c>
      <c r="AJ306" s="31">
        <v>1</v>
      </c>
      <c r="AK306" s="31">
        <v>1</v>
      </c>
      <c r="AL306" s="31">
        <v>1</v>
      </c>
      <c r="AM306" s="31">
        <v>0</v>
      </c>
      <c r="AN306" s="31">
        <v>0</v>
      </c>
      <c r="AO306" s="31">
        <v>0</v>
      </c>
      <c r="AP306" s="31">
        <v>0</v>
      </c>
      <c r="AQ306" s="31">
        <v>0</v>
      </c>
      <c r="AR306" s="23">
        <f t="shared" si="154"/>
        <v>0.6</v>
      </c>
      <c r="AS306" s="24">
        <f t="shared" si="155"/>
        <v>3</v>
      </c>
      <c r="AT306" s="28">
        <f t="shared" si="156"/>
        <v>0.375</v>
      </c>
      <c r="AU306" s="28">
        <f t="shared" si="157"/>
        <v>5.6249999999999994E-2</v>
      </c>
      <c r="AV306" s="32">
        <v>75</v>
      </c>
      <c r="AW306" s="32">
        <v>75</v>
      </c>
      <c r="AX306" s="32">
        <v>75</v>
      </c>
      <c r="AY306" s="32">
        <v>85</v>
      </c>
      <c r="AZ306" s="32">
        <v>80</v>
      </c>
      <c r="BA306" s="32">
        <v>100</v>
      </c>
      <c r="BB306" s="23">
        <f t="shared" ca="1" si="158"/>
        <v>0.8</v>
      </c>
      <c r="BC306" s="33">
        <f t="shared" si="164"/>
        <v>81.666666666666671</v>
      </c>
      <c r="BD306" s="28">
        <f t="shared" si="159"/>
        <v>0.93877551020408168</v>
      </c>
      <c r="BE306" s="28">
        <f t="shared" si="160"/>
        <v>0.18775510204081636</v>
      </c>
      <c r="BF306" s="34">
        <f ca="1">Q306+AA306+AF306+AR306+BB306</f>
        <v>3.2</v>
      </c>
      <c r="BG306" s="34">
        <f>AVERAGE(AV306:AZ306)</f>
        <v>78</v>
      </c>
      <c r="BH306" s="35">
        <f>T306+AD306+AI306+AU306+BE306</f>
        <v>0.63067606147417121</v>
      </c>
      <c r="BI306" s="36" t="str">
        <f ca="1">IF(K306&lt;365,"New CE",(IF(BH306&gt;=100%,"Promote",IF(BH306&gt;=90%,"Sangat Baik",IF(BH306&gt;=80%,"Baik",IF(BH306&gt;=70%,"Lebih Dari Cukup",IF(BH306&gt;=60%,"Cukup","Kurang")))))))</f>
        <v>Cukup</v>
      </c>
      <c r="BJ306" s="36" t="s">
        <v>860</v>
      </c>
      <c r="BK306" s="58" t="s">
        <v>54</v>
      </c>
      <c r="BL306" s="59" t="e">
        <v>#N/A</v>
      </c>
    </row>
    <row r="307" spans="1:64" x14ac:dyDescent="0.35">
      <c r="A307" s="19">
        <v>303</v>
      </c>
      <c r="B307" s="13" t="s">
        <v>732</v>
      </c>
      <c r="C307" s="20" t="s">
        <v>733</v>
      </c>
      <c r="D307" s="76" t="s">
        <v>54</v>
      </c>
      <c r="E307" s="13" t="s">
        <v>95</v>
      </c>
      <c r="F307" s="13" t="s">
        <v>50</v>
      </c>
      <c r="G307" s="13" t="s">
        <v>61</v>
      </c>
      <c r="H307" s="65">
        <v>44935</v>
      </c>
      <c r="I307" s="21">
        <f t="shared" ca="1" si="162"/>
        <v>45974</v>
      </c>
      <c r="J307" s="13" t="str">
        <f t="shared" ca="1" si="144"/>
        <v xml:space="preserve">2 Tahun 10 Bulan 4 Hari </v>
      </c>
      <c r="K307" s="13">
        <f t="shared" ca="1" si="163"/>
        <v>1496160</v>
      </c>
      <c r="L307" s="13">
        <v>897</v>
      </c>
      <c r="M307" s="13">
        <v>13</v>
      </c>
      <c r="N307" s="13">
        <v>6212</v>
      </c>
      <c r="O307" s="22">
        <f t="shared" si="145"/>
        <v>477.84615384615387</v>
      </c>
      <c r="P307" s="13">
        <v>311</v>
      </c>
      <c r="Q307" s="23">
        <f t="shared" si="146"/>
        <v>0.6</v>
      </c>
      <c r="R307" s="24">
        <f t="shared" si="147"/>
        <v>3</v>
      </c>
      <c r="S307" s="25">
        <f t="shared" si="161"/>
        <v>0.6508370895041854</v>
      </c>
      <c r="T307" s="25">
        <f t="shared" si="148"/>
        <v>0.13016741790083708</v>
      </c>
      <c r="U307" s="26">
        <v>1135.3904945023148</v>
      </c>
      <c r="V307" s="26">
        <v>0</v>
      </c>
      <c r="W307" s="26">
        <v>0</v>
      </c>
      <c r="X307" s="27">
        <f t="shared" si="165"/>
        <v>0</v>
      </c>
      <c r="Y307" s="27">
        <f t="shared" si="166"/>
        <v>0</v>
      </c>
      <c r="Z307" s="27">
        <f t="shared" si="170"/>
        <v>0</v>
      </c>
      <c r="AA307" s="23">
        <f t="shared" si="171"/>
        <v>0</v>
      </c>
      <c r="AB307" s="24">
        <f t="shared" si="167"/>
        <v>0</v>
      </c>
      <c r="AC307" s="28">
        <f t="shared" si="149"/>
        <v>0</v>
      </c>
      <c r="AD307" s="29">
        <f t="shared" si="150"/>
        <v>0</v>
      </c>
      <c r="AE307" s="30">
        <v>5.5018408289241622E-2</v>
      </c>
      <c r="AF307" s="23">
        <f t="shared" si="151"/>
        <v>1</v>
      </c>
      <c r="AG307" s="24">
        <f t="shared" si="169"/>
        <v>4</v>
      </c>
      <c r="AH307" s="28">
        <f t="shared" si="152"/>
        <v>0.8</v>
      </c>
      <c r="AI307" s="29">
        <f t="shared" si="153"/>
        <v>0.2</v>
      </c>
      <c r="AJ307" s="31">
        <v>1</v>
      </c>
      <c r="AK307" s="31">
        <v>1</v>
      </c>
      <c r="AL307" s="31">
        <v>1</v>
      </c>
      <c r="AM307" s="31">
        <v>1</v>
      </c>
      <c r="AN307" s="31">
        <v>1</v>
      </c>
      <c r="AO307" s="31">
        <v>1</v>
      </c>
      <c r="AP307" s="31">
        <v>0</v>
      </c>
      <c r="AQ307" s="31">
        <v>0</v>
      </c>
      <c r="AR307" s="23">
        <f t="shared" si="154"/>
        <v>1</v>
      </c>
      <c r="AS307" s="24">
        <f t="shared" si="155"/>
        <v>6</v>
      </c>
      <c r="AT307" s="28">
        <f t="shared" si="156"/>
        <v>0.75</v>
      </c>
      <c r="AU307" s="28">
        <f t="shared" si="157"/>
        <v>0.11249999999999999</v>
      </c>
      <c r="AV307" s="32">
        <v>75</v>
      </c>
      <c r="AW307" s="32">
        <v>75</v>
      </c>
      <c r="AX307" s="32">
        <v>75</v>
      </c>
      <c r="AY307" s="32">
        <v>85</v>
      </c>
      <c r="AZ307" s="32">
        <v>80</v>
      </c>
      <c r="BA307" s="32">
        <v>100</v>
      </c>
      <c r="BB307" s="23">
        <f t="shared" ca="1" si="158"/>
        <v>0.8</v>
      </c>
      <c r="BC307" s="33">
        <f t="shared" si="164"/>
        <v>81.666666666666671</v>
      </c>
      <c r="BD307" s="28">
        <f t="shared" si="159"/>
        <v>0.93877551020408168</v>
      </c>
      <c r="BE307" s="28">
        <f t="shared" si="160"/>
        <v>0.18775510204081636</v>
      </c>
      <c r="BF307" s="34">
        <f ca="1">Q307+AA307+AF307+AR307+BB307</f>
        <v>3.4000000000000004</v>
      </c>
      <c r="BG307" s="34">
        <f>AVERAGE(AV307:AZ307)</f>
        <v>78</v>
      </c>
      <c r="BH307" s="35">
        <f>T307+AD307+AI307+AU307+BE307</f>
        <v>0.63042251994165344</v>
      </c>
      <c r="BI307" s="36" t="str">
        <f ca="1">IF(K307&lt;365,"New CE",(IF(BH307&gt;=100%,"Promote",IF(BH307&gt;=90%,"Sangat Baik",IF(BH307&gt;=80%,"Baik",IF(BH307&gt;=70%,"Lebih Dari Cukup",IF(BH307&gt;=60%,"Cukup","Kurang")))))))</f>
        <v>Cukup</v>
      </c>
      <c r="BJ307" s="36" t="s">
        <v>860</v>
      </c>
      <c r="BK307" s="58" t="s">
        <v>54</v>
      </c>
      <c r="BL307" s="59" t="e">
        <v>#N/A</v>
      </c>
    </row>
    <row r="308" spans="1:64" x14ac:dyDescent="0.35">
      <c r="A308" s="19">
        <v>304</v>
      </c>
      <c r="B308" s="13" t="s">
        <v>734</v>
      </c>
      <c r="C308" s="20" t="s">
        <v>735</v>
      </c>
      <c r="D308" s="76" t="s">
        <v>54</v>
      </c>
      <c r="E308" s="13" t="s">
        <v>95</v>
      </c>
      <c r="F308" s="13" t="s">
        <v>50</v>
      </c>
      <c r="G308" s="13" t="s">
        <v>55</v>
      </c>
      <c r="H308" s="65">
        <v>45306</v>
      </c>
      <c r="I308" s="21">
        <f t="shared" ca="1" si="162"/>
        <v>45974</v>
      </c>
      <c r="J308" s="13" t="str">
        <f t="shared" ca="1" si="144"/>
        <v xml:space="preserve">1 Tahun 9 Bulan 29 Hari </v>
      </c>
      <c r="K308" s="13">
        <f t="shared" ca="1" si="163"/>
        <v>961920</v>
      </c>
      <c r="L308" s="13">
        <v>897</v>
      </c>
      <c r="M308" s="13">
        <v>13</v>
      </c>
      <c r="N308" s="13">
        <v>6212</v>
      </c>
      <c r="O308" s="22">
        <f t="shared" si="145"/>
        <v>477.84615384615387</v>
      </c>
      <c r="P308" s="13">
        <v>365</v>
      </c>
      <c r="Q308" s="23">
        <f t="shared" si="146"/>
        <v>0.6</v>
      </c>
      <c r="R308" s="24">
        <f t="shared" si="147"/>
        <v>3</v>
      </c>
      <c r="S308" s="25">
        <f t="shared" si="161"/>
        <v>0.76384417256922088</v>
      </c>
      <c r="T308" s="25">
        <f t="shared" si="148"/>
        <v>0.15276883451384418</v>
      </c>
      <c r="U308" s="26">
        <v>7.7832547949735478E-3</v>
      </c>
      <c r="V308" s="26">
        <v>0</v>
      </c>
      <c r="W308" s="26">
        <v>0</v>
      </c>
      <c r="X308" s="27">
        <f t="shared" si="165"/>
        <v>1</v>
      </c>
      <c r="Y308" s="27">
        <f t="shared" si="166"/>
        <v>0</v>
      </c>
      <c r="Z308" s="27">
        <f t="shared" si="170"/>
        <v>0</v>
      </c>
      <c r="AA308" s="23">
        <f t="shared" si="171"/>
        <v>0.4</v>
      </c>
      <c r="AB308" s="24">
        <f t="shared" si="167"/>
        <v>1</v>
      </c>
      <c r="AC308" s="28">
        <f t="shared" si="149"/>
        <v>0.33333333333333331</v>
      </c>
      <c r="AD308" s="29">
        <f t="shared" si="150"/>
        <v>8.3333333333333329E-2</v>
      </c>
      <c r="AE308" s="30">
        <v>8.6719293242068674E-2</v>
      </c>
      <c r="AF308" s="23">
        <f t="shared" si="151"/>
        <v>0.75</v>
      </c>
      <c r="AG308" s="24">
        <f t="shared" si="169"/>
        <v>3</v>
      </c>
      <c r="AH308" s="28">
        <f t="shared" si="152"/>
        <v>0.6</v>
      </c>
      <c r="AI308" s="29">
        <f t="shared" si="153"/>
        <v>0.15</v>
      </c>
      <c r="AJ308" s="31">
        <v>1</v>
      </c>
      <c r="AK308" s="31">
        <v>1</v>
      </c>
      <c r="AL308" s="31">
        <v>1</v>
      </c>
      <c r="AM308" s="31">
        <v>0</v>
      </c>
      <c r="AN308" s="31">
        <v>0</v>
      </c>
      <c r="AO308" s="31">
        <v>0</v>
      </c>
      <c r="AP308" s="31">
        <v>0</v>
      </c>
      <c r="AQ308" s="31">
        <v>0</v>
      </c>
      <c r="AR308" s="23">
        <f t="shared" si="154"/>
        <v>0.6</v>
      </c>
      <c r="AS308" s="24">
        <f t="shared" si="155"/>
        <v>3</v>
      </c>
      <c r="AT308" s="28">
        <f t="shared" si="156"/>
        <v>0.375</v>
      </c>
      <c r="AU308" s="28">
        <f t="shared" si="157"/>
        <v>5.6249999999999994E-2</v>
      </c>
      <c r="AV308" s="32">
        <v>75</v>
      </c>
      <c r="AW308" s="32">
        <v>75</v>
      </c>
      <c r="AX308" s="32">
        <v>90</v>
      </c>
      <c r="AY308" s="32">
        <v>85</v>
      </c>
      <c r="AZ308" s="32">
        <v>80</v>
      </c>
      <c r="BA308" s="32">
        <v>100</v>
      </c>
      <c r="BB308" s="23">
        <f t="shared" ca="1" si="158"/>
        <v>0.8</v>
      </c>
      <c r="BC308" s="33">
        <f t="shared" si="164"/>
        <v>84.166666666666671</v>
      </c>
      <c r="BD308" s="28">
        <f t="shared" si="159"/>
        <v>0.94059405940594054</v>
      </c>
      <c r="BE308" s="28">
        <f t="shared" si="160"/>
        <v>0.18811881188118812</v>
      </c>
      <c r="BF308" s="34">
        <f ca="1">Q308+AA308+AF308+AR308+BB308</f>
        <v>3.1500000000000004</v>
      </c>
      <c r="BG308" s="34">
        <f>AVERAGE(AV308:AZ308)</f>
        <v>81</v>
      </c>
      <c r="BH308" s="35">
        <f>T308+AD308+AI308+AU308+BE308</f>
        <v>0.63047097972836563</v>
      </c>
      <c r="BI308" s="36" t="str">
        <f ca="1">IF(K308&lt;365,"New CE",(IF(BH308&gt;=100%,"Promote",IF(BH308&gt;=90%,"Sangat Baik",IF(BH308&gt;=80%,"Baik",IF(BH308&gt;=70%,"Lebih Dari Cukup",IF(BH308&gt;=60%,"Cukup","Kurang")))))))</f>
        <v>Cukup</v>
      </c>
      <c r="BJ308" s="36" t="s">
        <v>860</v>
      </c>
      <c r="BK308" s="58" t="s">
        <v>54</v>
      </c>
      <c r="BL308" s="59" t="e">
        <v>#N/A</v>
      </c>
    </row>
    <row r="309" spans="1:64" x14ac:dyDescent="0.35">
      <c r="A309" s="19">
        <v>305</v>
      </c>
      <c r="B309" s="13" t="s">
        <v>736</v>
      </c>
      <c r="C309" s="20" t="s">
        <v>737</v>
      </c>
      <c r="D309" s="76" t="s">
        <v>54</v>
      </c>
      <c r="E309" s="13" t="s">
        <v>133</v>
      </c>
      <c r="F309" s="13" t="s">
        <v>50</v>
      </c>
      <c r="G309" s="13" t="s">
        <v>61</v>
      </c>
      <c r="H309" s="65">
        <v>44966</v>
      </c>
      <c r="I309" s="21">
        <f t="shared" ca="1" si="162"/>
        <v>45974</v>
      </c>
      <c r="J309" s="13" t="str">
        <f t="shared" ca="1" si="144"/>
        <v xml:space="preserve">2 Tahun 9 Bulan 4 Hari </v>
      </c>
      <c r="K309" s="13">
        <f t="shared" ca="1" si="163"/>
        <v>1451520</v>
      </c>
      <c r="L309" s="13">
        <v>760</v>
      </c>
      <c r="M309" s="13">
        <v>13</v>
      </c>
      <c r="N309" s="13">
        <v>5863</v>
      </c>
      <c r="O309" s="22">
        <f t="shared" si="145"/>
        <v>451</v>
      </c>
      <c r="P309" s="13">
        <v>416</v>
      </c>
      <c r="Q309" s="23">
        <f t="shared" si="146"/>
        <v>0.8</v>
      </c>
      <c r="R309" s="24">
        <f t="shared" si="147"/>
        <v>4</v>
      </c>
      <c r="S309" s="25">
        <f t="shared" si="161"/>
        <v>0.92239467849223944</v>
      </c>
      <c r="T309" s="25">
        <f t="shared" si="148"/>
        <v>0.18447893569844789</v>
      </c>
      <c r="U309" s="26">
        <v>1195.9598044590643</v>
      </c>
      <c r="V309" s="26">
        <v>0</v>
      </c>
      <c r="W309" s="26">
        <v>0</v>
      </c>
      <c r="X309" s="27">
        <f t="shared" ref="X309:X339" si="172">IF(U309=TIME(0,0,0), 0, IF(U309&lt;=TIME(1,30,0), 1, 0))</f>
        <v>0</v>
      </c>
      <c r="Y309" s="27">
        <f t="shared" ref="Y309:Y339" si="173">IF(V309=TIME(0,0,0), 0, IF(V309&lt;=TIME(3,0,0), 1, 0))</f>
        <v>0</v>
      </c>
      <c r="Z309" s="27">
        <f t="shared" si="170"/>
        <v>0</v>
      </c>
      <c r="AA309" s="23">
        <f t="shared" si="171"/>
        <v>0</v>
      </c>
      <c r="AB309" s="24">
        <f t="shared" si="167"/>
        <v>0</v>
      </c>
      <c r="AC309" s="28">
        <f t="shared" si="149"/>
        <v>0</v>
      </c>
      <c r="AD309" s="29">
        <f t="shared" si="150"/>
        <v>0</v>
      </c>
      <c r="AE309" s="30">
        <v>5.352354038065843E-2</v>
      </c>
      <c r="AF309" s="23">
        <f t="shared" si="151"/>
        <v>1</v>
      </c>
      <c r="AG309" s="24">
        <f t="shared" si="169"/>
        <v>4</v>
      </c>
      <c r="AH309" s="28">
        <f t="shared" si="152"/>
        <v>0.8</v>
      </c>
      <c r="AI309" s="29">
        <f t="shared" si="153"/>
        <v>0.2</v>
      </c>
      <c r="AJ309" s="31">
        <v>1</v>
      </c>
      <c r="AK309" s="31">
        <v>1</v>
      </c>
      <c r="AL309" s="31">
        <v>1</v>
      </c>
      <c r="AM309" s="31">
        <v>0</v>
      </c>
      <c r="AN309" s="31">
        <v>0</v>
      </c>
      <c r="AO309" s="31">
        <v>0</v>
      </c>
      <c r="AP309" s="31">
        <v>0</v>
      </c>
      <c r="AQ309" s="31">
        <v>0</v>
      </c>
      <c r="AR309" s="23">
        <f t="shared" si="154"/>
        <v>0.6</v>
      </c>
      <c r="AS309" s="24">
        <f t="shared" si="155"/>
        <v>3</v>
      </c>
      <c r="AT309" s="28">
        <f t="shared" si="156"/>
        <v>0.375</v>
      </c>
      <c r="AU309" s="28">
        <f t="shared" si="157"/>
        <v>5.6249999999999994E-2</v>
      </c>
      <c r="AV309" s="32">
        <v>75</v>
      </c>
      <c r="AW309" s="32">
        <v>75</v>
      </c>
      <c r="AX309" s="32">
        <v>90</v>
      </c>
      <c r="AY309" s="32">
        <v>85</v>
      </c>
      <c r="AZ309" s="32">
        <v>80</v>
      </c>
      <c r="BA309" s="32">
        <v>100</v>
      </c>
      <c r="BB309" s="23">
        <f t="shared" ca="1" si="158"/>
        <v>0.8</v>
      </c>
      <c r="BC309" s="33">
        <f t="shared" si="164"/>
        <v>84.166666666666671</v>
      </c>
      <c r="BD309" s="28">
        <f t="shared" si="159"/>
        <v>0.94059405940594054</v>
      </c>
      <c r="BE309" s="28">
        <f t="shared" si="160"/>
        <v>0.18811881188118812</v>
      </c>
      <c r="BF309" s="34">
        <f ca="1">Q309+AA309+AF309+AR309+BB309</f>
        <v>3.2</v>
      </c>
      <c r="BG309" s="34">
        <f>AVERAGE(AV309:AZ309)</f>
        <v>81</v>
      </c>
      <c r="BH309" s="35">
        <f>T309+AD309+AI309+AU309+BE309</f>
        <v>0.62884774757963613</v>
      </c>
      <c r="BI309" s="36" t="str">
        <f ca="1">IF(K309&lt;365,"New CE",(IF(BH309&gt;=100%,"Promote",IF(BH309&gt;=90%,"Sangat Baik",IF(BH309&gt;=80%,"Baik",IF(BH309&gt;=70%,"Lebih Dari Cukup",IF(BH309&gt;=60%,"Cukup","Kurang")))))))</f>
        <v>Cukup</v>
      </c>
      <c r="BJ309" s="36" t="s">
        <v>860</v>
      </c>
      <c r="BK309" s="58" t="s">
        <v>54</v>
      </c>
      <c r="BL309" s="59" t="e">
        <v>#N/A</v>
      </c>
    </row>
    <row r="310" spans="1:64" x14ac:dyDescent="0.35">
      <c r="A310" s="19">
        <v>306</v>
      </c>
      <c r="B310" s="13" t="s">
        <v>738</v>
      </c>
      <c r="C310" s="20" t="s">
        <v>739</v>
      </c>
      <c r="D310" s="76" t="s">
        <v>48</v>
      </c>
      <c r="E310" s="13" t="s">
        <v>257</v>
      </c>
      <c r="F310" s="13" t="s">
        <v>44</v>
      </c>
      <c r="G310" s="13" t="s">
        <v>55</v>
      </c>
      <c r="H310" s="65">
        <v>44882</v>
      </c>
      <c r="I310" s="21">
        <f t="shared" ca="1" si="162"/>
        <v>45974</v>
      </c>
      <c r="J310" s="13" t="str">
        <f t="shared" ca="1" si="144"/>
        <v xml:space="preserve">2 Tahun 11 Bulan 27 Hari </v>
      </c>
      <c r="K310" s="13">
        <f t="shared" ca="1" si="163"/>
        <v>1572480</v>
      </c>
      <c r="L310" s="13">
        <v>507</v>
      </c>
      <c r="M310" s="13">
        <v>10</v>
      </c>
      <c r="N310" s="13">
        <v>3304</v>
      </c>
      <c r="O310" s="22">
        <f t="shared" si="145"/>
        <v>330.4</v>
      </c>
      <c r="P310" s="13">
        <v>302</v>
      </c>
      <c r="Q310" s="23">
        <f t="shared" si="146"/>
        <v>0.8</v>
      </c>
      <c r="R310" s="24">
        <f t="shared" si="147"/>
        <v>4</v>
      </c>
      <c r="S310" s="25">
        <f t="shared" si="161"/>
        <v>0.91404358353510906</v>
      </c>
      <c r="T310" s="25">
        <f t="shared" si="148"/>
        <v>0.18280871670702181</v>
      </c>
      <c r="U310" s="26">
        <v>12252.938330662395</v>
      </c>
      <c r="V310" s="26">
        <v>10110.546175411524</v>
      </c>
      <c r="W310" s="26">
        <v>0</v>
      </c>
      <c r="X310" s="27">
        <f t="shared" si="172"/>
        <v>0</v>
      </c>
      <c r="Y310" s="27">
        <f t="shared" si="173"/>
        <v>0</v>
      </c>
      <c r="Z310" s="27">
        <f t="shared" si="170"/>
        <v>0</v>
      </c>
      <c r="AA310" s="23">
        <f t="shared" si="171"/>
        <v>0</v>
      </c>
      <c r="AB310" s="24">
        <f t="shared" si="167"/>
        <v>0</v>
      </c>
      <c r="AC310" s="28">
        <f t="shared" si="149"/>
        <v>0</v>
      </c>
      <c r="AD310" s="29">
        <f t="shared" si="150"/>
        <v>0</v>
      </c>
      <c r="AE310" s="30">
        <v>4.4844324448529399E-2</v>
      </c>
      <c r="AF310" s="23">
        <f t="shared" si="151"/>
        <v>1</v>
      </c>
      <c r="AG310" s="24">
        <f t="shared" si="169"/>
        <v>4</v>
      </c>
      <c r="AH310" s="28">
        <f t="shared" si="152"/>
        <v>0.8</v>
      </c>
      <c r="AI310" s="29">
        <f t="shared" si="153"/>
        <v>0.2</v>
      </c>
      <c r="AJ310" s="31">
        <v>1</v>
      </c>
      <c r="AK310" s="31">
        <v>1</v>
      </c>
      <c r="AL310" s="31">
        <v>1</v>
      </c>
      <c r="AM310" s="31">
        <v>0</v>
      </c>
      <c r="AN310" s="31">
        <v>0</v>
      </c>
      <c r="AO310" s="31">
        <v>0</v>
      </c>
      <c r="AP310" s="31">
        <v>0</v>
      </c>
      <c r="AQ310" s="31">
        <v>0</v>
      </c>
      <c r="AR310" s="23">
        <f t="shared" si="154"/>
        <v>0.6</v>
      </c>
      <c r="AS310" s="24">
        <f t="shared" si="155"/>
        <v>3</v>
      </c>
      <c r="AT310" s="28">
        <f t="shared" si="156"/>
        <v>0.375</v>
      </c>
      <c r="AU310" s="28">
        <f t="shared" si="157"/>
        <v>5.6249999999999994E-2</v>
      </c>
      <c r="AV310" s="32">
        <v>75</v>
      </c>
      <c r="AW310" s="32">
        <v>75</v>
      </c>
      <c r="AX310" s="32">
        <v>80</v>
      </c>
      <c r="AY310" s="32">
        <v>80</v>
      </c>
      <c r="AZ310" s="32">
        <v>80</v>
      </c>
      <c r="BA310" s="32">
        <v>100</v>
      </c>
      <c r="BB310" s="23">
        <f t="shared" ca="1" si="158"/>
        <v>0.8</v>
      </c>
      <c r="BC310" s="33">
        <f t="shared" si="164"/>
        <v>81.666666666666671</v>
      </c>
      <c r="BD310" s="28">
        <f t="shared" si="159"/>
        <v>0.93877551020408168</v>
      </c>
      <c r="BE310" s="28">
        <f t="shared" si="160"/>
        <v>0.18775510204081636</v>
      </c>
      <c r="BF310" s="34">
        <f ca="1">Q310+AA310+AF310+AR310+BB310</f>
        <v>3.2</v>
      </c>
      <c r="BG310" s="34">
        <f>AVERAGE(AV310:AZ310)</f>
        <v>78</v>
      </c>
      <c r="BH310" s="35">
        <f>T310+AD310+AI310+AU310+BE310</f>
        <v>0.62681381874783815</v>
      </c>
      <c r="BI310" s="36" t="str">
        <f ca="1">IF(K310&lt;365,"New CE",(IF(BH310&gt;=100%,"Promote",IF(BH310&gt;=90%,"Sangat Baik",IF(BH310&gt;=80%,"Baik",IF(BH310&gt;=70%,"Lebih Dari Cukup",IF(BH310&gt;=60%,"Cukup","Kurang")))))))</f>
        <v>Cukup</v>
      </c>
      <c r="BJ310" s="36" t="s">
        <v>860</v>
      </c>
      <c r="BK310" s="58" t="s">
        <v>48</v>
      </c>
      <c r="BL310" s="59" t="e">
        <v>#N/A</v>
      </c>
    </row>
    <row r="311" spans="1:64" x14ac:dyDescent="0.35">
      <c r="A311" s="19">
        <v>307</v>
      </c>
      <c r="B311" s="13" t="s">
        <v>740</v>
      </c>
      <c r="C311" s="20" t="s">
        <v>741</v>
      </c>
      <c r="D311" s="76" t="s">
        <v>48</v>
      </c>
      <c r="E311" s="13" t="s">
        <v>446</v>
      </c>
      <c r="F311" s="13" t="s">
        <v>44</v>
      </c>
      <c r="G311" s="13" t="s">
        <v>61</v>
      </c>
      <c r="H311" s="65">
        <v>44935</v>
      </c>
      <c r="I311" s="21">
        <f t="shared" ca="1" si="162"/>
        <v>45974</v>
      </c>
      <c r="J311" s="13" t="str">
        <f t="shared" ca="1" si="144"/>
        <v xml:space="preserve">2 Tahun 10 Bulan 4 Hari </v>
      </c>
      <c r="K311" s="13">
        <f t="shared" ca="1" si="163"/>
        <v>1496160</v>
      </c>
      <c r="L311" s="13">
        <v>305</v>
      </c>
      <c r="M311" s="13">
        <v>6</v>
      </c>
      <c r="N311" s="13">
        <v>2018</v>
      </c>
      <c r="O311" s="22">
        <f t="shared" si="145"/>
        <v>336.33333333333331</v>
      </c>
      <c r="P311" s="13">
        <v>377</v>
      </c>
      <c r="Q311" s="23">
        <f t="shared" si="146"/>
        <v>1</v>
      </c>
      <c r="R311" s="24">
        <f t="shared" si="147"/>
        <v>5</v>
      </c>
      <c r="S311" s="25">
        <f t="shared" si="161"/>
        <v>1.1209117938553024</v>
      </c>
      <c r="T311" s="25">
        <f t="shared" si="148"/>
        <v>0.22418235877106049</v>
      </c>
      <c r="U311" s="26">
        <v>14067.702814153437</v>
      </c>
      <c r="V311" s="26">
        <v>15140.987382154883</v>
      </c>
      <c r="W311" s="26">
        <v>0</v>
      </c>
      <c r="X311" s="27">
        <f t="shared" si="172"/>
        <v>0</v>
      </c>
      <c r="Y311" s="27">
        <f t="shared" si="173"/>
        <v>0</v>
      </c>
      <c r="Z311" s="27">
        <f t="shared" si="170"/>
        <v>0</v>
      </c>
      <c r="AA311" s="23">
        <f t="shared" si="171"/>
        <v>0</v>
      </c>
      <c r="AB311" s="24">
        <f t="shared" si="167"/>
        <v>0</v>
      </c>
      <c r="AC311" s="28">
        <f t="shared" si="149"/>
        <v>0</v>
      </c>
      <c r="AD311" s="29">
        <f t="shared" si="150"/>
        <v>0</v>
      </c>
      <c r="AE311" s="30">
        <v>0.10698323902606312</v>
      </c>
      <c r="AF311" s="23">
        <f t="shared" si="151"/>
        <v>0.75</v>
      </c>
      <c r="AG311" s="24">
        <f t="shared" si="169"/>
        <v>3</v>
      </c>
      <c r="AH311" s="28">
        <f t="shared" si="152"/>
        <v>0.6</v>
      </c>
      <c r="AI311" s="29">
        <f t="shared" si="153"/>
        <v>0.15</v>
      </c>
      <c r="AJ311" s="31">
        <v>1</v>
      </c>
      <c r="AK311" s="31">
        <v>1</v>
      </c>
      <c r="AL311" s="31">
        <v>1</v>
      </c>
      <c r="AM311" s="31">
        <v>0</v>
      </c>
      <c r="AN311" s="31">
        <v>0</v>
      </c>
      <c r="AO311" s="31">
        <v>0</v>
      </c>
      <c r="AP311" s="31">
        <v>0</v>
      </c>
      <c r="AQ311" s="31">
        <v>0</v>
      </c>
      <c r="AR311" s="23">
        <f t="shared" si="154"/>
        <v>0.6</v>
      </c>
      <c r="AS311" s="24">
        <f t="shared" si="155"/>
        <v>3</v>
      </c>
      <c r="AT311" s="28">
        <f t="shared" si="156"/>
        <v>0.375</v>
      </c>
      <c r="AU311" s="28">
        <f t="shared" si="157"/>
        <v>5.6249999999999994E-2</v>
      </c>
      <c r="AV311" s="32">
        <v>75</v>
      </c>
      <c r="AW311" s="32">
        <v>75</v>
      </c>
      <c r="AX311" s="32">
        <v>85</v>
      </c>
      <c r="AY311" s="32">
        <v>80</v>
      </c>
      <c r="AZ311" s="32">
        <v>80</v>
      </c>
      <c r="BA311" s="32">
        <v>100</v>
      </c>
      <c r="BB311" s="23">
        <f t="shared" ca="1" si="158"/>
        <v>0.8</v>
      </c>
      <c r="BC311" s="33">
        <f t="shared" si="164"/>
        <v>82.5</v>
      </c>
      <c r="BD311" s="28">
        <f t="shared" si="159"/>
        <v>0.93939393939393945</v>
      </c>
      <c r="BE311" s="28">
        <f t="shared" si="160"/>
        <v>0.1878787878787879</v>
      </c>
      <c r="BF311" s="34">
        <f ca="1">Q311+AA311+AF311+AR311+BB311</f>
        <v>3.1500000000000004</v>
      </c>
      <c r="BG311" s="34">
        <f>AVERAGE(AV311:AZ311)</f>
        <v>79</v>
      </c>
      <c r="BH311" s="35">
        <f>T311+AD311+AI311+AU311+BE311</f>
        <v>0.61831114664984832</v>
      </c>
      <c r="BI311" s="36" t="str">
        <f ca="1">IF(K311&lt;365,"New CE",(IF(BH311&gt;=100%,"Promote",IF(BH311&gt;=90%,"Sangat Baik",IF(BH311&gt;=80%,"Baik",IF(BH311&gt;=70%,"Lebih Dari Cukup",IF(BH311&gt;=60%,"Cukup","Kurang")))))))</f>
        <v>Cukup</v>
      </c>
      <c r="BJ311" s="36" t="s">
        <v>860</v>
      </c>
      <c r="BK311" s="58" t="s">
        <v>48</v>
      </c>
      <c r="BL311" s="59" t="e">
        <v>#N/A</v>
      </c>
    </row>
    <row r="312" spans="1:64" x14ac:dyDescent="0.35">
      <c r="A312" s="19">
        <v>308</v>
      </c>
      <c r="B312" s="13" t="s">
        <v>742</v>
      </c>
      <c r="C312" s="20" t="s">
        <v>743</v>
      </c>
      <c r="D312" s="76" t="s">
        <v>48</v>
      </c>
      <c r="E312" s="13" t="s">
        <v>529</v>
      </c>
      <c r="F312" s="13" t="s">
        <v>74</v>
      </c>
      <c r="G312" s="13" t="s">
        <v>55</v>
      </c>
      <c r="H312" s="65">
        <v>44882</v>
      </c>
      <c r="I312" s="21">
        <f t="shared" ca="1" si="162"/>
        <v>45974</v>
      </c>
      <c r="J312" s="13" t="str">
        <f t="shared" ca="1" si="144"/>
        <v xml:space="preserve">2 Tahun 11 Bulan 27 Hari </v>
      </c>
      <c r="K312" s="13">
        <f t="shared" ca="1" si="163"/>
        <v>1572480</v>
      </c>
      <c r="L312" s="13">
        <v>235</v>
      </c>
      <c r="M312" s="13">
        <v>4</v>
      </c>
      <c r="N312" s="13">
        <v>1697</v>
      </c>
      <c r="O312" s="22">
        <f t="shared" si="145"/>
        <v>424.25</v>
      </c>
      <c r="P312" s="13">
        <v>332</v>
      </c>
      <c r="Q312" s="23">
        <f t="shared" si="146"/>
        <v>0.6</v>
      </c>
      <c r="R312" s="24">
        <f t="shared" si="147"/>
        <v>3</v>
      </c>
      <c r="S312" s="25">
        <f t="shared" si="161"/>
        <v>0.78255745433117263</v>
      </c>
      <c r="T312" s="25">
        <f t="shared" si="148"/>
        <v>0.15651149086623453</v>
      </c>
      <c r="U312" s="26">
        <v>6736.7548949759966</v>
      </c>
      <c r="V312" s="26">
        <v>2842.5083387586797</v>
      </c>
      <c r="W312" s="26">
        <v>8.7857638888888881E-2</v>
      </c>
      <c r="X312" s="27">
        <f t="shared" si="172"/>
        <v>0</v>
      </c>
      <c r="Y312" s="27">
        <f t="shared" si="173"/>
        <v>0</v>
      </c>
      <c r="Z312" s="27">
        <f t="shared" si="170"/>
        <v>1</v>
      </c>
      <c r="AA312" s="23">
        <f t="shared" si="171"/>
        <v>0.4</v>
      </c>
      <c r="AB312" s="24">
        <f t="shared" si="167"/>
        <v>1</v>
      </c>
      <c r="AC312" s="28">
        <f t="shared" si="149"/>
        <v>0.33333333333333331</v>
      </c>
      <c r="AD312" s="29">
        <f t="shared" si="150"/>
        <v>8.3333333333333329E-2</v>
      </c>
      <c r="AE312" s="30">
        <v>8.5238786330740363E-2</v>
      </c>
      <c r="AF312" s="23">
        <f t="shared" si="151"/>
        <v>0.75</v>
      </c>
      <c r="AG312" s="24">
        <f t="shared" si="169"/>
        <v>3</v>
      </c>
      <c r="AH312" s="28">
        <f t="shared" si="152"/>
        <v>0.6</v>
      </c>
      <c r="AI312" s="29">
        <f t="shared" si="153"/>
        <v>0.15</v>
      </c>
      <c r="AJ312" s="31">
        <v>1</v>
      </c>
      <c r="AK312" s="31">
        <v>1</v>
      </c>
      <c r="AL312" s="31">
        <v>0</v>
      </c>
      <c r="AM312" s="31">
        <v>0</v>
      </c>
      <c r="AN312" s="31">
        <v>0</v>
      </c>
      <c r="AO312" s="31">
        <v>0</v>
      </c>
      <c r="AP312" s="31">
        <v>0</v>
      </c>
      <c r="AQ312" s="31">
        <v>0</v>
      </c>
      <c r="AR312" s="23">
        <f t="shared" si="154"/>
        <v>0.4</v>
      </c>
      <c r="AS312" s="24">
        <f t="shared" si="155"/>
        <v>2</v>
      </c>
      <c r="AT312" s="28">
        <f t="shared" si="156"/>
        <v>0.25</v>
      </c>
      <c r="AU312" s="28">
        <f t="shared" si="157"/>
        <v>3.7499999999999999E-2</v>
      </c>
      <c r="AV312" s="32">
        <v>75</v>
      </c>
      <c r="AW312" s="32">
        <v>75</v>
      </c>
      <c r="AX312" s="32">
        <v>75</v>
      </c>
      <c r="AY312" s="32">
        <v>80</v>
      </c>
      <c r="AZ312" s="32">
        <v>80</v>
      </c>
      <c r="BA312" s="32">
        <v>100</v>
      </c>
      <c r="BB312" s="23">
        <f t="shared" ca="1" si="158"/>
        <v>0.8</v>
      </c>
      <c r="BC312" s="33">
        <f t="shared" si="164"/>
        <v>80.833333333333329</v>
      </c>
      <c r="BD312" s="28">
        <f t="shared" si="159"/>
        <v>0.93814432989690721</v>
      </c>
      <c r="BE312" s="28">
        <f t="shared" si="160"/>
        <v>0.18762886597938144</v>
      </c>
      <c r="BF312" s="34">
        <f ca="1">Q312+AA312+AF312+AR312+BB312</f>
        <v>2.95</v>
      </c>
      <c r="BG312" s="34">
        <f>AVERAGE(AV312:AZ312)</f>
        <v>77</v>
      </c>
      <c r="BH312" s="35">
        <f>T312+AD312+AI312+AU312+BE312</f>
        <v>0.61497369017894932</v>
      </c>
      <c r="BI312" s="36" t="str">
        <f ca="1">IF(K312&lt;365,"New CE",(IF(BH312&gt;=100%,"Promote",IF(BH312&gt;=90%,"Sangat Baik",IF(BH312&gt;=80%,"Baik",IF(BH312&gt;=70%,"Lebih Dari Cukup",IF(BH312&gt;=60%,"Cukup","Kurang")))))))</f>
        <v>Cukup</v>
      </c>
      <c r="BJ312" s="36" t="s">
        <v>860</v>
      </c>
      <c r="BK312" s="58" t="s">
        <v>48</v>
      </c>
      <c r="BL312" s="59" t="str">
        <v>Andika Sandi Putra</v>
      </c>
    </row>
    <row r="313" spans="1:64" x14ac:dyDescent="0.35">
      <c r="A313" s="19">
        <v>309</v>
      </c>
      <c r="B313" s="13" t="s">
        <v>744</v>
      </c>
      <c r="C313" s="20" t="s">
        <v>745</v>
      </c>
      <c r="D313" s="76" t="s">
        <v>54</v>
      </c>
      <c r="E313" s="13" t="s">
        <v>200</v>
      </c>
      <c r="F313" s="13" t="s">
        <v>50</v>
      </c>
      <c r="G313" s="13" t="s">
        <v>55</v>
      </c>
      <c r="H313" s="65">
        <v>44123</v>
      </c>
      <c r="I313" s="21">
        <f t="shared" ca="1" si="162"/>
        <v>45974</v>
      </c>
      <c r="J313" s="13" t="str">
        <f t="shared" ca="1" si="144"/>
        <v xml:space="preserve">5 Tahun 0 Bulan 25 Hari </v>
      </c>
      <c r="K313" s="13">
        <f t="shared" ca="1" si="163"/>
        <v>2665440</v>
      </c>
      <c r="L313" s="13">
        <v>75</v>
      </c>
      <c r="M313" s="13">
        <v>2</v>
      </c>
      <c r="N313" s="13">
        <v>680</v>
      </c>
      <c r="O313" s="22">
        <f t="shared" si="145"/>
        <v>340</v>
      </c>
      <c r="P313" s="13">
        <v>316</v>
      </c>
      <c r="Q313" s="23">
        <f t="shared" si="146"/>
        <v>0.8</v>
      </c>
      <c r="R313" s="24">
        <f t="shared" si="147"/>
        <v>4</v>
      </c>
      <c r="S313" s="25">
        <f t="shared" si="161"/>
        <v>0.92941176470588238</v>
      </c>
      <c r="T313" s="25">
        <f t="shared" si="148"/>
        <v>0.1858823529411765</v>
      </c>
      <c r="U313" s="26">
        <v>5798.0170467171711</v>
      </c>
      <c r="V313" s="26">
        <v>0</v>
      </c>
      <c r="W313" s="26">
        <v>1688.5528918038417</v>
      </c>
      <c r="X313" s="27">
        <f t="shared" si="172"/>
        <v>0</v>
      </c>
      <c r="Y313" s="27">
        <f t="shared" si="173"/>
        <v>0</v>
      </c>
      <c r="Z313" s="27">
        <f t="shared" si="170"/>
        <v>1</v>
      </c>
      <c r="AA313" s="23">
        <f t="shared" si="171"/>
        <v>0.4</v>
      </c>
      <c r="AB313" s="24">
        <f t="shared" si="167"/>
        <v>1</v>
      </c>
      <c r="AC313" s="28">
        <f t="shared" si="149"/>
        <v>0.33333333333333331</v>
      </c>
      <c r="AD313" s="29">
        <f t="shared" si="150"/>
        <v>8.3333333333333329E-2</v>
      </c>
      <c r="AE313" s="30">
        <v>0.13237531763436372</v>
      </c>
      <c r="AF313" s="23">
        <f t="shared" si="151"/>
        <v>0.5</v>
      </c>
      <c r="AG313" s="24">
        <f t="shared" si="169"/>
        <v>2</v>
      </c>
      <c r="AH313" s="28">
        <f t="shared" si="152"/>
        <v>0.4</v>
      </c>
      <c r="AI313" s="29">
        <f t="shared" si="153"/>
        <v>0.1</v>
      </c>
      <c r="AJ313" s="31">
        <v>1</v>
      </c>
      <c r="AK313" s="31">
        <v>1</v>
      </c>
      <c r="AL313" s="31">
        <v>1</v>
      </c>
      <c r="AM313" s="31">
        <v>0</v>
      </c>
      <c r="AN313" s="31">
        <v>0</v>
      </c>
      <c r="AO313" s="31">
        <v>0</v>
      </c>
      <c r="AP313" s="31">
        <v>0</v>
      </c>
      <c r="AQ313" s="31">
        <v>0</v>
      </c>
      <c r="AR313" s="23">
        <f t="shared" si="154"/>
        <v>0.6</v>
      </c>
      <c r="AS313" s="24">
        <f t="shared" si="155"/>
        <v>3</v>
      </c>
      <c r="AT313" s="28">
        <f t="shared" si="156"/>
        <v>0.375</v>
      </c>
      <c r="AU313" s="28">
        <f t="shared" si="157"/>
        <v>5.6249999999999994E-2</v>
      </c>
      <c r="AV313" s="32">
        <v>75</v>
      </c>
      <c r="AW313" s="32">
        <v>75</v>
      </c>
      <c r="AX313" s="32">
        <v>75</v>
      </c>
      <c r="AY313" s="32">
        <v>90</v>
      </c>
      <c r="AZ313" s="32">
        <v>70</v>
      </c>
      <c r="BA313" s="32">
        <v>100</v>
      </c>
      <c r="BB313" s="23">
        <f t="shared" si="158"/>
        <v>0.8</v>
      </c>
      <c r="BC313" s="33">
        <f t="shared" si="164"/>
        <v>80.833333333333329</v>
      </c>
      <c r="BD313" s="28">
        <f t="shared" si="159"/>
        <v>0.93814432989690721</v>
      </c>
      <c r="BE313" s="28">
        <f t="shared" si="160"/>
        <v>0.18762886597938144</v>
      </c>
      <c r="BF313" s="34">
        <f>Q313+AA313+AF313+AR313+BB313</f>
        <v>3.1000000000000005</v>
      </c>
      <c r="BG313" s="34">
        <f>AVERAGE(AV313:AZ313)</f>
        <v>77</v>
      </c>
      <c r="BH313" s="35">
        <f>T313+AD313+AI313+AU313+BE313</f>
        <v>0.61309455225389131</v>
      </c>
      <c r="BI313" s="36" t="s">
        <v>859</v>
      </c>
      <c r="BJ313" s="36" t="s">
        <v>859</v>
      </c>
      <c r="BK313" s="58" t="s">
        <v>54</v>
      </c>
      <c r="BL313" s="59" t="e">
        <v>#N/A</v>
      </c>
    </row>
    <row r="314" spans="1:64" x14ac:dyDescent="0.35">
      <c r="A314" s="19">
        <v>310</v>
      </c>
      <c r="B314" s="13" t="s">
        <v>746</v>
      </c>
      <c r="C314" s="20" t="s">
        <v>747</v>
      </c>
      <c r="D314" s="76" t="s">
        <v>54</v>
      </c>
      <c r="E314" s="13" t="s">
        <v>192</v>
      </c>
      <c r="F314" s="13" t="s">
        <v>50</v>
      </c>
      <c r="G314" s="13" t="s">
        <v>61</v>
      </c>
      <c r="H314" s="65">
        <v>44966</v>
      </c>
      <c r="I314" s="21">
        <f t="shared" ca="1" si="162"/>
        <v>45974</v>
      </c>
      <c r="J314" s="13" t="str">
        <f t="shared" ca="1" si="144"/>
        <v xml:space="preserve">2 Tahun 9 Bulan 4 Hari </v>
      </c>
      <c r="K314" s="13">
        <f t="shared" ca="1" si="163"/>
        <v>1451520</v>
      </c>
      <c r="L314" s="13">
        <v>510</v>
      </c>
      <c r="M314" s="13">
        <v>9</v>
      </c>
      <c r="N314" s="13">
        <v>3962</v>
      </c>
      <c r="O314" s="22">
        <f t="shared" si="145"/>
        <v>440.22222222222223</v>
      </c>
      <c r="P314" s="13">
        <v>330</v>
      </c>
      <c r="Q314" s="23">
        <f t="shared" si="146"/>
        <v>0.6</v>
      </c>
      <c r="R314" s="24">
        <f t="shared" si="147"/>
        <v>3</v>
      </c>
      <c r="S314" s="25">
        <f t="shared" si="161"/>
        <v>0.74962140333165062</v>
      </c>
      <c r="T314" s="25">
        <f t="shared" si="148"/>
        <v>0.14992428066633012</v>
      </c>
      <c r="U314" s="26">
        <v>483.60324911347539</v>
      </c>
      <c r="V314" s="26">
        <v>0</v>
      </c>
      <c r="W314" s="26">
        <v>0</v>
      </c>
      <c r="X314" s="27">
        <f t="shared" si="172"/>
        <v>0</v>
      </c>
      <c r="Y314" s="27">
        <f t="shared" si="173"/>
        <v>0</v>
      </c>
      <c r="Z314" s="27">
        <f t="shared" si="170"/>
        <v>0</v>
      </c>
      <c r="AA314" s="23">
        <f t="shared" si="171"/>
        <v>0</v>
      </c>
      <c r="AB314" s="24">
        <f t="shared" si="167"/>
        <v>0</v>
      </c>
      <c r="AC314" s="28">
        <f t="shared" si="149"/>
        <v>0</v>
      </c>
      <c r="AD314" s="29">
        <f t="shared" si="150"/>
        <v>0</v>
      </c>
      <c r="AE314" s="30">
        <v>6.9573678429705216E-2</v>
      </c>
      <c r="AF314" s="23">
        <f t="shared" si="151"/>
        <v>1</v>
      </c>
      <c r="AG314" s="24">
        <f t="shared" si="169"/>
        <v>4</v>
      </c>
      <c r="AH314" s="28">
        <f t="shared" si="152"/>
        <v>0.8</v>
      </c>
      <c r="AI314" s="29">
        <f t="shared" si="153"/>
        <v>0.2</v>
      </c>
      <c r="AJ314" s="31">
        <v>1</v>
      </c>
      <c r="AK314" s="31">
        <v>1</v>
      </c>
      <c r="AL314" s="31">
        <v>1</v>
      </c>
      <c r="AM314" s="31">
        <v>0</v>
      </c>
      <c r="AN314" s="31">
        <v>0</v>
      </c>
      <c r="AO314" s="31">
        <v>0</v>
      </c>
      <c r="AP314" s="31">
        <v>0</v>
      </c>
      <c r="AQ314" s="31">
        <v>1</v>
      </c>
      <c r="AR314" s="23">
        <f t="shared" si="154"/>
        <v>0.8</v>
      </c>
      <c r="AS314" s="24">
        <f t="shared" si="155"/>
        <v>4</v>
      </c>
      <c r="AT314" s="28">
        <f t="shared" si="156"/>
        <v>0.5</v>
      </c>
      <c r="AU314" s="28">
        <f t="shared" si="157"/>
        <v>7.4999999999999997E-2</v>
      </c>
      <c r="AV314" s="32">
        <v>75</v>
      </c>
      <c r="AW314" s="32">
        <v>75</v>
      </c>
      <c r="AX314" s="32">
        <v>90</v>
      </c>
      <c r="AY314" s="32">
        <v>85</v>
      </c>
      <c r="AZ314" s="32">
        <v>80</v>
      </c>
      <c r="BA314" s="32">
        <v>100</v>
      </c>
      <c r="BB314" s="23">
        <f t="shared" ca="1" si="158"/>
        <v>0.8</v>
      </c>
      <c r="BC314" s="33">
        <f t="shared" si="164"/>
        <v>84.166666666666671</v>
      </c>
      <c r="BD314" s="28">
        <f t="shared" si="159"/>
        <v>0.94059405940594054</v>
      </c>
      <c r="BE314" s="28">
        <f t="shared" si="160"/>
        <v>0.18811881188118812</v>
      </c>
      <c r="BF314" s="34">
        <f ca="1">Q314+AA314+AF314+AR314+BB314</f>
        <v>3.2</v>
      </c>
      <c r="BG314" s="34">
        <f>AVERAGE(AV314:AZ314)</f>
        <v>81</v>
      </c>
      <c r="BH314" s="35">
        <f>T314+AD314+AI314+AU314+BE314</f>
        <v>0.61304309254751832</v>
      </c>
      <c r="BI314" s="36" t="str">
        <f ca="1">IF(K314&lt;365,"New CE",(IF(BH314&gt;=100%,"Promote",IF(BH314&gt;=90%,"Sangat Baik",IF(BH314&gt;=80%,"Baik",IF(BH314&gt;=70%,"Lebih Dari Cukup",IF(BH314&gt;=60%,"Cukup","Kurang")))))))</f>
        <v>Cukup</v>
      </c>
      <c r="BJ314" s="36" t="s">
        <v>860</v>
      </c>
      <c r="BK314" s="58" t="s">
        <v>54</v>
      </c>
      <c r="BL314" s="59" t="e">
        <v>#N/A</v>
      </c>
    </row>
    <row r="315" spans="1:64" x14ac:dyDescent="0.35">
      <c r="A315" s="19">
        <v>311</v>
      </c>
      <c r="B315" s="13" t="s">
        <v>748</v>
      </c>
      <c r="C315" s="20" t="s">
        <v>749</v>
      </c>
      <c r="D315" s="76" t="s">
        <v>48</v>
      </c>
      <c r="E315" s="13" t="s">
        <v>49</v>
      </c>
      <c r="F315" s="13" t="s">
        <v>50</v>
      </c>
      <c r="G315" s="13" t="s">
        <v>61</v>
      </c>
      <c r="H315" s="65">
        <v>44966</v>
      </c>
      <c r="I315" s="21">
        <f t="shared" ca="1" si="162"/>
        <v>45974</v>
      </c>
      <c r="J315" s="13" t="str">
        <f t="shared" ca="1" si="144"/>
        <v xml:space="preserve">2 Tahun 9 Bulan 4 Hari </v>
      </c>
      <c r="K315" s="13">
        <f t="shared" ca="1" si="163"/>
        <v>1451520</v>
      </c>
      <c r="L315" s="13">
        <v>893</v>
      </c>
      <c r="M315" s="13">
        <v>14</v>
      </c>
      <c r="N315" s="13">
        <v>6172</v>
      </c>
      <c r="O315" s="22">
        <f t="shared" si="145"/>
        <v>440.85714285714283</v>
      </c>
      <c r="P315" s="13">
        <v>409</v>
      </c>
      <c r="Q315" s="23">
        <f t="shared" si="146"/>
        <v>0.8</v>
      </c>
      <c r="R315" s="24">
        <f t="shared" si="147"/>
        <v>4</v>
      </c>
      <c r="S315" s="25">
        <f t="shared" si="161"/>
        <v>0.92773817239144529</v>
      </c>
      <c r="T315" s="25">
        <f t="shared" si="148"/>
        <v>0.18554763447828906</v>
      </c>
      <c r="U315" s="26">
        <v>3031.5221448688271</v>
      </c>
      <c r="V315" s="26">
        <v>0</v>
      </c>
      <c r="W315" s="26">
        <v>0</v>
      </c>
      <c r="X315" s="27">
        <f t="shared" si="172"/>
        <v>0</v>
      </c>
      <c r="Y315" s="27">
        <f t="shared" si="173"/>
        <v>0</v>
      </c>
      <c r="Z315" s="27">
        <f t="shared" si="170"/>
        <v>0</v>
      </c>
      <c r="AA315" s="23">
        <f t="shared" si="171"/>
        <v>0</v>
      </c>
      <c r="AB315" s="24">
        <f t="shared" si="167"/>
        <v>0</v>
      </c>
      <c r="AC315" s="28">
        <f t="shared" si="149"/>
        <v>0</v>
      </c>
      <c r="AD315" s="29">
        <f t="shared" si="150"/>
        <v>0</v>
      </c>
      <c r="AE315" s="30">
        <v>4.4513060671631778E-2</v>
      </c>
      <c r="AF315" s="23">
        <f t="shared" si="151"/>
        <v>1</v>
      </c>
      <c r="AG315" s="24">
        <f t="shared" si="169"/>
        <v>4</v>
      </c>
      <c r="AH315" s="28">
        <f t="shared" si="152"/>
        <v>0.8</v>
      </c>
      <c r="AI315" s="29">
        <f t="shared" si="153"/>
        <v>0.2</v>
      </c>
      <c r="AJ315" s="31">
        <v>1</v>
      </c>
      <c r="AK315" s="31">
        <v>1</v>
      </c>
      <c r="AL315" s="31">
        <v>0</v>
      </c>
      <c r="AM315" s="31">
        <v>0</v>
      </c>
      <c r="AN315" s="31">
        <v>0</v>
      </c>
      <c r="AO315" s="31">
        <v>0</v>
      </c>
      <c r="AP315" s="31">
        <v>0</v>
      </c>
      <c r="AQ315" s="31">
        <v>0</v>
      </c>
      <c r="AR315" s="23">
        <f t="shared" si="154"/>
        <v>0.4</v>
      </c>
      <c r="AS315" s="24">
        <f t="shared" si="155"/>
        <v>2</v>
      </c>
      <c r="AT315" s="28">
        <f t="shared" si="156"/>
        <v>0.25</v>
      </c>
      <c r="AU315" s="28">
        <f t="shared" si="157"/>
        <v>3.7499999999999999E-2</v>
      </c>
      <c r="AV315" s="32">
        <v>75</v>
      </c>
      <c r="AW315" s="32">
        <v>75</v>
      </c>
      <c r="AX315" s="32">
        <v>90</v>
      </c>
      <c r="AY315" s="32">
        <v>90</v>
      </c>
      <c r="AZ315" s="32">
        <v>75</v>
      </c>
      <c r="BA315" s="32">
        <v>100</v>
      </c>
      <c r="BB315" s="23">
        <f t="shared" ca="1" si="158"/>
        <v>0.8</v>
      </c>
      <c r="BC315" s="33">
        <f t="shared" si="164"/>
        <v>84.166666666666671</v>
      </c>
      <c r="BD315" s="28">
        <f t="shared" si="159"/>
        <v>0.94059405940594054</v>
      </c>
      <c r="BE315" s="28">
        <f t="shared" si="160"/>
        <v>0.18811881188118812</v>
      </c>
      <c r="BF315" s="34">
        <f ca="1">Q315+AA315+AF315+AR315+BB315</f>
        <v>3</v>
      </c>
      <c r="BG315" s="34">
        <f>AVERAGE(AV315:AZ315)</f>
        <v>81</v>
      </c>
      <c r="BH315" s="35">
        <f>T315+AD315+AI315+AU315+BE315</f>
        <v>0.61116644635947726</v>
      </c>
      <c r="BI315" s="36" t="str">
        <f ca="1">IF(K315&lt;365,"New CE",(IF(BH315&gt;=100%,"Promote",IF(BH315&gt;=90%,"Sangat Baik",IF(BH315&gt;=80%,"Baik",IF(BH315&gt;=70%,"Lebih Dari Cukup",IF(BH315&gt;=60%,"Cukup","Kurang")))))))</f>
        <v>Cukup</v>
      </c>
      <c r="BJ315" s="36" t="s">
        <v>860</v>
      </c>
      <c r="BK315" s="58" t="s">
        <v>48</v>
      </c>
      <c r="BL315" s="59" t="e">
        <v>#N/A</v>
      </c>
    </row>
    <row r="316" spans="1:64" x14ac:dyDescent="0.35">
      <c r="A316" s="19">
        <v>312</v>
      </c>
      <c r="B316" s="13" t="s">
        <v>750</v>
      </c>
      <c r="C316" s="20" t="s">
        <v>751</v>
      </c>
      <c r="D316" s="76" t="s">
        <v>48</v>
      </c>
      <c r="E316" s="13" t="s">
        <v>136</v>
      </c>
      <c r="F316" s="13" t="s">
        <v>44</v>
      </c>
      <c r="G316" s="13" t="s">
        <v>51</v>
      </c>
      <c r="H316" s="65">
        <v>44502</v>
      </c>
      <c r="I316" s="21">
        <f t="shared" ca="1" si="162"/>
        <v>45974</v>
      </c>
      <c r="J316" s="13" t="str">
        <f t="shared" ca="1" si="144"/>
        <v xml:space="preserve">4 Tahun 0 Bulan 11 Hari </v>
      </c>
      <c r="K316" s="13">
        <f t="shared" ca="1" si="163"/>
        <v>2119680</v>
      </c>
      <c r="L316" s="13">
        <v>305</v>
      </c>
      <c r="M316" s="13">
        <v>6</v>
      </c>
      <c r="N316" s="13">
        <v>2074</v>
      </c>
      <c r="O316" s="22">
        <f t="shared" si="145"/>
        <v>345.66666666666669</v>
      </c>
      <c r="P316" s="13">
        <v>283</v>
      </c>
      <c r="Q316" s="23">
        <f t="shared" si="146"/>
        <v>0.8</v>
      </c>
      <c r="R316" s="24">
        <f t="shared" si="147"/>
        <v>4</v>
      </c>
      <c r="S316" s="25">
        <f t="shared" si="161"/>
        <v>0.81870781099324974</v>
      </c>
      <c r="T316" s="25">
        <f t="shared" si="148"/>
        <v>0.16374156219864996</v>
      </c>
      <c r="U316" s="26">
        <v>3496.9804464921658</v>
      </c>
      <c r="V316" s="26">
        <v>8012.5910627723324</v>
      </c>
      <c r="W316" s="26">
        <v>0</v>
      </c>
      <c r="X316" s="27">
        <f t="shared" si="172"/>
        <v>0</v>
      </c>
      <c r="Y316" s="27">
        <f t="shared" si="173"/>
        <v>0</v>
      </c>
      <c r="Z316" s="27">
        <f t="shared" si="170"/>
        <v>0</v>
      </c>
      <c r="AA316" s="23">
        <f t="shared" si="171"/>
        <v>0</v>
      </c>
      <c r="AB316" s="24">
        <f t="shared" si="167"/>
        <v>0</v>
      </c>
      <c r="AC316" s="28">
        <f t="shared" si="149"/>
        <v>0</v>
      </c>
      <c r="AD316" s="29">
        <f t="shared" si="150"/>
        <v>0</v>
      </c>
      <c r="AE316" s="30">
        <v>4.5761543815056885E-2</v>
      </c>
      <c r="AF316" s="23">
        <f t="shared" si="151"/>
        <v>1</v>
      </c>
      <c r="AG316" s="24">
        <f t="shared" ref="AG316:AG349" si="174">IF(AE316="",0,IF(AE316&lt;=TIME(1,0,0),5,IF(AE316&lt;=TIME(2,0,0),4,IF(AE316&lt;=TIME(3,0,0),3,IF(AE316&lt;=TIME(4,0,0),2,IF(AE316&lt;TIME(8,0,0),1,0))))))</f>
        <v>4</v>
      </c>
      <c r="AH316" s="28">
        <f t="shared" si="152"/>
        <v>0.8</v>
      </c>
      <c r="AI316" s="29">
        <f t="shared" si="153"/>
        <v>0.2</v>
      </c>
      <c r="AJ316" s="31">
        <v>1</v>
      </c>
      <c r="AK316" s="31">
        <v>1</v>
      </c>
      <c r="AL316" s="31">
        <v>1</v>
      </c>
      <c r="AM316" s="31">
        <v>0</v>
      </c>
      <c r="AN316" s="31">
        <v>0</v>
      </c>
      <c r="AO316" s="31">
        <v>0</v>
      </c>
      <c r="AP316" s="31">
        <v>0</v>
      </c>
      <c r="AQ316" s="31">
        <v>0</v>
      </c>
      <c r="AR316" s="23">
        <f t="shared" si="154"/>
        <v>0.6</v>
      </c>
      <c r="AS316" s="24">
        <f t="shared" si="155"/>
        <v>3</v>
      </c>
      <c r="AT316" s="28">
        <f t="shared" si="156"/>
        <v>0.375</v>
      </c>
      <c r="AU316" s="28">
        <f t="shared" si="157"/>
        <v>5.6249999999999994E-2</v>
      </c>
      <c r="AV316" s="32">
        <v>75</v>
      </c>
      <c r="AW316" s="32">
        <v>75</v>
      </c>
      <c r="AX316" s="32">
        <v>80</v>
      </c>
      <c r="AY316" s="32">
        <v>80</v>
      </c>
      <c r="AZ316" s="32">
        <v>80</v>
      </c>
      <c r="BA316" s="32">
        <v>100</v>
      </c>
      <c r="BB316" s="23">
        <f t="shared" ca="1" si="158"/>
        <v>0.8</v>
      </c>
      <c r="BC316" s="33">
        <f t="shared" si="164"/>
        <v>81.666666666666671</v>
      </c>
      <c r="BD316" s="28">
        <f t="shared" si="159"/>
        <v>0.93877551020408168</v>
      </c>
      <c r="BE316" s="28">
        <f t="shared" si="160"/>
        <v>0.18775510204081636</v>
      </c>
      <c r="BF316" s="34">
        <f ca="1">Q316+AA316+AF316+AR316+BB316</f>
        <v>3.2</v>
      </c>
      <c r="BG316" s="34">
        <f>AVERAGE(AV316:AZ316)</f>
        <v>78</v>
      </c>
      <c r="BH316" s="35">
        <f>T316+AD316+AI316+AU316+BE316</f>
        <v>0.60774666423946633</v>
      </c>
      <c r="BI316" s="36" t="str">
        <f ca="1">IF(K316&lt;365,"New CE",(IF(BH316&gt;=100%,"Promote",IF(BH316&gt;=90%,"Sangat Baik",IF(BH316&gt;=80%,"Baik",IF(BH316&gt;=70%,"Lebih Dari Cukup",IF(BH316&gt;=60%,"Cukup","Kurang")))))))</f>
        <v>Cukup</v>
      </c>
      <c r="BJ316" s="36" t="s">
        <v>860</v>
      </c>
      <c r="BK316" s="58" t="s">
        <v>48</v>
      </c>
      <c r="BL316" s="59" t="e">
        <v>#N/A</v>
      </c>
    </row>
    <row r="317" spans="1:64" x14ac:dyDescent="0.35">
      <c r="A317" s="19">
        <v>313</v>
      </c>
      <c r="B317" s="13" t="s">
        <v>752</v>
      </c>
      <c r="C317" s="20" t="s">
        <v>753</v>
      </c>
      <c r="D317" s="76" t="s">
        <v>48</v>
      </c>
      <c r="E317" s="13" t="s">
        <v>257</v>
      </c>
      <c r="F317" s="13" t="s">
        <v>44</v>
      </c>
      <c r="G317" s="13" t="s">
        <v>55</v>
      </c>
      <c r="H317" s="65">
        <v>44882</v>
      </c>
      <c r="I317" s="21">
        <f t="shared" ca="1" si="162"/>
        <v>45974</v>
      </c>
      <c r="J317" s="13" t="str">
        <f t="shared" ca="1" si="144"/>
        <v xml:space="preserve">2 Tahun 11 Bulan 27 Hari </v>
      </c>
      <c r="K317" s="13">
        <f t="shared" ca="1" si="163"/>
        <v>1572480</v>
      </c>
      <c r="L317" s="13">
        <v>507</v>
      </c>
      <c r="M317" s="13">
        <v>10</v>
      </c>
      <c r="N317" s="13">
        <v>3304</v>
      </c>
      <c r="O317" s="22">
        <f t="shared" si="145"/>
        <v>330.4</v>
      </c>
      <c r="P317" s="13">
        <v>231</v>
      </c>
      <c r="Q317" s="23">
        <f t="shared" si="146"/>
        <v>0.6</v>
      </c>
      <c r="R317" s="24">
        <f t="shared" si="147"/>
        <v>3</v>
      </c>
      <c r="S317" s="25">
        <f t="shared" si="161"/>
        <v>0.69915254237288138</v>
      </c>
      <c r="T317" s="25">
        <f t="shared" si="148"/>
        <v>0.13983050847457629</v>
      </c>
      <c r="U317" s="26">
        <v>4540.5324155092585</v>
      </c>
      <c r="V317" s="26">
        <v>3504.715597400284</v>
      </c>
      <c r="W317" s="26">
        <v>0</v>
      </c>
      <c r="X317" s="27">
        <f t="shared" si="172"/>
        <v>0</v>
      </c>
      <c r="Y317" s="27">
        <f t="shared" si="173"/>
        <v>0</v>
      </c>
      <c r="Z317" s="27">
        <f t="shared" si="170"/>
        <v>0</v>
      </c>
      <c r="AA317" s="23">
        <f t="shared" si="171"/>
        <v>0</v>
      </c>
      <c r="AB317" s="24">
        <f t="shared" si="167"/>
        <v>0</v>
      </c>
      <c r="AC317" s="28">
        <f t="shared" si="149"/>
        <v>0</v>
      </c>
      <c r="AD317" s="29">
        <f t="shared" si="150"/>
        <v>0</v>
      </c>
      <c r="AE317" s="30">
        <v>4.9722465886939571E-2</v>
      </c>
      <c r="AF317" s="23">
        <f t="shared" si="151"/>
        <v>1</v>
      </c>
      <c r="AG317" s="24">
        <f t="shared" si="174"/>
        <v>4</v>
      </c>
      <c r="AH317" s="28">
        <f t="shared" si="152"/>
        <v>0.8</v>
      </c>
      <c r="AI317" s="29">
        <f t="shared" si="153"/>
        <v>0.2</v>
      </c>
      <c r="AJ317" s="31">
        <v>1</v>
      </c>
      <c r="AK317" s="31">
        <v>1</v>
      </c>
      <c r="AL317" s="31">
        <v>1</v>
      </c>
      <c r="AM317" s="31">
        <v>0</v>
      </c>
      <c r="AN317" s="31">
        <v>0</v>
      </c>
      <c r="AO317" s="31">
        <v>1</v>
      </c>
      <c r="AP317" s="31">
        <v>0</v>
      </c>
      <c r="AQ317" s="31">
        <v>0</v>
      </c>
      <c r="AR317" s="23">
        <f t="shared" si="154"/>
        <v>0.8</v>
      </c>
      <c r="AS317" s="24">
        <f t="shared" si="155"/>
        <v>4</v>
      </c>
      <c r="AT317" s="28">
        <f t="shared" si="156"/>
        <v>0.5</v>
      </c>
      <c r="AU317" s="28">
        <f t="shared" si="157"/>
        <v>7.4999999999999997E-2</v>
      </c>
      <c r="AV317" s="32">
        <v>75</v>
      </c>
      <c r="AW317" s="32">
        <v>75</v>
      </c>
      <c r="AX317" s="32">
        <v>80</v>
      </c>
      <c r="AY317" s="32">
        <v>80</v>
      </c>
      <c r="AZ317" s="32">
        <v>75</v>
      </c>
      <c r="BA317" s="32">
        <v>100</v>
      </c>
      <c r="BB317" s="23">
        <f t="shared" ca="1" si="158"/>
        <v>0.8</v>
      </c>
      <c r="BC317" s="33">
        <f t="shared" si="164"/>
        <v>80.833333333333329</v>
      </c>
      <c r="BD317" s="28">
        <f t="shared" si="159"/>
        <v>0.93814432989690721</v>
      </c>
      <c r="BE317" s="28">
        <f t="shared" si="160"/>
        <v>0.18762886597938144</v>
      </c>
      <c r="BF317" s="34">
        <f ca="1">Q317+AA317+AF317+AR317+BB317</f>
        <v>3.2</v>
      </c>
      <c r="BG317" s="34">
        <f>AVERAGE(AV317:AZ317)</f>
        <v>77</v>
      </c>
      <c r="BH317" s="35">
        <f>T317+AD317+AI317+AU317+BE317</f>
        <v>0.6024593744539577</v>
      </c>
      <c r="BI317" s="36" t="str">
        <f ca="1">IF(K317&lt;365,"New CE",(IF(BH317&gt;=100%,"Promote",IF(BH317&gt;=90%,"Sangat Baik",IF(BH317&gt;=80%,"Baik",IF(BH317&gt;=70%,"Lebih Dari Cukup",IF(BH317&gt;=60%,"Cukup","Kurang")))))))</f>
        <v>Cukup</v>
      </c>
      <c r="BJ317" s="36" t="s">
        <v>860</v>
      </c>
      <c r="BK317" s="58" t="s">
        <v>48</v>
      </c>
      <c r="BL317" s="59" t="e">
        <v>#N/A</v>
      </c>
    </row>
    <row r="318" spans="1:64" x14ac:dyDescent="0.35">
      <c r="A318" s="19">
        <v>314</v>
      </c>
      <c r="B318" s="13" t="s">
        <v>754</v>
      </c>
      <c r="C318" s="20" t="s">
        <v>755</v>
      </c>
      <c r="D318" s="76" t="s">
        <v>54</v>
      </c>
      <c r="E318" s="13" t="s">
        <v>98</v>
      </c>
      <c r="F318" s="13" t="s">
        <v>50</v>
      </c>
      <c r="G318" s="13" t="s">
        <v>55</v>
      </c>
      <c r="H318" s="65">
        <v>43836</v>
      </c>
      <c r="I318" s="21">
        <f t="shared" ca="1" si="162"/>
        <v>45974</v>
      </c>
      <c r="J318" s="13" t="str">
        <f t="shared" ca="1" si="144"/>
        <v xml:space="preserve">5 Tahun 10 Bulan 7 Hari </v>
      </c>
      <c r="K318" s="13">
        <f t="shared" ca="1" si="163"/>
        <v>3078720</v>
      </c>
      <c r="L318" s="13">
        <v>1040</v>
      </c>
      <c r="M318" s="13">
        <v>17</v>
      </c>
      <c r="N318" s="13">
        <v>7455</v>
      </c>
      <c r="O318" s="22">
        <f t="shared" si="145"/>
        <v>438.52941176470586</v>
      </c>
      <c r="P318" s="13">
        <v>344</v>
      </c>
      <c r="Q318" s="23">
        <f t="shared" si="146"/>
        <v>0.6</v>
      </c>
      <c r="R318" s="24">
        <f t="shared" si="147"/>
        <v>3</v>
      </c>
      <c r="S318" s="25">
        <f t="shared" si="161"/>
        <v>0.78443997317236758</v>
      </c>
      <c r="T318" s="25">
        <f t="shared" si="148"/>
        <v>0.15688799463447353</v>
      </c>
      <c r="U318" s="26">
        <v>3784.9448934220673</v>
      </c>
      <c r="V318" s="26">
        <v>0</v>
      </c>
      <c r="W318" s="26">
        <v>0</v>
      </c>
      <c r="X318" s="27">
        <f t="shared" si="172"/>
        <v>0</v>
      </c>
      <c r="Y318" s="27">
        <f t="shared" si="173"/>
        <v>0</v>
      </c>
      <c r="Z318" s="27">
        <f t="shared" si="170"/>
        <v>0</v>
      </c>
      <c r="AA318" s="23">
        <f t="shared" si="171"/>
        <v>0</v>
      </c>
      <c r="AB318" s="24">
        <f t="shared" si="167"/>
        <v>0</v>
      </c>
      <c r="AC318" s="28">
        <f t="shared" si="149"/>
        <v>0</v>
      </c>
      <c r="AD318" s="29">
        <f t="shared" si="150"/>
        <v>0</v>
      </c>
      <c r="AE318" s="30">
        <v>5.823493886514719E-2</v>
      </c>
      <c r="AF318" s="23">
        <f t="shared" si="151"/>
        <v>1</v>
      </c>
      <c r="AG318" s="24">
        <f t="shared" si="174"/>
        <v>4</v>
      </c>
      <c r="AH318" s="28">
        <f t="shared" si="152"/>
        <v>0.8</v>
      </c>
      <c r="AI318" s="29">
        <f t="shared" si="153"/>
        <v>0.2</v>
      </c>
      <c r="AJ318" s="31">
        <v>1</v>
      </c>
      <c r="AK318" s="31">
        <v>1</v>
      </c>
      <c r="AL318" s="31">
        <v>1</v>
      </c>
      <c r="AM318" s="31">
        <v>0</v>
      </c>
      <c r="AN318" s="31">
        <v>0</v>
      </c>
      <c r="AO318" s="31">
        <v>0</v>
      </c>
      <c r="AP318" s="31">
        <v>0</v>
      </c>
      <c r="AQ318" s="31">
        <v>0</v>
      </c>
      <c r="AR318" s="23">
        <f t="shared" si="154"/>
        <v>0.6</v>
      </c>
      <c r="AS318" s="24">
        <f t="shared" si="155"/>
        <v>3</v>
      </c>
      <c r="AT318" s="28">
        <f t="shared" si="156"/>
        <v>0.375</v>
      </c>
      <c r="AU318" s="28">
        <f t="shared" si="157"/>
        <v>5.6249999999999994E-2</v>
      </c>
      <c r="AV318" s="32">
        <v>75</v>
      </c>
      <c r="AW318" s="32">
        <v>75</v>
      </c>
      <c r="AX318" s="32">
        <v>90</v>
      </c>
      <c r="AY318" s="32">
        <v>75</v>
      </c>
      <c r="AZ318" s="32">
        <v>80</v>
      </c>
      <c r="BA318" s="32">
        <v>100</v>
      </c>
      <c r="BB318" s="23">
        <f t="shared" ca="1" si="158"/>
        <v>0.8</v>
      </c>
      <c r="BC318" s="33">
        <f t="shared" si="164"/>
        <v>82.5</v>
      </c>
      <c r="BD318" s="28">
        <f t="shared" si="159"/>
        <v>0.93939393939393945</v>
      </c>
      <c r="BE318" s="28">
        <f t="shared" si="160"/>
        <v>0.1878787878787879</v>
      </c>
      <c r="BF318" s="34">
        <f ca="1">Q318+AA318+AF318+AR318+BB318</f>
        <v>3</v>
      </c>
      <c r="BG318" s="34">
        <f>AVERAGE(AV318:AZ318)</f>
        <v>79</v>
      </c>
      <c r="BH318" s="35">
        <f>T318+AD318+AI318+AU318+BE318</f>
        <v>0.60101678251326141</v>
      </c>
      <c r="BI318" s="36" t="str">
        <f ca="1">IF(K318&lt;365,"New CE",(IF(BH318&gt;=100%,"Promote",IF(BH318&gt;=90%,"Sangat Baik",IF(BH318&gt;=80%,"Baik",IF(BH318&gt;=70%,"Lebih Dari Cukup",IF(BH318&gt;=60%,"Cukup","Kurang")))))))</f>
        <v>Cukup</v>
      </c>
      <c r="BJ318" s="36" t="s">
        <v>860</v>
      </c>
      <c r="BK318" s="58" t="s">
        <v>54</v>
      </c>
      <c r="BL318" s="59" t="e">
        <v>#N/A</v>
      </c>
    </row>
    <row r="319" spans="1:64" x14ac:dyDescent="0.35">
      <c r="A319" s="19">
        <v>315</v>
      </c>
      <c r="B319" s="13" t="s">
        <v>756</v>
      </c>
      <c r="C319" s="20" t="s">
        <v>757</v>
      </c>
      <c r="D319" s="76" t="s">
        <v>48</v>
      </c>
      <c r="E319" s="13" t="s">
        <v>89</v>
      </c>
      <c r="F319" s="13" t="s">
        <v>74</v>
      </c>
      <c r="G319" s="13" t="s">
        <v>55</v>
      </c>
      <c r="H319" s="65">
        <v>44473</v>
      </c>
      <c r="I319" s="21">
        <f t="shared" ca="1" si="162"/>
        <v>45974</v>
      </c>
      <c r="J319" s="13" t="str">
        <f t="shared" ref="J319:J349" ca="1" si="175">DATEDIF(H319,NOW(),"Y") &amp; " Tahun " &amp; DATEDIF(H319,NOW(),"YM") &amp; " Bulan " &amp; DATEDIF(H319,NOW(),"MD") &amp; " Hari "</f>
        <v xml:space="preserve">4 Tahun 1 Bulan 9 Hari </v>
      </c>
      <c r="K319" s="13">
        <f t="shared" ca="1" si="163"/>
        <v>2161440</v>
      </c>
      <c r="L319" s="13">
        <v>448</v>
      </c>
      <c r="M319" s="13">
        <v>7</v>
      </c>
      <c r="N319" s="13">
        <v>2614</v>
      </c>
      <c r="O319" s="22">
        <f t="shared" ref="O319:O349" si="176">N319/M319</f>
        <v>373.42857142857144</v>
      </c>
      <c r="P319" s="13">
        <v>318</v>
      </c>
      <c r="Q319" s="23">
        <f t="shared" ref="Q319:Q349" si="177">IF(R319=5, 1, IF(R319=4, 0.8, IF(R319=3, 0.6, IF(R319=2, 0.4, IF(R319=1, 0.2, 0)))))</f>
        <v>0.8</v>
      </c>
      <c r="R319" s="24">
        <f t="shared" ref="R319:R349" si="178">IF(S319&gt;=100%, 5, IF(S319&gt;=80%, 4, IF(S319&gt;=60%, 3, IF(S319&gt;=40%, 2, IF(S319&gt;=0%, 1, "")))))</f>
        <v>4</v>
      </c>
      <c r="S319" s="25">
        <f t="shared" si="161"/>
        <v>0.85156847742922726</v>
      </c>
      <c r="T319" s="25">
        <f t="shared" ref="T319:T349" si="179">20%*S319</f>
        <v>0.17031369548584546</v>
      </c>
      <c r="U319" s="26">
        <v>2061.8972593118688</v>
      </c>
      <c r="V319" s="26">
        <v>0</v>
      </c>
      <c r="W319" s="26">
        <v>0</v>
      </c>
      <c r="X319" s="27">
        <f t="shared" si="172"/>
        <v>0</v>
      </c>
      <c r="Y319" s="27">
        <f t="shared" si="173"/>
        <v>0</v>
      </c>
      <c r="Z319" s="27">
        <f t="shared" si="170"/>
        <v>0</v>
      </c>
      <c r="AA319" s="23">
        <f t="shared" si="171"/>
        <v>0</v>
      </c>
      <c r="AB319" s="24">
        <f t="shared" si="167"/>
        <v>0</v>
      </c>
      <c r="AC319" s="28">
        <f t="shared" ref="AC319:AC349" si="180">AB319/3</f>
        <v>0</v>
      </c>
      <c r="AD319" s="29">
        <f t="shared" ref="AD319:AD349" si="181">25%*AC319</f>
        <v>0</v>
      </c>
      <c r="AE319" s="30">
        <v>5.1565298336988322E-2</v>
      </c>
      <c r="AF319" s="23">
        <f t="shared" ref="AF319:AF349" si="182">IF(AG319=5, 1.25, IF(AG319=4, 1, IF(AG319=3, 0.75, IF(AG319=2, 0.5, IF(AG319=1, 0.25, 0)))))</f>
        <v>1</v>
      </c>
      <c r="AG319" s="24">
        <f t="shared" si="174"/>
        <v>4</v>
      </c>
      <c r="AH319" s="28">
        <f t="shared" ref="AH319:AH349" si="183">IF(AE319=TIME(0,0,0),0%,AG319/5)</f>
        <v>0.8</v>
      </c>
      <c r="AI319" s="29">
        <f t="shared" ref="AI319:AI349" si="184">25%*AH319</f>
        <v>0.2</v>
      </c>
      <c r="AJ319" s="31">
        <v>1</v>
      </c>
      <c r="AK319" s="31">
        <v>1</v>
      </c>
      <c r="AL319" s="31">
        <v>0</v>
      </c>
      <c r="AM319" s="31">
        <v>0</v>
      </c>
      <c r="AN319" s="31">
        <v>0</v>
      </c>
      <c r="AO319" s="31">
        <v>0</v>
      </c>
      <c r="AP319" s="31">
        <v>0</v>
      </c>
      <c r="AQ319" s="31">
        <v>0</v>
      </c>
      <c r="AR319" s="23">
        <f t="shared" ref="AR319:AR349" si="185">IF(AS319&gt;=5, 1, IF(AS319=4, 0.8, IF(AS319=3, 0.6, IF(AS319=2, 0.4, IF(AS319=1, 0.2, 0)))))</f>
        <v>0.4</v>
      </c>
      <c r="AS319" s="24">
        <f t="shared" ref="AS319:AS349" si="186">SUM(AJ319:AQ319)</f>
        <v>2</v>
      </c>
      <c r="AT319" s="28">
        <f t="shared" ref="AT319:AT349" si="187">AS319/8</f>
        <v>0.25</v>
      </c>
      <c r="AU319" s="28">
        <f t="shared" ref="AU319:AU349" si="188">15%*AT319</f>
        <v>3.7499999999999999E-2</v>
      </c>
      <c r="AV319" s="32">
        <v>75</v>
      </c>
      <c r="AW319" s="32">
        <v>75</v>
      </c>
      <c r="AX319" s="32">
        <v>75</v>
      </c>
      <c r="AY319" s="32">
        <v>75</v>
      </c>
      <c r="AZ319" s="32">
        <v>75</v>
      </c>
      <c r="BA319" s="32">
        <v>100</v>
      </c>
      <c r="BB319" s="23">
        <f t="shared" ref="BB319:BB349" ca="1" si="189">IF(BI319&gt;="Sangat Baik", 1, IF(BI319&gt;="Baik", 0.8, IF(BI319&gt;="Cukup", 0.6, IF(BI319&gt;="Kurang", 0.4, IF(BI319&gt;="Sangat Kurang", 0.2, 0)))))</f>
        <v>0.8</v>
      </c>
      <c r="BC319" s="33">
        <f t="shared" si="164"/>
        <v>79.166666666666671</v>
      </c>
      <c r="BD319" s="28">
        <f t="shared" ref="BD319:BD349" si="190">100%-(5/BC319)</f>
        <v>0.93684210526315792</v>
      </c>
      <c r="BE319" s="28">
        <f t="shared" ref="BE319:BE349" si="191">20%*BD319</f>
        <v>0.1873684210526316</v>
      </c>
      <c r="BF319" s="34">
        <f ca="1">Q319+AA319+AF319+AR319+BB319</f>
        <v>3</v>
      </c>
      <c r="BG319" s="34">
        <f>AVERAGE(AV319:AZ319)</f>
        <v>75</v>
      </c>
      <c r="BH319" s="35">
        <f>T319+AD319+AI319+AU319+BE319</f>
        <v>0.59518211653847708</v>
      </c>
      <c r="BI319" s="36" t="str">
        <f ca="1">IF(K319&lt;365,"New CE",(IF(BH319&gt;=100%,"Promote",IF(BH319&gt;=90%,"Sangat Baik",IF(BH319&gt;=80%,"Baik",IF(BH319&gt;=70%,"Lebih Dari Cukup",IF(BH319&gt;=60%,"Cukup","Kurang")))))))</f>
        <v>Kurang</v>
      </c>
      <c r="BJ319" s="36" t="s">
        <v>860</v>
      </c>
      <c r="BK319" s="58" t="s">
        <v>48</v>
      </c>
      <c r="BL319" s="59" t="str">
        <v>As Bachri Saimima</v>
      </c>
    </row>
    <row r="320" spans="1:64" x14ac:dyDescent="0.35">
      <c r="A320" s="19">
        <v>316</v>
      </c>
      <c r="B320" s="13" t="s">
        <v>758</v>
      </c>
      <c r="C320" s="20" t="s">
        <v>759</v>
      </c>
      <c r="D320" s="76" t="s">
        <v>54</v>
      </c>
      <c r="E320" s="13" t="s">
        <v>98</v>
      </c>
      <c r="F320" s="13" t="s">
        <v>50</v>
      </c>
      <c r="G320" s="13" t="s">
        <v>75</v>
      </c>
      <c r="H320" s="65">
        <v>45352</v>
      </c>
      <c r="I320" s="21">
        <f t="shared" ca="1" si="162"/>
        <v>45974</v>
      </c>
      <c r="J320" s="13" t="str">
        <f t="shared" ca="1" si="175"/>
        <v xml:space="preserve">1 Tahun 8 Bulan 12 Hari </v>
      </c>
      <c r="K320" s="13">
        <f t="shared" ca="1" si="163"/>
        <v>895680</v>
      </c>
      <c r="L320" s="13">
        <v>1040</v>
      </c>
      <c r="M320" s="13">
        <v>17</v>
      </c>
      <c r="N320" s="13">
        <v>7455</v>
      </c>
      <c r="O320" s="22">
        <f t="shared" si="176"/>
        <v>438.52941176470586</v>
      </c>
      <c r="P320" s="13">
        <v>63</v>
      </c>
      <c r="Q320" s="23">
        <f t="shared" si="177"/>
        <v>0.2</v>
      </c>
      <c r="R320" s="24">
        <f t="shared" si="178"/>
        <v>1</v>
      </c>
      <c r="S320" s="25">
        <f t="shared" si="161"/>
        <v>0.14366197183098592</v>
      </c>
      <c r="T320" s="25">
        <f t="shared" si="179"/>
        <v>2.8732394366197185E-2</v>
      </c>
      <c r="U320" s="26">
        <v>5.9904513888888886E-2</v>
      </c>
      <c r="V320" s="26">
        <v>0</v>
      </c>
      <c r="W320" s="26">
        <v>0</v>
      </c>
      <c r="X320" s="27">
        <f t="shared" si="172"/>
        <v>1</v>
      </c>
      <c r="Y320" s="27">
        <f t="shared" si="173"/>
        <v>0</v>
      </c>
      <c r="Z320" s="27">
        <f t="shared" si="170"/>
        <v>0</v>
      </c>
      <c r="AA320" s="23">
        <f t="shared" si="171"/>
        <v>0.4</v>
      </c>
      <c r="AB320" s="24">
        <f t="shared" si="167"/>
        <v>1</v>
      </c>
      <c r="AC320" s="28">
        <f t="shared" si="180"/>
        <v>0.33333333333333331</v>
      </c>
      <c r="AD320" s="29">
        <f t="shared" si="181"/>
        <v>8.3333333333333329E-2</v>
      </c>
      <c r="AE320" s="30">
        <v>6.2405237268518522E-2</v>
      </c>
      <c r="AF320" s="23">
        <f t="shared" si="182"/>
        <v>1</v>
      </c>
      <c r="AG320" s="24">
        <f t="shared" si="174"/>
        <v>4</v>
      </c>
      <c r="AH320" s="28">
        <f t="shared" si="183"/>
        <v>0.8</v>
      </c>
      <c r="AI320" s="29">
        <f t="shared" si="184"/>
        <v>0.2</v>
      </c>
      <c r="AJ320" s="31">
        <v>1</v>
      </c>
      <c r="AK320" s="31">
        <v>1</v>
      </c>
      <c r="AL320" s="31">
        <v>1</v>
      </c>
      <c r="AM320" s="31">
        <v>0</v>
      </c>
      <c r="AN320" s="31">
        <v>1</v>
      </c>
      <c r="AO320" s="31">
        <v>1</v>
      </c>
      <c r="AP320" s="31">
        <v>0</v>
      </c>
      <c r="AQ320" s="31">
        <v>0</v>
      </c>
      <c r="AR320" s="23">
        <f t="shared" si="185"/>
        <v>1</v>
      </c>
      <c r="AS320" s="24">
        <f t="shared" si="186"/>
        <v>5</v>
      </c>
      <c r="AT320" s="28">
        <f t="shared" si="187"/>
        <v>0.625</v>
      </c>
      <c r="AU320" s="28">
        <f t="shared" si="188"/>
        <v>9.375E-2</v>
      </c>
      <c r="AV320" s="32">
        <v>75</v>
      </c>
      <c r="AW320" s="32">
        <v>75</v>
      </c>
      <c r="AX320" s="32">
        <v>75</v>
      </c>
      <c r="AY320" s="32">
        <v>85</v>
      </c>
      <c r="AZ320" s="32">
        <v>80</v>
      </c>
      <c r="BA320" s="32">
        <v>100</v>
      </c>
      <c r="BB320" s="23">
        <f t="shared" ca="1" si="189"/>
        <v>0.8</v>
      </c>
      <c r="BC320" s="33">
        <f t="shared" si="164"/>
        <v>81.666666666666671</v>
      </c>
      <c r="BD320" s="28">
        <f t="shared" si="190"/>
        <v>0.93877551020408168</v>
      </c>
      <c r="BE320" s="28">
        <f t="shared" si="191"/>
        <v>0.18775510204081636</v>
      </c>
      <c r="BF320" s="34">
        <f ca="1">Q320+AA320+AF320+AR320+BB320</f>
        <v>3.4000000000000004</v>
      </c>
      <c r="BG320" s="34">
        <f>AVERAGE(AV320:AZ320)</f>
        <v>78</v>
      </c>
      <c r="BH320" s="35">
        <f>T320+AD320+AI320+AU320+BE320</f>
        <v>0.59357082974034692</v>
      </c>
      <c r="BI320" s="36" t="str">
        <f ca="1">IF(K320&lt;365,"New CE",(IF(BH320&gt;=100%,"Promote",IF(BH320&gt;=90%,"Sangat Baik",IF(BH320&gt;=80%,"Baik",IF(BH320&gt;=70%,"Lebih Dari Cukup",IF(BH320&gt;=60%,"Cukup","Kurang")))))))</f>
        <v>Kurang</v>
      </c>
      <c r="BJ320" s="36" t="s">
        <v>860</v>
      </c>
      <c r="BK320" s="58" t="s">
        <v>54</v>
      </c>
      <c r="BL320" s="59" t="e">
        <v>#N/A</v>
      </c>
    </row>
    <row r="321" spans="1:64" x14ac:dyDescent="0.35">
      <c r="A321" s="19">
        <v>317</v>
      </c>
      <c r="B321" s="13" t="s">
        <v>760</v>
      </c>
      <c r="C321" s="20" t="s">
        <v>761</v>
      </c>
      <c r="D321" s="76" t="s">
        <v>54</v>
      </c>
      <c r="E321" s="13" t="s">
        <v>654</v>
      </c>
      <c r="F321" s="13" t="s">
        <v>44</v>
      </c>
      <c r="G321" s="13" t="s">
        <v>55</v>
      </c>
      <c r="H321" s="65">
        <v>44882</v>
      </c>
      <c r="I321" s="21">
        <f t="shared" ca="1" si="162"/>
        <v>45974</v>
      </c>
      <c r="J321" s="13" t="str">
        <f t="shared" ca="1" si="175"/>
        <v xml:space="preserve">2 Tahun 11 Bulan 27 Hari </v>
      </c>
      <c r="K321" s="13">
        <f t="shared" ca="1" si="163"/>
        <v>1572480</v>
      </c>
      <c r="L321" s="13">
        <v>329</v>
      </c>
      <c r="M321" s="13">
        <v>6</v>
      </c>
      <c r="N321" s="13">
        <v>2587</v>
      </c>
      <c r="O321" s="22">
        <f t="shared" si="176"/>
        <v>431.16666666666669</v>
      </c>
      <c r="P321" s="13">
        <v>305</v>
      </c>
      <c r="Q321" s="23">
        <f t="shared" si="177"/>
        <v>0.6</v>
      </c>
      <c r="R321" s="24">
        <f t="shared" si="178"/>
        <v>3</v>
      </c>
      <c r="S321" s="25">
        <f t="shared" ref="S321:S347" si="192">P321/O321</f>
        <v>0.70738306919211436</v>
      </c>
      <c r="T321" s="25">
        <f t="shared" si="179"/>
        <v>0.14147661383842289</v>
      </c>
      <c r="U321" s="26">
        <v>3926.8747523719699</v>
      </c>
      <c r="V321" s="26">
        <v>7564.8242708333337</v>
      </c>
      <c r="W321" s="26">
        <v>0</v>
      </c>
      <c r="X321" s="27">
        <f t="shared" si="172"/>
        <v>0</v>
      </c>
      <c r="Y321" s="27">
        <f t="shared" si="173"/>
        <v>0</v>
      </c>
      <c r="Z321" s="27">
        <f t="shared" si="170"/>
        <v>0</v>
      </c>
      <c r="AA321" s="23">
        <f t="shared" si="171"/>
        <v>0</v>
      </c>
      <c r="AB321" s="24">
        <f t="shared" si="167"/>
        <v>0</v>
      </c>
      <c r="AC321" s="28">
        <f t="shared" si="180"/>
        <v>0</v>
      </c>
      <c r="AD321" s="29">
        <f t="shared" si="181"/>
        <v>0</v>
      </c>
      <c r="AE321" s="30">
        <v>7.6822868541618544E-2</v>
      </c>
      <c r="AF321" s="23">
        <f t="shared" si="182"/>
        <v>1</v>
      </c>
      <c r="AG321" s="24">
        <f t="shared" si="174"/>
        <v>4</v>
      </c>
      <c r="AH321" s="28">
        <f t="shared" si="183"/>
        <v>0.8</v>
      </c>
      <c r="AI321" s="29">
        <f t="shared" si="184"/>
        <v>0.2</v>
      </c>
      <c r="AJ321" s="31">
        <v>1</v>
      </c>
      <c r="AK321" s="31">
        <v>1</v>
      </c>
      <c r="AL321" s="31">
        <v>1</v>
      </c>
      <c r="AM321" s="31">
        <v>0</v>
      </c>
      <c r="AN321" s="31">
        <v>0</v>
      </c>
      <c r="AO321" s="31">
        <v>0</v>
      </c>
      <c r="AP321" s="31">
        <v>0</v>
      </c>
      <c r="AQ321" s="31">
        <v>0</v>
      </c>
      <c r="AR321" s="23">
        <f t="shared" si="185"/>
        <v>0.6</v>
      </c>
      <c r="AS321" s="24">
        <f t="shared" si="186"/>
        <v>3</v>
      </c>
      <c r="AT321" s="28">
        <f t="shared" si="187"/>
        <v>0.375</v>
      </c>
      <c r="AU321" s="28">
        <f t="shared" si="188"/>
        <v>5.6249999999999994E-2</v>
      </c>
      <c r="AV321" s="32">
        <v>75</v>
      </c>
      <c r="AW321" s="32">
        <v>75</v>
      </c>
      <c r="AX321" s="32">
        <v>80</v>
      </c>
      <c r="AY321" s="32">
        <v>80</v>
      </c>
      <c r="AZ321" s="32">
        <v>80</v>
      </c>
      <c r="BA321" s="32">
        <v>100</v>
      </c>
      <c r="BB321" s="23">
        <f t="shared" ca="1" si="189"/>
        <v>0.8</v>
      </c>
      <c r="BC321" s="33">
        <f t="shared" si="164"/>
        <v>81.666666666666671</v>
      </c>
      <c r="BD321" s="28">
        <f t="shared" si="190"/>
        <v>0.93877551020408168</v>
      </c>
      <c r="BE321" s="28">
        <f t="shared" si="191"/>
        <v>0.18775510204081636</v>
      </c>
      <c r="BF321" s="34">
        <f ca="1">Q321+AA321+AF321+AR321+BB321</f>
        <v>3</v>
      </c>
      <c r="BG321" s="34">
        <f>AVERAGE(AV321:AZ321)</f>
        <v>78</v>
      </c>
      <c r="BH321" s="35">
        <f>T321+AD321+AI321+AU321+BE321</f>
        <v>0.58548171587923925</v>
      </c>
      <c r="BI321" s="36" t="str">
        <f ca="1">IF(K321&lt;365,"New CE",(IF(BH321&gt;=100%,"Promote",IF(BH321&gt;=90%,"Sangat Baik",IF(BH321&gt;=80%,"Baik",IF(BH321&gt;=70%,"Lebih Dari Cukup",IF(BH321&gt;=60%,"Cukup","Kurang")))))))</f>
        <v>Kurang</v>
      </c>
      <c r="BJ321" s="36" t="s">
        <v>860</v>
      </c>
      <c r="BK321" s="58" t="s">
        <v>54</v>
      </c>
      <c r="BL321" s="59" t="e">
        <v>#N/A</v>
      </c>
    </row>
    <row r="322" spans="1:64" x14ac:dyDescent="0.35">
      <c r="A322" s="19">
        <v>318</v>
      </c>
      <c r="B322" s="13" t="s">
        <v>762</v>
      </c>
      <c r="C322" s="20" t="s">
        <v>763</v>
      </c>
      <c r="D322" s="76" t="s">
        <v>48</v>
      </c>
      <c r="E322" s="13" t="s">
        <v>418</v>
      </c>
      <c r="F322" s="13" t="s">
        <v>44</v>
      </c>
      <c r="G322" s="13" t="s">
        <v>51</v>
      </c>
      <c r="H322" s="65">
        <v>44746</v>
      </c>
      <c r="I322" s="21">
        <f t="shared" ca="1" si="162"/>
        <v>45974</v>
      </c>
      <c r="J322" s="13" t="str">
        <f t="shared" ca="1" si="175"/>
        <v xml:space="preserve">3 Tahun 4 Bulan 9 Hari </v>
      </c>
      <c r="K322" s="13">
        <f t="shared" ca="1" si="163"/>
        <v>1768320</v>
      </c>
      <c r="L322" s="13">
        <v>173</v>
      </c>
      <c r="M322" s="13">
        <v>3</v>
      </c>
      <c r="N322" s="13">
        <v>1310</v>
      </c>
      <c r="O322" s="22">
        <f t="shared" si="176"/>
        <v>436.66666666666669</v>
      </c>
      <c r="P322" s="13">
        <v>415</v>
      </c>
      <c r="Q322" s="23">
        <f t="shared" si="177"/>
        <v>0.8</v>
      </c>
      <c r="R322" s="24">
        <f t="shared" si="178"/>
        <v>4</v>
      </c>
      <c r="S322" s="25">
        <f t="shared" si="192"/>
        <v>0.95038167938931295</v>
      </c>
      <c r="T322" s="25">
        <f t="shared" si="179"/>
        <v>0.1900763358778626</v>
      </c>
      <c r="U322" s="26">
        <v>5375.5715007716026</v>
      </c>
      <c r="V322" s="26">
        <v>11862.356844303542</v>
      </c>
      <c r="W322" s="26">
        <v>0</v>
      </c>
      <c r="X322" s="27">
        <f t="shared" si="172"/>
        <v>0</v>
      </c>
      <c r="Y322" s="27">
        <f t="shared" si="173"/>
        <v>0</v>
      </c>
      <c r="Z322" s="27">
        <f t="shared" si="170"/>
        <v>0</v>
      </c>
      <c r="AA322" s="23">
        <f t="shared" si="171"/>
        <v>0</v>
      </c>
      <c r="AB322" s="24">
        <f t="shared" si="167"/>
        <v>0</v>
      </c>
      <c r="AC322" s="28">
        <f t="shared" si="180"/>
        <v>0</v>
      </c>
      <c r="AD322" s="29">
        <f t="shared" si="181"/>
        <v>0</v>
      </c>
      <c r="AE322" s="30">
        <v>0.11232509384384384</v>
      </c>
      <c r="AF322" s="23">
        <f t="shared" si="182"/>
        <v>0.75</v>
      </c>
      <c r="AG322" s="24">
        <f t="shared" si="174"/>
        <v>3</v>
      </c>
      <c r="AH322" s="28">
        <f t="shared" si="183"/>
        <v>0.6</v>
      </c>
      <c r="AI322" s="29">
        <f t="shared" si="184"/>
        <v>0.15</v>
      </c>
      <c r="AJ322" s="31">
        <v>1</v>
      </c>
      <c r="AK322" s="31">
        <v>1</v>
      </c>
      <c r="AL322" s="31">
        <v>1</v>
      </c>
      <c r="AM322" s="31">
        <v>0</v>
      </c>
      <c r="AN322" s="31">
        <v>0</v>
      </c>
      <c r="AO322" s="31">
        <v>0</v>
      </c>
      <c r="AP322" s="31">
        <v>0</v>
      </c>
      <c r="AQ322" s="31">
        <v>0</v>
      </c>
      <c r="AR322" s="23">
        <f t="shared" si="185"/>
        <v>0.6</v>
      </c>
      <c r="AS322" s="24">
        <f t="shared" si="186"/>
        <v>3</v>
      </c>
      <c r="AT322" s="28">
        <f t="shared" si="187"/>
        <v>0.375</v>
      </c>
      <c r="AU322" s="28">
        <f t="shared" si="188"/>
        <v>5.6249999999999994E-2</v>
      </c>
      <c r="AV322" s="32">
        <v>75</v>
      </c>
      <c r="AW322" s="32">
        <v>75</v>
      </c>
      <c r="AX322" s="32">
        <v>90</v>
      </c>
      <c r="AY322" s="32">
        <v>90</v>
      </c>
      <c r="AZ322" s="32">
        <v>90</v>
      </c>
      <c r="BA322" s="32">
        <v>100</v>
      </c>
      <c r="BB322" s="23">
        <f t="shared" ca="1" si="189"/>
        <v>0.8</v>
      </c>
      <c r="BC322" s="33">
        <f t="shared" si="164"/>
        <v>86.666666666666671</v>
      </c>
      <c r="BD322" s="28">
        <f t="shared" si="190"/>
        <v>0.94230769230769229</v>
      </c>
      <c r="BE322" s="28">
        <f t="shared" si="191"/>
        <v>0.18846153846153846</v>
      </c>
      <c r="BF322" s="34">
        <f ca="1">Q322+AA322+AF322+AR322+BB322</f>
        <v>2.95</v>
      </c>
      <c r="BG322" s="34">
        <f>AVERAGE(AV322:AZ322)</f>
        <v>84</v>
      </c>
      <c r="BH322" s="35">
        <f>T322+AD322+AI322+AU322+BE322</f>
        <v>0.58478787433940105</v>
      </c>
      <c r="BI322" s="36" t="str">
        <f ca="1">IF(K322&lt;365,"New CE",(IF(BH322&gt;=100%,"Promote",IF(BH322&gt;=90%,"Sangat Baik",IF(BH322&gt;=80%,"Baik",IF(BH322&gt;=70%,"Lebih Dari Cukup",IF(BH322&gt;=60%,"Cukup","Kurang")))))))</f>
        <v>Kurang</v>
      </c>
      <c r="BJ322" s="36" t="s">
        <v>860</v>
      </c>
      <c r="BK322" s="58" t="s">
        <v>48</v>
      </c>
      <c r="BL322" s="59" t="e">
        <v>#N/A</v>
      </c>
    </row>
    <row r="323" spans="1:64" x14ac:dyDescent="0.35">
      <c r="A323" s="19">
        <v>319</v>
      </c>
      <c r="B323" s="13" t="s">
        <v>764</v>
      </c>
      <c r="C323" s="20" t="s">
        <v>765</v>
      </c>
      <c r="D323" s="76" t="s">
        <v>54</v>
      </c>
      <c r="E323" s="13" t="s">
        <v>580</v>
      </c>
      <c r="F323" s="13" t="s">
        <v>50</v>
      </c>
      <c r="G323" s="13" t="s">
        <v>61</v>
      </c>
      <c r="H323" s="65">
        <v>45075</v>
      </c>
      <c r="I323" s="21">
        <f t="shared" ca="1" si="162"/>
        <v>45974</v>
      </c>
      <c r="J323" s="13" t="str">
        <f t="shared" ca="1" si="175"/>
        <v xml:space="preserve">2 Tahun 5 Bulan 15 Hari </v>
      </c>
      <c r="K323" s="13">
        <f t="shared" ca="1" si="163"/>
        <v>1294560</v>
      </c>
      <c r="L323" s="13">
        <v>194</v>
      </c>
      <c r="M323" s="13">
        <v>2</v>
      </c>
      <c r="N323" s="13">
        <v>1461</v>
      </c>
      <c r="O323" s="22">
        <f t="shared" si="176"/>
        <v>730.5</v>
      </c>
      <c r="P323" s="13">
        <v>510</v>
      </c>
      <c r="Q323" s="23">
        <f t="shared" si="177"/>
        <v>0.6</v>
      </c>
      <c r="R323" s="24">
        <f t="shared" si="178"/>
        <v>3</v>
      </c>
      <c r="S323" s="25">
        <f t="shared" si="192"/>
        <v>0.69815195071868585</v>
      </c>
      <c r="T323" s="25">
        <f t="shared" si="179"/>
        <v>0.13963039014373718</v>
      </c>
      <c r="U323" s="26">
        <v>2702.5610035066015</v>
      </c>
      <c r="V323" s="26">
        <v>0</v>
      </c>
      <c r="W323" s="26">
        <v>0</v>
      </c>
      <c r="X323" s="27">
        <f t="shared" si="172"/>
        <v>0</v>
      </c>
      <c r="Y323" s="27">
        <f t="shared" si="173"/>
        <v>0</v>
      </c>
      <c r="Z323" s="27">
        <f t="shared" si="170"/>
        <v>0</v>
      </c>
      <c r="AA323" s="23">
        <f t="shared" si="171"/>
        <v>0</v>
      </c>
      <c r="AB323" s="24">
        <f t="shared" si="167"/>
        <v>0</v>
      </c>
      <c r="AC323" s="28">
        <f t="shared" si="180"/>
        <v>0</v>
      </c>
      <c r="AD323" s="29">
        <f t="shared" si="181"/>
        <v>0</v>
      </c>
      <c r="AE323" s="30">
        <v>6.8487034281305106E-2</v>
      </c>
      <c r="AF323" s="23">
        <f t="shared" si="182"/>
        <v>1</v>
      </c>
      <c r="AG323" s="24">
        <f t="shared" si="174"/>
        <v>4</v>
      </c>
      <c r="AH323" s="28">
        <f t="shared" si="183"/>
        <v>0.8</v>
      </c>
      <c r="AI323" s="29">
        <f t="shared" si="184"/>
        <v>0.2</v>
      </c>
      <c r="AJ323" s="31">
        <v>1</v>
      </c>
      <c r="AK323" s="31">
        <v>1</v>
      </c>
      <c r="AL323" s="31">
        <v>1</v>
      </c>
      <c r="AM323" s="31">
        <v>0</v>
      </c>
      <c r="AN323" s="31">
        <v>0</v>
      </c>
      <c r="AO323" s="31">
        <v>0</v>
      </c>
      <c r="AP323" s="31">
        <v>0</v>
      </c>
      <c r="AQ323" s="31">
        <v>0</v>
      </c>
      <c r="AR323" s="23">
        <f t="shared" si="185"/>
        <v>0.6</v>
      </c>
      <c r="AS323" s="24">
        <f t="shared" si="186"/>
        <v>3</v>
      </c>
      <c r="AT323" s="28">
        <f t="shared" si="187"/>
        <v>0.375</v>
      </c>
      <c r="AU323" s="28">
        <f t="shared" si="188"/>
        <v>5.6249999999999994E-2</v>
      </c>
      <c r="AV323" s="32">
        <v>75</v>
      </c>
      <c r="AW323" s="32">
        <v>75</v>
      </c>
      <c r="AX323" s="32">
        <v>90</v>
      </c>
      <c r="AY323" s="32">
        <v>85</v>
      </c>
      <c r="AZ323" s="32">
        <v>80</v>
      </c>
      <c r="BA323" s="32">
        <v>100</v>
      </c>
      <c r="BB323" s="23">
        <f t="shared" ca="1" si="189"/>
        <v>0.8</v>
      </c>
      <c r="BC323" s="33">
        <f t="shared" si="164"/>
        <v>84.166666666666671</v>
      </c>
      <c r="BD323" s="28">
        <f t="shared" si="190"/>
        <v>0.94059405940594054</v>
      </c>
      <c r="BE323" s="28">
        <f t="shared" si="191"/>
        <v>0.18811881188118812</v>
      </c>
      <c r="BF323" s="34">
        <f ca="1">Q323+AA323+AF323+AR323+BB323</f>
        <v>3</v>
      </c>
      <c r="BG323" s="34">
        <f>AVERAGE(AV323:AZ323)</f>
        <v>81</v>
      </c>
      <c r="BH323" s="35">
        <f>T323+AD323+AI323+AU323+BE323</f>
        <v>0.58399920202492539</v>
      </c>
      <c r="BI323" s="36" t="str">
        <f ca="1">IF(K323&lt;365,"New CE",(IF(BH323&gt;=100%,"Promote",IF(BH323&gt;=90%,"Sangat Baik",IF(BH323&gt;=80%,"Baik",IF(BH323&gt;=70%,"Lebih Dari Cukup",IF(BH323&gt;=60%,"Cukup","Kurang")))))))</f>
        <v>Kurang</v>
      </c>
      <c r="BJ323" s="36" t="s">
        <v>860</v>
      </c>
      <c r="BK323" s="58" t="s">
        <v>54</v>
      </c>
      <c r="BL323" s="59" t="e">
        <v>#N/A</v>
      </c>
    </row>
    <row r="324" spans="1:64" x14ac:dyDescent="0.35">
      <c r="A324" s="19">
        <v>320</v>
      </c>
      <c r="B324" s="13" t="s">
        <v>766</v>
      </c>
      <c r="C324" s="20" t="s">
        <v>767</v>
      </c>
      <c r="D324" s="76" t="s">
        <v>48</v>
      </c>
      <c r="E324" s="13" t="s">
        <v>161</v>
      </c>
      <c r="F324" s="13" t="s">
        <v>74</v>
      </c>
      <c r="G324" s="13" t="s">
        <v>61</v>
      </c>
      <c r="H324" s="65">
        <v>42618</v>
      </c>
      <c r="I324" s="21">
        <f t="shared" ca="1" si="162"/>
        <v>45974</v>
      </c>
      <c r="J324" s="13" t="str">
        <f t="shared" ca="1" si="175"/>
        <v xml:space="preserve">9 Tahun 2 Bulan 8 Hari </v>
      </c>
      <c r="K324" s="13">
        <f t="shared" ca="1" si="163"/>
        <v>4832640</v>
      </c>
      <c r="L324" s="13">
        <v>126</v>
      </c>
      <c r="M324" s="13">
        <v>3</v>
      </c>
      <c r="N324" s="13">
        <v>985</v>
      </c>
      <c r="O324" s="22">
        <f t="shared" si="176"/>
        <v>328.33333333333331</v>
      </c>
      <c r="P324" s="13">
        <v>304</v>
      </c>
      <c r="Q324" s="23">
        <f t="shared" si="177"/>
        <v>0.8</v>
      </c>
      <c r="R324" s="24">
        <f t="shared" si="178"/>
        <v>4</v>
      </c>
      <c r="S324" s="25">
        <f t="shared" si="192"/>
        <v>0.92588832487309647</v>
      </c>
      <c r="T324" s="25">
        <f t="shared" si="179"/>
        <v>0.18517766497461929</v>
      </c>
      <c r="U324" s="26">
        <v>2516.5205632716043</v>
      </c>
      <c r="V324" s="26">
        <v>5687.4763932291671</v>
      </c>
      <c r="W324" s="26">
        <v>0.25242206790123456</v>
      </c>
      <c r="X324" s="27">
        <f t="shared" si="172"/>
        <v>0</v>
      </c>
      <c r="Y324" s="27">
        <f t="shared" si="173"/>
        <v>0</v>
      </c>
      <c r="Z324" s="27">
        <f t="shared" si="170"/>
        <v>1</v>
      </c>
      <c r="AA324" s="23">
        <f t="shared" si="171"/>
        <v>0.4</v>
      </c>
      <c r="AB324" s="24">
        <f t="shared" si="167"/>
        <v>1</v>
      </c>
      <c r="AC324" s="28">
        <f t="shared" si="180"/>
        <v>0.33333333333333331</v>
      </c>
      <c r="AD324" s="29">
        <f t="shared" si="181"/>
        <v>8.3333333333333329E-2</v>
      </c>
      <c r="AE324" s="30">
        <v>0.28822177211934158</v>
      </c>
      <c r="AF324" s="23">
        <f t="shared" si="182"/>
        <v>0.25</v>
      </c>
      <c r="AG324" s="24">
        <f t="shared" si="174"/>
        <v>1</v>
      </c>
      <c r="AH324" s="28">
        <f t="shared" si="183"/>
        <v>0.2</v>
      </c>
      <c r="AI324" s="29">
        <f t="shared" si="184"/>
        <v>0.05</v>
      </c>
      <c r="AJ324" s="31">
        <v>1</v>
      </c>
      <c r="AK324" s="31">
        <v>1</v>
      </c>
      <c r="AL324" s="31">
        <v>1</v>
      </c>
      <c r="AM324" s="31">
        <v>0</v>
      </c>
      <c r="AN324" s="31">
        <v>0</v>
      </c>
      <c r="AO324" s="31">
        <v>1</v>
      </c>
      <c r="AP324" s="31">
        <v>0</v>
      </c>
      <c r="AQ324" s="31">
        <v>0</v>
      </c>
      <c r="AR324" s="23">
        <f t="shared" si="185"/>
        <v>0.8</v>
      </c>
      <c r="AS324" s="24">
        <f t="shared" si="186"/>
        <v>4</v>
      </c>
      <c r="AT324" s="28">
        <f t="shared" si="187"/>
        <v>0.5</v>
      </c>
      <c r="AU324" s="28">
        <f t="shared" si="188"/>
        <v>7.4999999999999997E-2</v>
      </c>
      <c r="AV324" s="32">
        <v>75</v>
      </c>
      <c r="AW324" s="32">
        <v>75</v>
      </c>
      <c r="AX324" s="32">
        <v>70</v>
      </c>
      <c r="AY324" s="32">
        <v>75</v>
      </c>
      <c r="AZ324" s="32">
        <v>70</v>
      </c>
      <c r="BA324" s="32">
        <v>100</v>
      </c>
      <c r="BB324" s="23">
        <f t="shared" ca="1" si="189"/>
        <v>0.8</v>
      </c>
      <c r="BC324" s="33">
        <f t="shared" si="164"/>
        <v>77.5</v>
      </c>
      <c r="BD324" s="28">
        <f t="shared" si="190"/>
        <v>0.93548387096774199</v>
      </c>
      <c r="BE324" s="28">
        <f t="shared" si="191"/>
        <v>0.18709677419354842</v>
      </c>
      <c r="BF324" s="34">
        <f ca="1">Q324+AA324+AF324+AR324+BB324</f>
        <v>3.05</v>
      </c>
      <c r="BG324" s="34">
        <f>AVERAGE(AV324:AZ324)</f>
        <v>73</v>
      </c>
      <c r="BH324" s="35">
        <f>T324+AD324+AI324+AU324+BE324</f>
        <v>0.58060777250150108</v>
      </c>
      <c r="BI324" s="36" t="str">
        <f ca="1">IF(K324&lt;365,"New CE",(IF(BH324&gt;=100%,"Promote",IF(BH324&gt;=90%,"Sangat Baik",IF(BH324&gt;=80%,"Baik",IF(BH324&gt;=70%,"Lebih Dari Cukup",IF(BH324&gt;=60%,"Cukup","Kurang")))))))</f>
        <v>Kurang</v>
      </c>
      <c r="BJ324" s="36" t="s">
        <v>860</v>
      </c>
      <c r="BK324" s="58" t="s">
        <v>48</v>
      </c>
      <c r="BL324" s="59" t="str">
        <v>Aris Munandar</v>
      </c>
    </row>
    <row r="325" spans="1:64" x14ac:dyDescent="0.35">
      <c r="A325" s="19">
        <v>321</v>
      </c>
      <c r="B325" s="13" t="s">
        <v>768</v>
      </c>
      <c r="C325" s="20" t="s">
        <v>769</v>
      </c>
      <c r="D325" s="76" t="s">
        <v>54</v>
      </c>
      <c r="E325" s="13" t="s">
        <v>64</v>
      </c>
      <c r="F325" s="13" t="s">
        <v>44</v>
      </c>
      <c r="G325" s="13" t="s">
        <v>55</v>
      </c>
      <c r="H325" s="65">
        <v>45306</v>
      </c>
      <c r="I325" s="21">
        <f t="shared" ca="1" si="162"/>
        <v>45974</v>
      </c>
      <c r="J325" s="13" t="str">
        <f t="shared" ca="1" si="175"/>
        <v xml:space="preserve">1 Tahun 9 Bulan 29 Hari </v>
      </c>
      <c r="K325" s="13">
        <f t="shared" ca="1" si="163"/>
        <v>961920</v>
      </c>
      <c r="L325" s="13">
        <v>872</v>
      </c>
      <c r="M325" s="13">
        <v>15</v>
      </c>
      <c r="N325" s="13">
        <v>5975</v>
      </c>
      <c r="O325" s="22">
        <f t="shared" si="176"/>
        <v>398.33333333333331</v>
      </c>
      <c r="P325" s="13">
        <v>300</v>
      </c>
      <c r="Q325" s="23">
        <f t="shared" si="177"/>
        <v>0.6</v>
      </c>
      <c r="R325" s="24">
        <f t="shared" si="178"/>
        <v>3</v>
      </c>
      <c r="S325" s="25">
        <f t="shared" si="192"/>
        <v>0.75313807531380761</v>
      </c>
      <c r="T325" s="25">
        <f t="shared" si="179"/>
        <v>0.15062761506276154</v>
      </c>
      <c r="U325" s="26">
        <v>1398.4381047008546</v>
      </c>
      <c r="V325" s="26">
        <v>0</v>
      </c>
      <c r="W325" s="26">
        <v>0</v>
      </c>
      <c r="X325" s="27">
        <f t="shared" si="172"/>
        <v>0</v>
      </c>
      <c r="Y325" s="27">
        <f t="shared" si="173"/>
        <v>0</v>
      </c>
      <c r="Z325" s="27">
        <f t="shared" si="170"/>
        <v>0</v>
      </c>
      <c r="AA325" s="23">
        <f t="shared" si="171"/>
        <v>0</v>
      </c>
      <c r="AB325" s="24">
        <f t="shared" si="167"/>
        <v>0</v>
      </c>
      <c r="AC325" s="28">
        <f t="shared" si="180"/>
        <v>0</v>
      </c>
      <c r="AD325" s="29">
        <f t="shared" si="181"/>
        <v>0</v>
      </c>
      <c r="AE325" s="30">
        <v>5.8952359617682207E-2</v>
      </c>
      <c r="AF325" s="23">
        <f t="shared" si="182"/>
        <v>1</v>
      </c>
      <c r="AG325" s="24">
        <f t="shared" si="174"/>
        <v>4</v>
      </c>
      <c r="AH325" s="28">
        <f t="shared" si="183"/>
        <v>0.8</v>
      </c>
      <c r="AI325" s="29">
        <f t="shared" si="184"/>
        <v>0.2</v>
      </c>
      <c r="AJ325" s="31">
        <v>1</v>
      </c>
      <c r="AK325" s="31">
        <v>1</v>
      </c>
      <c r="AL325" s="31">
        <v>0</v>
      </c>
      <c r="AM325" s="31">
        <v>0</v>
      </c>
      <c r="AN325" s="31">
        <v>0</v>
      </c>
      <c r="AO325" s="31">
        <v>0</v>
      </c>
      <c r="AP325" s="31">
        <v>0</v>
      </c>
      <c r="AQ325" s="31">
        <v>0</v>
      </c>
      <c r="AR325" s="23">
        <f t="shared" si="185"/>
        <v>0.4</v>
      </c>
      <c r="AS325" s="24">
        <f t="shared" si="186"/>
        <v>2</v>
      </c>
      <c r="AT325" s="28">
        <f t="shared" si="187"/>
        <v>0.25</v>
      </c>
      <c r="AU325" s="28">
        <f t="shared" si="188"/>
        <v>3.7499999999999999E-2</v>
      </c>
      <c r="AV325" s="32">
        <v>75</v>
      </c>
      <c r="AW325" s="32">
        <v>75</v>
      </c>
      <c r="AX325" s="32">
        <v>80</v>
      </c>
      <c r="AY325" s="32">
        <v>80</v>
      </c>
      <c r="AZ325" s="32">
        <v>80</v>
      </c>
      <c r="BA325" s="32">
        <v>100</v>
      </c>
      <c r="BB325" s="23">
        <f t="shared" ca="1" si="189"/>
        <v>0.8</v>
      </c>
      <c r="BC325" s="33">
        <f t="shared" si="164"/>
        <v>81.666666666666671</v>
      </c>
      <c r="BD325" s="28">
        <f t="shared" si="190"/>
        <v>0.93877551020408168</v>
      </c>
      <c r="BE325" s="28">
        <f t="shared" si="191"/>
        <v>0.18775510204081636</v>
      </c>
      <c r="BF325" s="34">
        <f ca="1">Q325+AA325+AF325+AR325+BB325</f>
        <v>2.8</v>
      </c>
      <c r="BG325" s="34">
        <f>AVERAGE(AV325:AZ325)</f>
        <v>78</v>
      </c>
      <c r="BH325" s="35">
        <f>T325+AD325+AI325+AU325+BE325</f>
        <v>0.57588271710357786</v>
      </c>
      <c r="BI325" s="36" t="str">
        <f ca="1">IF(K325&lt;365,"New CE",(IF(BH325&gt;=100%,"Promote",IF(BH325&gt;=90%,"Sangat Baik",IF(BH325&gt;=80%,"Baik",IF(BH325&gt;=70%,"Lebih Dari Cukup",IF(BH325&gt;=60%,"Cukup","Kurang")))))))</f>
        <v>Kurang</v>
      </c>
      <c r="BJ325" s="36" t="s">
        <v>860</v>
      </c>
      <c r="BK325" s="58" t="s">
        <v>54</v>
      </c>
      <c r="BL325" s="59" t="e">
        <v>#N/A</v>
      </c>
    </row>
    <row r="326" spans="1:64" x14ac:dyDescent="0.35">
      <c r="A326" s="19">
        <v>322</v>
      </c>
      <c r="B326" s="13" t="s">
        <v>770</v>
      </c>
      <c r="C326" s="20" t="s">
        <v>771</v>
      </c>
      <c r="D326" s="76" t="s">
        <v>54</v>
      </c>
      <c r="E326" s="13" t="s">
        <v>182</v>
      </c>
      <c r="F326" s="13" t="s">
        <v>74</v>
      </c>
      <c r="G326" s="13" t="s">
        <v>75</v>
      </c>
      <c r="H326" s="65">
        <v>45173</v>
      </c>
      <c r="I326" s="21">
        <f t="shared" ref="I326:I365" ca="1" si="193">TODAY()</f>
        <v>45974</v>
      </c>
      <c r="J326" s="13" t="str">
        <f t="shared" ca="1" si="175"/>
        <v xml:space="preserve">2 Tahun 2 Bulan 9 Hari </v>
      </c>
      <c r="K326" s="13">
        <f t="shared" ref="K326:K349" ca="1" si="194">1440*(I326-H326)</f>
        <v>1153440</v>
      </c>
      <c r="L326" s="13">
        <v>612</v>
      </c>
      <c r="M326" s="13">
        <v>11</v>
      </c>
      <c r="N326" s="13">
        <v>5254</v>
      </c>
      <c r="O326" s="22">
        <f t="shared" si="176"/>
        <v>477.63636363636363</v>
      </c>
      <c r="P326" s="13">
        <v>426</v>
      </c>
      <c r="Q326" s="23">
        <f t="shared" si="177"/>
        <v>0.8</v>
      </c>
      <c r="R326" s="24">
        <f t="shared" si="178"/>
        <v>4</v>
      </c>
      <c r="S326" s="25">
        <f t="shared" si="192"/>
        <v>0.89189189189189189</v>
      </c>
      <c r="T326" s="25">
        <f t="shared" si="179"/>
        <v>0.17837837837837839</v>
      </c>
      <c r="U326" s="26">
        <v>406.37300998263891</v>
      </c>
      <c r="V326" s="26">
        <v>0</v>
      </c>
      <c r="W326" s="26">
        <v>0</v>
      </c>
      <c r="X326" s="27">
        <f t="shared" si="172"/>
        <v>0</v>
      </c>
      <c r="Y326" s="27">
        <f t="shared" si="173"/>
        <v>0</v>
      </c>
      <c r="Z326" s="27">
        <f t="shared" si="170"/>
        <v>0</v>
      </c>
      <c r="AA326" s="23">
        <f t="shared" si="171"/>
        <v>0</v>
      </c>
      <c r="AB326" s="24">
        <f t="shared" si="167"/>
        <v>0</v>
      </c>
      <c r="AC326" s="28">
        <f t="shared" si="180"/>
        <v>0</v>
      </c>
      <c r="AD326" s="29">
        <f t="shared" si="181"/>
        <v>0</v>
      </c>
      <c r="AE326" s="30">
        <v>0.1103784886006289</v>
      </c>
      <c r="AF326" s="23">
        <f t="shared" si="182"/>
        <v>0.75</v>
      </c>
      <c r="AG326" s="24">
        <f t="shared" si="174"/>
        <v>3</v>
      </c>
      <c r="AH326" s="28">
        <f t="shared" si="183"/>
        <v>0.6</v>
      </c>
      <c r="AI326" s="29">
        <f t="shared" si="184"/>
        <v>0.15</v>
      </c>
      <c r="AJ326" s="31">
        <v>1</v>
      </c>
      <c r="AK326" s="31">
        <v>1</v>
      </c>
      <c r="AL326" s="31">
        <v>1</v>
      </c>
      <c r="AM326" s="31">
        <v>0</v>
      </c>
      <c r="AN326" s="31">
        <v>0</v>
      </c>
      <c r="AO326" s="31">
        <v>0</v>
      </c>
      <c r="AP326" s="31">
        <v>0</v>
      </c>
      <c r="AQ326" s="31">
        <v>0</v>
      </c>
      <c r="AR326" s="23">
        <f t="shared" si="185"/>
        <v>0.6</v>
      </c>
      <c r="AS326" s="24">
        <f t="shared" si="186"/>
        <v>3</v>
      </c>
      <c r="AT326" s="28">
        <f t="shared" si="187"/>
        <v>0.375</v>
      </c>
      <c r="AU326" s="28">
        <f t="shared" si="188"/>
        <v>5.6249999999999994E-2</v>
      </c>
      <c r="AV326" s="32">
        <v>75</v>
      </c>
      <c r="AW326" s="32">
        <v>75</v>
      </c>
      <c r="AX326" s="32">
        <v>75</v>
      </c>
      <c r="AY326" s="32">
        <v>70</v>
      </c>
      <c r="AZ326" s="32">
        <v>75</v>
      </c>
      <c r="BA326" s="32">
        <v>100</v>
      </c>
      <c r="BB326" s="23">
        <f t="shared" ca="1" si="189"/>
        <v>0.8</v>
      </c>
      <c r="BC326" s="33">
        <f t="shared" ref="BC326:BC349" si="195">AVERAGE(AV326:BA326)</f>
        <v>78.333333333333329</v>
      </c>
      <c r="BD326" s="28">
        <f t="shared" si="190"/>
        <v>0.93617021276595747</v>
      </c>
      <c r="BE326" s="28">
        <f t="shared" si="191"/>
        <v>0.18723404255319151</v>
      </c>
      <c r="BF326" s="34">
        <f ca="1">Q326+AA326+AF326+AR326+BB326</f>
        <v>2.95</v>
      </c>
      <c r="BG326" s="34">
        <f>AVERAGE(AV326:AZ326)</f>
        <v>74</v>
      </c>
      <c r="BH326" s="35">
        <f>T326+AD326+AI326+AU326+BE326</f>
        <v>0.57186242093156991</v>
      </c>
      <c r="BI326" s="36" t="str">
        <f ca="1">IF(K326&lt;365,"New CE",(IF(BH326&gt;=100%,"Promote",IF(BH326&gt;=90%,"Sangat Baik",IF(BH326&gt;=80%,"Baik",IF(BH326&gt;=70%,"Lebih Dari Cukup",IF(BH326&gt;=60%,"Cukup","Kurang")))))))</f>
        <v>Kurang</v>
      </c>
      <c r="BJ326" s="36" t="s">
        <v>860</v>
      </c>
      <c r="BK326" s="58" t="s">
        <v>54</v>
      </c>
      <c r="BL326" s="59" t="str">
        <v>Wawan Harianto</v>
      </c>
    </row>
    <row r="327" spans="1:64" x14ac:dyDescent="0.35">
      <c r="A327" s="19">
        <v>323</v>
      </c>
      <c r="B327" s="13" t="s">
        <v>772</v>
      </c>
      <c r="C327" s="20" t="s">
        <v>773</v>
      </c>
      <c r="D327" s="76" t="s">
        <v>54</v>
      </c>
      <c r="E327" s="13" t="s">
        <v>67</v>
      </c>
      <c r="F327" s="13" t="s">
        <v>44</v>
      </c>
      <c r="G327" s="13" t="s">
        <v>55</v>
      </c>
      <c r="H327" s="65">
        <v>45306</v>
      </c>
      <c r="I327" s="21">
        <f t="shared" ca="1" si="193"/>
        <v>45974</v>
      </c>
      <c r="J327" s="13" t="str">
        <f t="shared" ca="1" si="175"/>
        <v xml:space="preserve">1 Tahun 9 Bulan 29 Hari </v>
      </c>
      <c r="K327" s="13">
        <f t="shared" ca="1" si="194"/>
        <v>961920</v>
      </c>
      <c r="L327" s="13">
        <v>625</v>
      </c>
      <c r="M327" s="13">
        <v>10</v>
      </c>
      <c r="N327" s="13">
        <v>4149</v>
      </c>
      <c r="O327" s="22">
        <f t="shared" si="176"/>
        <v>414.9</v>
      </c>
      <c r="P327" s="13">
        <v>250</v>
      </c>
      <c r="Q327" s="23">
        <f t="shared" si="177"/>
        <v>0.6</v>
      </c>
      <c r="R327" s="24">
        <f t="shared" si="178"/>
        <v>3</v>
      </c>
      <c r="S327" s="25">
        <f t="shared" si="192"/>
        <v>0.60255483248975661</v>
      </c>
      <c r="T327" s="25">
        <f t="shared" si="179"/>
        <v>0.12051096649795133</v>
      </c>
      <c r="U327" s="26">
        <v>6482.4309441137575</v>
      </c>
      <c r="V327" s="26">
        <v>1008.2455686728396</v>
      </c>
      <c r="W327" s="26">
        <v>0</v>
      </c>
      <c r="X327" s="27">
        <f t="shared" si="172"/>
        <v>0</v>
      </c>
      <c r="Y327" s="27">
        <f t="shared" si="173"/>
        <v>0</v>
      </c>
      <c r="Z327" s="27">
        <f t="shared" si="170"/>
        <v>0</v>
      </c>
      <c r="AA327" s="23">
        <f t="shared" si="171"/>
        <v>0</v>
      </c>
      <c r="AB327" s="24">
        <f t="shared" si="167"/>
        <v>0</v>
      </c>
      <c r="AC327" s="28">
        <f t="shared" si="180"/>
        <v>0</v>
      </c>
      <c r="AD327" s="29">
        <f t="shared" si="181"/>
        <v>0</v>
      </c>
      <c r="AE327" s="30">
        <v>4.601667718855218E-2</v>
      </c>
      <c r="AF327" s="23">
        <f t="shared" si="182"/>
        <v>1</v>
      </c>
      <c r="AG327" s="24">
        <f t="shared" si="174"/>
        <v>4</v>
      </c>
      <c r="AH327" s="28">
        <f t="shared" si="183"/>
        <v>0.8</v>
      </c>
      <c r="AI327" s="29">
        <f t="shared" si="184"/>
        <v>0.2</v>
      </c>
      <c r="AJ327" s="31">
        <v>1</v>
      </c>
      <c r="AK327" s="31">
        <v>1</v>
      </c>
      <c r="AL327" s="31">
        <v>1</v>
      </c>
      <c r="AM327" s="31">
        <v>0</v>
      </c>
      <c r="AN327" s="31">
        <v>0</v>
      </c>
      <c r="AO327" s="31">
        <v>0</v>
      </c>
      <c r="AP327" s="31">
        <v>0</v>
      </c>
      <c r="AQ327" s="31">
        <v>0</v>
      </c>
      <c r="AR327" s="23">
        <f t="shared" si="185"/>
        <v>0.6</v>
      </c>
      <c r="AS327" s="24">
        <f t="shared" si="186"/>
        <v>3</v>
      </c>
      <c r="AT327" s="28">
        <f t="shared" si="187"/>
        <v>0.375</v>
      </c>
      <c r="AU327" s="28">
        <f t="shared" si="188"/>
        <v>5.6249999999999994E-2</v>
      </c>
      <c r="AV327" s="32">
        <v>75</v>
      </c>
      <c r="AW327" s="32">
        <v>75</v>
      </c>
      <c r="AX327" s="32">
        <v>80</v>
      </c>
      <c r="AY327" s="32">
        <v>80</v>
      </c>
      <c r="AZ327" s="32">
        <v>80</v>
      </c>
      <c r="BA327" s="32">
        <v>100</v>
      </c>
      <c r="BB327" s="23">
        <f t="shared" ca="1" si="189"/>
        <v>0.8</v>
      </c>
      <c r="BC327" s="33">
        <f t="shared" si="195"/>
        <v>81.666666666666671</v>
      </c>
      <c r="BD327" s="28">
        <f t="shared" si="190"/>
        <v>0.93877551020408168</v>
      </c>
      <c r="BE327" s="28">
        <f t="shared" si="191"/>
        <v>0.18775510204081636</v>
      </c>
      <c r="BF327" s="34">
        <f ca="1">Q327+AA327+AF327+AR327+BB327</f>
        <v>3</v>
      </c>
      <c r="BG327" s="34">
        <f>AVERAGE(AV327:AZ327)</f>
        <v>78</v>
      </c>
      <c r="BH327" s="35">
        <f>T327+AD327+AI327+AU327+BE327</f>
        <v>0.56451606853876768</v>
      </c>
      <c r="BI327" s="36" t="str">
        <f ca="1">IF(K327&lt;365,"New CE",(IF(BH327&gt;=100%,"Promote",IF(BH327&gt;=90%,"Sangat Baik",IF(BH327&gt;=80%,"Baik",IF(BH327&gt;=70%,"Lebih Dari Cukup",IF(BH327&gt;=60%,"Cukup","Kurang")))))))</f>
        <v>Kurang</v>
      </c>
      <c r="BJ327" s="36" t="s">
        <v>860</v>
      </c>
      <c r="BK327" s="58" t="s">
        <v>54</v>
      </c>
      <c r="BL327" s="59" t="e">
        <v>#N/A</v>
      </c>
    </row>
    <row r="328" spans="1:64" x14ac:dyDescent="0.35">
      <c r="A328" s="19">
        <v>324</v>
      </c>
      <c r="B328" s="13" t="s">
        <v>774</v>
      </c>
      <c r="C328" s="20" t="s">
        <v>775</v>
      </c>
      <c r="D328" s="76" t="s">
        <v>54</v>
      </c>
      <c r="E328" s="13" t="s">
        <v>78</v>
      </c>
      <c r="F328" s="13" t="s">
        <v>50</v>
      </c>
      <c r="G328" s="13" t="s">
        <v>61</v>
      </c>
      <c r="H328" s="65">
        <v>45306</v>
      </c>
      <c r="I328" s="21">
        <f t="shared" ca="1" si="193"/>
        <v>45974</v>
      </c>
      <c r="J328" s="13" t="str">
        <f t="shared" ca="1" si="175"/>
        <v xml:space="preserve">1 Tahun 9 Bulan 29 Hari </v>
      </c>
      <c r="K328" s="13">
        <f t="shared" ca="1" si="194"/>
        <v>961920</v>
      </c>
      <c r="L328" s="13">
        <v>60</v>
      </c>
      <c r="M328" s="13">
        <v>2</v>
      </c>
      <c r="N328" s="13">
        <v>480</v>
      </c>
      <c r="O328" s="22">
        <f t="shared" si="176"/>
        <v>240</v>
      </c>
      <c r="P328" s="13">
        <v>213</v>
      </c>
      <c r="Q328" s="23">
        <f t="shared" si="177"/>
        <v>0.8</v>
      </c>
      <c r="R328" s="24">
        <f t="shared" si="178"/>
        <v>4</v>
      </c>
      <c r="S328" s="25">
        <f t="shared" si="192"/>
        <v>0.88749999999999996</v>
      </c>
      <c r="T328" s="25">
        <f t="shared" si="179"/>
        <v>0.17749999999999999</v>
      </c>
      <c r="U328" s="26">
        <v>4262.6982859519685</v>
      </c>
      <c r="V328" s="26">
        <v>0</v>
      </c>
      <c r="W328" s="26">
        <v>7912.111891103059</v>
      </c>
      <c r="X328" s="27">
        <f t="shared" si="172"/>
        <v>0</v>
      </c>
      <c r="Y328" s="27">
        <f t="shared" si="173"/>
        <v>0</v>
      </c>
      <c r="Z328" s="27">
        <f t="shared" si="170"/>
        <v>1</v>
      </c>
      <c r="AA328" s="23">
        <f t="shared" si="171"/>
        <v>0.4</v>
      </c>
      <c r="AB328" s="24">
        <f t="shared" si="167"/>
        <v>1</v>
      </c>
      <c r="AC328" s="28">
        <f t="shared" si="180"/>
        <v>0.33333333333333331</v>
      </c>
      <c r="AD328" s="29">
        <f t="shared" si="181"/>
        <v>8.3333333333333329E-2</v>
      </c>
      <c r="AE328" s="30">
        <v>0.31937828808922558</v>
      </c>
      <c r="AF328" s="23">
        <f t="shared" si="182"/>
        <v>0.25</v>
      </c>
      <c r="AG328" s="24">
        <f t="shared" si="174"/>
        <v>1</v>
      </c>
      <c r="AH328" s="28">
        <f t="shared" si="183"/>
        <v>0.2</v>
      </c>
      <c r="AI328" s="29">
        <f t="shared" si="184"/>
        <v>0.05</v>
      </c>
      <c r="AJ328" s="31">
        <v>1</v>
      </c>
      <c r="AK328" s="31">
        <v>1</v>
      </c>
      <c r="AL328" s="31">
        <v>1</v>
      </c>
      <c r="AM328" s="31">
        <v>0</v>
      </c>
      <c r="AN328" s="31">
        <v>0</v>
      </c>
      <c r="AO328" s="31">
        <v>0</v>
      </c>
      <c r="AP328" s="31">
        <v>0</v>
      </c>
      <c r="AQ328" s="31">
        <v>0</v>
      </c>
      <c r="AR328" s="23">
        <f t="shared" si="185"/>
        <v>0.6</v>
      </c>
      <c r="AS328" s="24">
        <f t="shared" si="186"/>
        <v>3</v>
      </c>
      <c r="AT328" s="28">
        <f t="shared" si="187"/>
        <v>0.375</v>
      </c>
      <c r="AU328" s="28">
        <f t="shared" si="188"/>
        <v>5.6249999999999994E-2</v>
      </c>
      <c r="AV328" s="32">
        <v>75</v>
      </c>
      <c r="AW328" s="32">
        <v>75</v>
      </c>
      <c r="AX328" s="32">
        <v>90</v>
      </c>
      <c r="AY328" s="32">
        <v>85</v>
      </c>
      <c r="AZ328" s="32">
        <v>80</v>
      </c>
      <c r="BA328" s="32">
        <v>100</v>
      </c>
      <c r="BB328" s="23">
        <f t="shared" ca="1" si="189"/>
        <v>0.8</v>
      </c>
      <c r="BC328" s="33">
        <f t="shared" si="195"/>
        <v>84.166666666666671</v>
      </c>
      <c r="BD328" s="28">
        <f t="shared" si="190"/>
        <v>0.94059405940594054</v>
      </c>
      <c r="BE328" s="28">
        <f t="shared" si="191"/>
        <v>0.18811881188118812</v>
      </c>
      <c r="BF328" s="34">
        <f ca="1">Q328+AA328+AF328+AR328+BB328</f>
        <v>2.8500000000000005</v>
      </c>
      <c r="BG328" s="34">
        <f>AVERAGE(AV328:AZ328)</f>
        <v>81</v>
      </c>
      <c r="BH328" s="35">
        <f>T328+AD328+AI328+AU328+BE328</f>
        <v>0.55520214521452149</v>
      </c>
      <c r="BI328" s="36" t="str">
        <f ca="1">IF(K328&lt;365,"New CE",(IF(BH328&gt;=100%,"Promote",IF(BH328&gt;=90%,"Sangat Baik",IF(BH328&gt;=80%,"Baik",IF(BH328&gt;=70%,"Lebih Dari Cukup",IF(BH328&gt;=60%,"Cukup","Kurang")))))))</f>
        <v>Kurang</v>
      </c>
      <c r="BJ328" s="36" t="s">
        <v>860</v>
      </c>
      <c r="BK328" s="58" t="s">
        <v>54</v>
      </c>
      <c r="BL328" s="59" t="e">
        <v>#N/A</v>
      </c>
    </row>
    <row r="329" spans="1:64" x14ac:dyDescent="0.35">
      <c r="A329" s="19">
        <v>325</v>
      </c>
      <c r="B329" s="13" t="s">
        <v>776</v>
      </c>
      <c r="C329" s="20" t="s">
        <v>777</v>
      </c>
      <c r="D329" s="76" t="s">
        <v>54</v>
      </c>
      <c r="E329" s="13" t="s">
        <v>64</v>
      </c>
      <c r="F329" s="13" t="s">
        <v>44</v>
      </c>
      <c r="G329" s="13" t="s">
        <v>55</v>
      </c>
      <c r="H329" s="65">
        <v>44515</v>
      </c>
      <c r="I329" s="21">
        <f t="shared" ca="1" si="193"/>
        <v>45974</v>
      </c>
      <c r="J329" s="13" t="str">
        <f t="shared" ca="1" si="175"/>
        <v xml:space="preserve">3 Tahun 11 Bulan 29 Hari </v>
      </c>
      <c r="K329" s="13">
        <f t="shared" ca="1" si="194"/>
        <v>2100960</v>
      </c>
      <c r="L329" s="13">
        <v>872</v>
      </c>
      <c r="M329" s="13">
        <v>15</v>
      </c>
      <c r="N329" s="13">
        <v>5975</v>
      </c>
      <c r="O329" s="22">
        <f t="shared" si="176"/>
        <v>398.33333333333331</v>
      </c>
      <c r="P329" s="13">
        <v>307</v>
      </c>
      <c r="Q329" s="23">
        <f t="shared" si="177"/>
        <v>0.6</v>
      </c>
      <c r="R329" s="24">
        <f t="shared" si="178"/>
        <v>3</v>
      </c>
      <c r="S329" s="25">
        <f t="shared" si="192"/>
        <v>0.77071129707112973</v>
      </c>
      <c r="T329" s="25">
        <f t="shared" si="179"/>
        <v>0.15414225941422596</v>
      </c>
      <c r="U329" s="26">
        <v>15892.615741319445</v>
      </c>
      <c r="V329" s="26">
        <v>3580.0983750609166</v>
      </c>
      <c r="W329" s="26">
        <v>0</v>
      </c>
      <c r="X329" s="27">
        <f t="shared" si="172"/>
        <v>0</v>
      </c>
      <c r="Y329" s="27">
        <f t="shared" si="173"/>
        <v>0</v>
      </c>
      <c r="Z329" s="27">
        <f t="shared" si="170"/>
        <v>0</v>
      </c>
      <c r="AA329" s="23">
        <f t="shared" si="171"/>
        <v>0</v>
      </c>
      <c r="AB329" s="24">
        <f t="shared" si="167"/>
        <v>0</v>
      </c>
      <c r="AC329" s="28">
        <f t="shared" si="180"/>
        <v>0</v>
      </c>
      <c r="AD329" s="29">
        <f t="shared" si="181"/>
        <v>0</v>
      </c>
      <c r="AE329" s="30">
        <v>9.5056954089506152E-2</v>
      </c>
      <c r="AF329" s="23">
        <f t="shared" si="182"/>
        <v>0.75</v>
      </c>
      <c r="AG329" s="24">
        <f t="shared" si="174"/>
        <v>3</v>
      </c>
      <c r="AH329" s="28">
        <f t="shared" si="183"/>
        <v>0.6</v>
      </c>
      <c r="AI329" s="29">
        <f t="shared" si="184"/>
        <v>0.15</v>
      </c>
      <c r="AJ329" s="31">
        <v>1</v>
      </c>
      <c r="AK329" s="31">
        <v>1</v>
      </c>
      <c r="AL329" s="31">
        <v>1</v>
      </c>
      <c r="AM329" s="31">
        <v>0</v>
      </c>
      <c r="AN329" s="31">
        <v>0</v>
      </c>
      <c r="AO329" s="31">
        <v>0</v>
      </c>
      <c r="AP329" s="31">
        <v>0</v>
      </c>
      <c r="AQ329" s="31">
        <v>0</v>
      </c>
      <c r="AR329" s="23">
        <f t="shared" si="185"/>
        <v>0.6</v>
      </c>
      <c r="AS329" s="24">
        <f t="shared" si="186"/>
        <v>3</v>
      </c>
      <c r="AT329" s="28">
        <f t="shared" si="187"/>
        <v>0.375</v>
      </c>
      <c r="AU329" s="28">
        <f t="shared" si="188"/>
        <v>5.6249999999999994E-2</v>
      </c>
      <c r="AV329" s="32">
        <v>75</v>
      </c>
      <c r="AW329" s="32">
        <v>75</v>
      </c>
      <c r="AX329" s="32">
        <v>85</v>
      </c>
      <c r="AY329" s="32">
        <v>85</v>
      </c>
      <c r="AZ329" s="32">
        <v>85</v>
      </c>
      <c r="BA329" s="32">
        <v>100</v>
      </c>
      <c r="BB329" s="23">
        <f t="shared" ca="1" si="189"/>
        <v>0.8</v>
      </c>
      <c r="BC329" s="33">
        <f t="shared" si="195"/>
        <v>84.166666666666671</v>
      </c>
      <c r="BD329" s="28">
        <f t="shared" si="190"/>
        <v>0.94059405940594054</v>
      </c>
      <c r="BE329" s="28">
        <f t="shared" si="191"/>
        <v>0.18811881188118812</v>
      </c>
      <c r="BF329" s="34">
        <f ca="1">Q329+AA329+AF329+AR329+BB329</f>
        <v>2.75</v>
      </c>
      <c r="BG329" s="34">
        <f>AVERAGE(AV329:AZ329)</f>
        <v>81</v>
      </c>
      <c r="BH329" s="35">
        <f>T329+AD329+AI329+AU329+BE329</f>
        <v>0.54851107129541399</v>
      </c>
      <c r="BI329" s="36" t="str">
        <f ca="1">IF(K329&lt;365,"New CE",(IF(BH329&gt;=100%,"Promote",IF(BH329&gt;=90%,"Sangat Baik",IF(BH329&gt;=80%,"Baik",IF(BH329&gt;=70%,"Lebih Dari Cukup",IF(BH329&gt;=60%,"Cukup","Kurang")))))))</f>
        <v>Kurang</v>
      </c>
      <c r="BJ329" s="36" t="s">
        <v>860</v>
      </c>
      <c r="BK329" s="58" t="s">
        <v>54</v>
      </c>
      <c r="BL329" s="59" t="e">
        <v>#N/A</v>
      </c>
    </row>
    <row r="330" spans="1:64" x14ac:dyDescent="0.35">
      <c r="A330" s="19">
        <v>326</v>
      </c>
      <c r="B330" s="37" t="s">
        <v>778</v>
      </c>
      <c r="C330" s="38" t="s">
        <v>779</v>
      </c>
      <c r="D330" s="76" t="s">
        <v>54</v>
      </c>
      <c r="E330" s="37" t="s">
        <v>230</v>
      </c>
      <c r="F330" s="13" t="s">
        <v>44</v>
      </c>
      <c r="G330" s="13" t="s">
        <v>75</v>
      </c>
      <c r="H330" s="65">
        <v>45566</v>
      </c>
      <c r="I330" s="21">
        <f t="shared" ca="1" si="193"/>
        <v>45974</v>
      </c>
      <c r="J330" s="13" t="str">
        <f t="shared" ca="1" si="175"/>
        <v xml:space="preserve">1 Tahun 1 Bulan 12 Hari </v>
      </c>
      <c r="K330" s="13">
        <f t="shared" ca="1" si="194"/>
        <v>587520</v>
      </c>
      <c r="L330" s="13">
        <v>332</v>
      </c>
      <c r="M330" s="13">
        <v>6</v>
      </c>
      <c r="N330" s="13">
        <v>2281</v>
      </c>
      <c r="O330" s="22">
        <f t="shared" si="176"/>
        <v>380.16666666666669</v>
      </c>
      <c r="P330" s="13">
        <v>138</v>
      </c>
      <c r="Q330" s="23">
        <f t="shared" si="177"/>
        <v>0.2</v>
      </c>
      <c r="R330" s="24">
        <f t="shared" si="178"/>
        <v>1</v>
      </c>
      <c r="S330" s="25">
        <f t="shared" si="192"/>
        <v>0.36299868478737396</v>
      </c>
      <c r="T330" s="25">
        <f t="shared" si="179"/>
        <v>7.2599736957474792E-2</v>
      </c>
      <c r="U330" s="26">
        <v>4.8335559116809125E-2</v>
      </c>
      <c r="V330" s="26">
        <v>4.1689814814814818E-2</v>
      </c>
      <c r="W330" s="26">
        <v>0</v>
      </c>
      <c r="X330" s="27">
        <f t="shared" si="172"/>
        <v>1</v>
      </c>
      <c r="Y330" s="27">
        <f t="shared" si="173"/>
        <v>1</v>
      </c>
      <c r="Z330" s="27">
        <f t="shared" si="170"/>
        <v>0</v>
      </c>
      <c r="AA330" s="23">
        <f t="shared" si="171"/>
        <v>0.8</v>
      </c>
      <c r="AB330" s="24">
        <f t="shared" si="167"/>
        <v>2</v>
      </c>
      <c r="AC330" s="28">
        <f t="shared" si="180"/>
        <v>0.66666666666666663</v>
      </c>
      <c r="AD330" s="29">
        <f t="shared" si="181"/>
        <v>0.16666666666666666</v>
      </c>
      <c r="AE330" s="30">
        <v>0</v>
      </c>
      <c r="AF330" s="23">
        <f t="shared" si="182"/>
        <v>1.25</v>
      </c>
      <c r="AG330" s="24">
        <f t="shared" si="174"/>
        <v>5</v>
      </c>
      <c r="AH330" s="28">
        <f t="shared" si="183"/>
        <v>0</v>
      </c>
      <c r="AI330" s="29">
        <f t="shared" si="184"/>
        <v>0</v>
      </c>
      <c r="AJ330" s="31">
        <v>1</v>
      </c>
      <c r="AK330" s="31">
        <v>1</v>
      </c>
      <c r="AL330" s="31">
        <v>1</v>
      </c>
      <c r="AM330" s="31">
        <v>0</v>
      </c>
      <c r="AN330" s="31">
        <v>0</v>
      </c>
      <c r="AO330" s="31">
        <v>1</v>
      </c>
      <c r="AP330" s="31">
        <v>1</v>
      </c>
      <c r="AQ330" s="31">
        <v>1</v>
      </c>
      <c r="AR330" s="23">
        <f t="shared" si="185"/>
        <v>1</v>
      </c>
      <c r="AS330" s="24">
        <f t="shared" si="186"/>
        <v>6</v>
      </c>
      <c r="AT330" s="28">
        <f t="shared" si="187"/>
        <v>0.75</v>
      </c>
      <c r="AU330" s="28">
        <f t="shared" si="188"/>
        <v>0.11249999999999999</v>
      </c>
      <c r="AV330" s="32">
        <v>75</v>
      </c>
      <c r="AW330" s="32">
        <v>75</v>
      </c>
      <c r="AX330" s="32">
        <v>80</v>
      </c>
      <c r="AY330" s="32">
        <v>80</v>
      </c>
      <c r="AZ330" s="32">
        <v>80</v>
      </c>
      <c r="BA330" s="32">
        <v>100</v>
      </c>
      <c r="BB330" s="23">
        <f t="shared" ca="1" si="189"/>
        <v>0.8</v>
      </c>
      <c r="BC330" s="33">
        <f t="shared" si="195"/>
        <v>81.666666666666671</v>
      </c>
      <c r="BD330" s="28">
        <f t="shared" si="190"/>
        <v>0.93877551020408168</v>
      </c>
      <c r="BE330" s="28">
        <f t="shared" si="191"/>
        <v>0.18775510204081636</v>
      </c>
      <c r="BF330" s="34">
        <f ca="1">Q330+AA330+AF330+AR330+BB330</f>
        <v>4.05</v>
      </c>
      <c r="BG330" s="34">
        <f>AVERAGE(AV330:AZ330)</f>
        <v>78</v>
      </c>
      <c r="BH330" s="35">
        <f>T330+AD330+AI330+AU330+BE330</f>
        <v>0.53952150566495782</v>
      </c>
      <c r="BI330" s="36" t="str">
        <f ca="1">IF(K330&lt;365,"New CE",(IF(BH330&gt;=100%,"Promote",IF(BH330&gt;=90%,"Sangat Baik",IF(BH330&gt;=80%,"Baik",IF(BH330&gt;=70%,"Lebih Dari Cukup",IF(BH330&gt;=60%,"Cukup","Kurang")))))))</f>
        <v>Kurang</v>
      </c>
      <c r="BJ330" s="36" t="s">
        <v>860</v>
      </c>
      <c r="BK330" s="58" t="s">
        <v>54</v>
      </c>
      <c r="BL330" s="59" t="e">
        <v>#N/A</v>
      </c>
    </row>
    <row r="331" spans="1:64" x14ac:dyDescent="0.35">
      <c r="A331" s="19">
        <v>327</v>
      </c>
      <c r="B331" s="13" t="s">
        <v>780</v>
      </c>
      <c r="C331" s="20" t="s">
        <v>781</v>
      </c>
      <c r="D331" s="76" t="s">
        <v>54</v>
      </c>
      <c r="E331" s="13" t="s">
        <v>252</v>
      </c>
      <c r="F331" s="13" t="s">
        <v>44</v>
      </c>
      <c r="G331" s="13" t="s">
        <v>61</v>
      </c>
      <c r="H331" s="65">
        <v>44966</v>
      </c>
      <c r="I331" s="21">
        <f t="shared" ca="1" si="193"/>
        <v>45974</v>
      </c>
      <c r="J331" s="13" t="str">
        <f t="shared" ca="1" si="175"/>
        <v xml:space="preserve">2 Tahun 9 Bulan 4 Hari </v>
      </c>
      <c r="K331" s="13">
        <f t="shared" ca="1" si="194"/>
        <v>1451520</v>
      </c>
      <c r="L331" s="13">
        <v>313</v>
      </c>
      <c r="M331" s="13">
        <v>6</v>
      </c>
      <c r="N331" s="13">
        <v>2164</v>
      </c>
      <c r="O331" s="22">
        <f t="shared" si="176"/>
        <v>360.66666666666669</v>
      </c>
      <c r="P331" s="13">
        <v>349</v>
      </c>
      <c r="Q331" s="23">
        <f t="shared" si="177"/>
        <v>0.8</v>
      </c>
      <c r="R331" s="24">
        <f t="shared" si="178"/>
        <v>4</v>
      </c>
      <c r="S331" s="25">
        <f t="shared" si="192"/>
        <v>0.96765249537892783</v>
      </c>
      <c r="T331" s="25">
        <f t="shared" si="179"/>
        <v>0.19353049907578557</v>
      </c>
      <c r="U331" s="26">
        <v>4555.0909606481482</v>
      </c>
      <c r="V331" s="26">
        <v>9106.1367430555565</v>
      </c>
      <c r="W331" s="26">
        <v>0</v>
      </c>
      <c r="X331" s="27">
        <f t="shared" si="172"/>
        <v>0</v>
      </c>
      <c r="Y331" s="27">
        <f t="shared" si="173"/>
        <v>0</v>
      </c>
      <c r="Z331" s="27">
        <f t="shared" si="170"/>
        <v>0</v>
      </c>
      <c r="AA331" s="23">
        <f t="shared" si="171"/>
        <v>0</v>
      </c>
      <c r="AB331" s="24">
        <f t="shared" si="167"/>
        <v>0</v>
      </c>
      <c r="AC331" s="28">
        <f t="shared" si="180"/>
        <v>0</v>
      </c>
      <c r="AD331" s="29">
        <f t="shared" si="181"/>
        <v>0</v>
      </c>
      <c r="AE331" s="30">
        <v>0.12613715277777779</v>
      </c>
      <c r="AF331" s="23">
        <f t="shared" si="182"/>
        <v>0.5</v>
      </c>
      <c r="AG331" s="24">
        <f t="shared" si="174"/>
        <v>2</v>
      </c>
      <c r="AH331" s="28">
        <f t="shared" si="183"/>
        <v>0.4</v>
      </c>
      <c r="AI331" s="29">
        <f t="shared" si="184"/>
        <v>0.1</v>
      </c>
      <c r="AJ331" s="31">
        <v>1</v>
      </c>
      <c r="AK331" s="31">
        <v>1</v>
      </c>
      <c r="AL331" s="31">
        <v>1</v>
      </c>
      <c r="AM331" s="31">
        <v>0</v>
      </c>
      <c r="AN331" s="31">
        <v>0</v>
      </c>
      <c r="AO331" s="31">
        <v>0</v>
      </c>
      <c r="AP331" s="31">
        <v>0</v>
      </c>
      <c r="AQ331" s="31">
        <v>0</v>
      </c>
      <c r="AR331" s="23">
        <f t="shared" si="185"/>
        <v>0.6</v>
      </c>
      <c r="AS331" s="24">
        <f t="shared" si="186"/>
        <v>3</v>
      </c>
      <c r="AT331" s="28">
        <f t="shared" si="187"/>
        <v>0.375</v>
      </c>
      <c r="AU331" s="28">
        <f t="shared" si="188"/>
        <v>5.6249999999999994E-2</v>
      </c>
      <c r="AV331" s="32">
        <v>75</v>
      </c>
      <c r="AW331" s="32">
        <v>75</v>
      </c>
      <c r="AX331" s="32">
        <v>85</v>
      </c>
      <c r="AY331" s="32">
        <v>80</v>
      </c>
      <c r="AZ331" s="32">
        <v>90</v>
      </c>
      <c r="BA331" s="32">
        <v>100</v>
      </c>
      <c r="BB331" s="23">
        <f t="shared" ca="1" si="189"/>
        <v>0.8</v>
      </c>
      <c r="BC331" s="33">
        <f t="shared" si="195"/>
        <v>84.166666666666671</v>
      </c>
      <c r="BD331" s="28">
        <f t="shared" si="190"/>
        <v>0.94059405940594054</v>
      </c>
      <c r="BE331" s="28">
        <f t="shared" si="191"/>
        <v>0.18811881188118812</v>
      </c>
      <c r="BF331" s="34">
        <f ca="1">Q331+AA331+AF331+AR331+BB331</f>
        <v>2.7</v>
      </c>
      <c r="BG331" s="34">
        <f>AVERAGE(AV331:AZ331)</f>
        <v>81</v>
      </c>
      <c r="BH331" s="35">
        <f>T331+AD331+AI331+AU331+BE331</f>
        <v>0.53789931095697363</v>
      </c>
      <c r="BI331" s="36" t="str">
        <f ca="1">IF(K331&lt;365,"New CE",(IF(BH331&gt;=100%,"Promote",IF(BH331&gt;=90%,"Sangat Baik",IF(BH331&gt;=80%,"Baik",IF(BH331&gt;=70%,"Lebih Dari Cukup",IF(BH331&gt;=60%,"Cukup","Kurang")))))))</f>
        <v>Kurang</v>
      </c>
      <c r="BJ331" s="36" t="s">
        <v>860</v>
      </c>
      <c r="BK331" s="58" t="s">
        <v>54</v>
      </c>
      <c r="BL331" s="59" t="e">
        <v>#N/A</v>
      </c>
    </row>
    <row r="332" spans="1:64" x14ac:dyDescent="0.35">
      <c r="A332" s="19">
        <v>328</v>
      </c>
      <c r="B332" s="37" t="s">
        <v>782</v>
      </c>
      <c r="C332" s="38" t="s">
        <v>783</v>
      </c>
      <c r="D332" s="76" t="s">
        <v>54</v>
      </c>
      <c r="E332" s="37" t="s">
        <v>230</v>
      </c>
      <c r="F332" s="13" t="s">
        <v>44</v>
      </c>
      <c r="G332" s="13" t="s">
        <v>75</v>
      </c>
      <c r="H332" s="65">
        <v>45352</v>
      </c>
      <c r="I332" s="21">
        <f t="shared" ca="1" si="193"/>
        <v>45974</v>
      </c>
      <c r="J332" s="13" t="str">
        <f t="shared" ca="1" si="175"/>
        <v xml:space="preserve">1 Tahun 8 Bulan 12 Hari </v>
      </c>
      <c r="K332" s="13">
        <f t="shared" ca="1" si="194"/>
        <v>895680</v>
      </c>
      <c r="L332" s="13">
        <v>332</v>
      </c>
      <c r="M332" s="13">
        <v>6</v>
      </c>
      <c r="N332" s="13">
        <v>2281</v>
      </c>
      <c r="O332" s="22">
        <f t="shared" si="176"/>
        <v>380.16666666666669</v>
      </c>
      <c r="P332" s="13">
        <v>193</v>
      </c>
      <c r="Q332" s="23">
        <f t="shared" si="177"/>
        <v>0.4</v>
      </c>
      <c r="R332" s="24">
        <f t="shared" si="178"/>
        <v>2</v>
      </c>
      <c r="S332" s="25">
        <f t="shared" si="192"/>
        <v>0.50767207365190703</v>
      </c>
      <c r="T332" s="25">
        <f t="shared" si="179"/>
        <v>0.10153441473038141</v>
      </c>
      <c r="U332" s="26">
        <v>3.526887464387464E-2</v>
      </c>
      <c r="V332" s="26">
        <v>5.1593364197530862E-2</v>
      </c>
      <c r="W332" s="26">
        <v>0</v>
      </c>
      <c r="X332" s="27">
        <f t="shared" si="172"/>
        <v>1</v>
      </c>
      <c r="Y332" s="27">
        <f t="shared" si="173"/>
        <v>1</v>
      </c>
      <c r="Z332" s="27">
        <f t="shared" si="170"/>
        <v>0</v>
      </c>
      <c r="AA332" s="23">
        <f t="shared" si="171"/>
        <v>0.8</v>
      </c>
      <c r="AB332" s="24">
        <f t="shared" si="167"/>
        <v>2</v>
      </c>
      <c r="AC332" s="28">
        <f t="shared" si="180"/>
        <v>0.66666666666666663</v>
      </c>
      <c r="AD332" s="29">
        <f t="shared" si="181"/>
        <v>0.16666666666666666</v>
      </c>
      <c r="AE332" s="30">
        <v>0</v>
      </c>
      <c r="AF332" s="23">
        <f t="shared" si="182"/>
        <v>1.25</v>
      </c>
      <c r="AG332" s="24">
        <f t="shared" si="174"/>
        <v>5</v>
      </c>
      <c r="AH332" s="28">
        <f t="shared" si="183"/>
        <v>0</v>
      </c>
      <c r="AI332" s="29">
        <f t="shared" si="184"/>
        <v>0</v>
      </c>
      <c r="AJ332" s="31">
        <v>1</v>
      </c>
      <c r="AK332" s="31">
        <v>1</v>
      </c>
      <c r="AL332" s="31">
        <v>1</v>
      </c>
      <c r="AM332" s="31">
        <v>0</v>
      </c>
      <c r="AN332" s="31">
        <v>0</v>
      </c>
      <c r="AO332" s="31">
        <v>0</v>
      </c>
      <c r="AP332" s="31">
        <v>0</v>
      </c>
      <c r="AQ332" s="31">
        <v>0</v>
      </c>
      <c r="AR332" s="23">
        <f t="shared" si="185"/>
        <v>0.6</v>
      </c>
      <c r="AS332" s="24">
        <f t="shared" si="186"/>
        <v>3</v>
      </c>
      <c r="AT332" s="28">
        <f t="shared" si="187"/>
        <v>0.375</v>
      </c>
      <c r="AU332" s="28">
        <f t="shared" si="188"/>
        <v>5.6249999999999994E-2</v>
      </c>
      <c r="AV332" s="32">
        <v>75</v>
      </c>
      <c r="AW332" s="32">
        <v>75</v>
      </c>
      <c r="AX332" s="32">
        <v>80</v>
      </c>
      <c r="AY332" s="32">
        <v>80</v>
      </c>
      <c r="AZ332" s="32">
        <v>80</v>
      </c>
      <c r="BA332" s="32">
        <v>100</v>
      </c>
      <c r="BB332" s="23">
        <f t="shared" ca="1" si="189"/>
        <v>0.8</v>
      </c>
      <c r="BC332" s="33">
        <f t="shared" si="195"/>
        <v>81.666666666666671</v>
      </c>
      <c r="BD332" s="28">
        <f t="shared" si="190"/>
        <v>0.93877551020408168</v>
      </c>
      <c r="BE332" s="28">
        <f t="shared" si="191"/>
        <v>0.18775510204081636</v>
      </c>
      <c r="BF332" s="34">
        <f ca="1">Q332+AA332+AF332+AR332+BB332</f>
        <v>3.8500000000000005</v>
      </c>
      <c r="BG332" s="34">
        <f>AVERAGE(AV332:AZ332)</f>
        <v>78</v>
      </c>
      <c r="BH332" s="35">
        <f>T332+AD332+AI332+AU332+BE332</f>
        <v>0.51220618343786439</v>
      </c>
      <c r="BI332" s="36" t="str">
        <f ca="1">IF(K332&lt;365,"New CE",(IF(BH332&gt;=100%,"Promote",IF(BH332&gt;=90%,"Sangat Baik",IF(BH332&gt;=80%,"Baik",IF(BH332&gt;=70%,"Lebih Dari Cukup",IF(BH332&gt;=60%,"Cukup","Kurang")))))))</f>
        <v>Kurang</v>
      </c>
      <c r="BJ332" s="36" t="s">
        <v>860</v>
      </c>
      <c r="BK332" s="58" t="s">
        <v>54</v>
      </c>
      <c r="BL332" s="59" t="e">
        <v>#N/A</v>
      </c>
    </row>
    <row r="333" spans="1:64" x14ac:dyDescent="0.35">
      <c r="A333" s="19">
        <v>329</v>
      </c>
      <c r="B333" s="37" t="s">
        <v>784</v>
      </c>
      <c r="C333" s="38" t="s">
        <v>785</v>
      </c>
      <c r="D333" s="76" t="s">
        <v>54</v>
      </c>
      <c r="E333" s="37" t="s">
        <v>171</v>
      </c>
      <c r="F333" s="13" t="s">
        <v>50</v>
      </c>
      <c r="G333" s="13" t="s">
        <v>75</v>
      </c>
      <c r="H333" s="65">
        <v>45444</v>
      </c>
      <c r="I333" s="21">
        <f t="shared" ca="1" si="193"/>
        <v>45974</v>
      </c>
      <c r="J333" s="13" t="str">
        <f t="shared" ca="1" si="175"/>
        <v xml:space="preserve">1 Tahun 5 Bulan 12 Hari </v>
      </c>
      <c r="K333" s="13">
        <f t="shared" ca="1" si="194"/>
        <v>763200</v>
      </c>
      <c r="L333" s="13">
        <v>102</v>
      </c>
      <c r="M333" s="13">
        <v>3</v>
      </c>
      <c r="N333" s="13">
        <v>916</v>
      </c>
      <c r="O333" s="22">
        <f t="shared" si="176"/>
        <v>305.33333333333331</v>
      </c>
      <c r="P333" s="13">
        <v>120</v>
      </c>
      <c r="Q333" s="23">
        <f t="shared" si="177"/>
        <v>0.2</v>
      </c>
      <c r="R333" s="24">
        <f t="shared" si="178"/>
        <v>1</v>
      </c>
      <c r="S333" s="25">
        <f t="shared" si="192"/>
        <v>0.39301310043668125</v>
      </c>
      <c r="T333" s="25">
        <f t="shared" si="179"/>
        <v>7.8602620087336261E-2</v>
      </c>
      <c r="U333" s="26">
        <v>3.986207561728395E-2</v>
      </c>
      <c r="V333" s="26">
        <v>0</v>
      </c>
      <c r="W333" s="26">
        <v>0.18776234567901237</v>
      </c>
      <c r="X333" s="27">
        <f t="shared" si="172"/>
        <v>1</v>
      </c>
      <c r="Y333" s="27">
        <f t="shared" si="173"/>
        <v>0</v>
      </c>
      <c r="Z333" s="27">
        <f t="shared" si="170"/>
        <v>1</v>
      </c>
      <c r="AA333" s="23">
        <f t="shared" si="171"/>
        <v>0.8</v>
      </c>
      <c r="AB333" s="24">
        <f t="shared" si="167"/>
        <v>2</v>
      </c>
      <c r="AC333" s="28">
        <f t="shared" si="180"/>
        <v>0.66666666666666663</v>
      </c>
      <c r="AD333" s="29">
        <f t="shared" si="181"/>
        <v>0.16666666666666666</v>
      </c>
      <c r="AE333" s="30">
        <v>0</v>
      </c>
      <c r="AF333" s="23">
        <f t="shared" si="182"/>
        <v>1.25</v>
      </c>
      <c r="AG333" s="24">
        <f t="shared" si="174"/>
        <v>5</v>
      </c>
      <c r="AH333" s="28">
        <f t="shared" si="183"/>
        <v>0</v>
      </c>
      <c r="AI333" s="29">
        <f t="shared" si="184"/>
        <v>0</v>
      </c>
      <c r="AJ333" s="31">
        <v>1</v>
      </c>
      <c r="AK333" s="31">
        <v>1</v>
      </c>
      <c r="AL333" s="31">
        <v>1</v>
      </c>
      <c r="AM333" s="31">
        <v>0</v>
      </c>
      <c r="AN333" s="31">
        <v>1</v>
      </c>
      <c r="AO333" s="31">
        <v>0</v>
      </c>
      <c r="AP333" s="31">
        <v>0</v>
      </c>
      <c r="AQ333" s="31">
        <v>0</v>
      </c>
      <c r="AR333" s="23">
        <f t="shared" si="185"/>
        <v>0.8</v>
      </c>
      <c r="AS333" s="24">
        <f t="shared" si="186"/>
        <v>4</v>
      </c>
      <c r="AT333" s="28">
        <f t="shared" si="187"/>
        <v>0.5</v>
      </c>
      <c r="AU333" s="28">
        <f t="shared" si="188"/>
        <v>7.4999999999999997E-2</v>
      </c>
      <c r="AV333" s="32">
        <v>75</v>
      </c>
      <c r="AW333" s="32">
        <v>75</v>
      </c>
      <c r="AX333" s="32">
        <v>90</v>
      </c>
      <c r="AY333" s="32">
        <v>85</v>
      </c>
      <c r="AZ333" s="32">
        <v>80</v>
      </c>
      <c r="BA333" s="32">
        <v>100</v>
      </c>
      <c r="BB333" s="23">
        <f t="shared" ca="1" si="189"/>
        <v>0.8</v>
      </c>
      <c r="BC333" s="33">
        <f t="shared" si="195"/>
        <v>84.166666666666671</v>
      </c>
      <c r="BD333" s="28">
        <f t="shared" si="190"/>
        <v>0.94059405940594054</v>
      </c>
      <c r="BE333" s="28">
        <f t="shared" si="191"/>
        <v>0.18811881188118812</v>
      </c>
      <c r="BF333" s="34">
        <f ca="1">Q333+AA333+AF333+AR333+BB333</f>
        <v>3.8499999999999996</v>
      </c>
      <c r="BG333" s="34">
        <f>AVERAGE(AV333:AZ333)</f>
        <v>81</v>
      </c>
      <c r="BH333" s="35">
        <f>T333+AD333+AI333+AU333+BE333</f>
        <v>0.50838809863519097</v>
      </c>
      <c r="BI333" s="36" t="str">
        <f ca="1">IF(K333&lt;365,"New CE",(IF(BH333&gt;=100%,"Promote",IF(BH333&gt;=90%,"Sangat Baik",IF(BH333&gt;=80%,"Baik",IF(BH333&gt;=70%,"Lebih Dari Cukup",IF(BH333&gt;=60%,"Cukup","Kurang")))))))</f>
        <v>Kurang</v>
      </c>
      <c r="BJ333" s="36" t="s">
        <v>860</v>
      </c>
      <c r="BK333" s="58" t="s">
        <v>54</v>
      </c>
      <c r="BL333" s="59" t="e">
        <v>#N/A</v>
      </c>
    </row>
    <row r="334" spans="1:64" x14ac:dyDescent="0.35">
      <c r="A334" s="19">
        <v>330</v>
      </c>
      <c r="B334" s="37" t="s">
        <v>786</v>
      </c>
      <c r="C334" s="38" t="s">
        <v>787</v>
      </c>
      <c r="D334" s="76" t="s">
        <v>54</v>
      </c>
      <c r="E334" s="37" t="s">
        <v>86</v>
      </c>
      <c r="F334" s="13" t="s">
        <v>74</v>
      </c>
      <c r="G334" s="13" t="s">
        <v>75</v>
      </c>
      <c r="H334" s="65">
        <v>45444</v>
      </c>
      <c r="I334" s="21">
        <f t="shared" ca="1" si="193"/>
        <v>45974</v>
      </c>
      <c r="J334" s="13" t="str">
        <f t="shared" ca="1" si="175"/>
        <v xml:space="preserve">1 Tahun 5 Bulan 12 Hari </v>
      </c>
      <c r="K334" s="13">
        <f t="shared" ca="1" si="194"/>
        <v>763200</v>
      </c>
      <c r="L334" s="13">
        <v>171</v>
      </c>
      <c r="M334" s="13">
        <v>4</v>
      </c>
      <c r="N334" s="13">
        <v>1473</v>
      </c>
      <c r="O334" s="22">
        <f t="shared" si="176"/>
        <v>368.25</v>
      </c>
      <c r="P334" s="13">
        <v>104</v>
      </c>
      <c r="Q334" s="23">
        <f t="shared" si="177"/>
        <v>0.2</v>
      </c>
      <c r="R334" s="24">
        <f t="shared" si="178"/>
        <v>1</v>
      </c>
      <c r="S334" s="25">
        <f t="shared" si="192"/>
        <v>0.28241683638832316</v>
      </c>
      <c r="T334" s="25">
        <f t="shared" si="179"/>
        <v>5.6483367277664634E-2</v>
      </c>
      <c r="U334" s="26">
        <v>5063.7379359567913</v>
      </c>
      <c r="V334" s="26">
        <v>4.6296296296296294E-5</v>
      </c>
      <c r="W334" s="26">
        <v>7.8391203703703699E-2</v>
      </c>
      <c r="X334" s="27">
        <f t="shared" si="172"/>
        <v>0</v>
      </c>
      <c r="Y334" s="27">
        <f t="shared" si="173"/>
        <v>1</v>
      </c>
      <c r="Z334" s="27">
        <f t="shared" si="170"/>
        <v>1</v>
      </c>
      <c r="AA334" s="23">
        <f t="shared" si="171"/>
        <v>0.8</v>
      </c>
      <c r="AB334" s="24">
        <f t="shared" si="167"/>
        <v>2</v>
      </c>
      <c r="AC334" s="28">
        <f t="shared" si="180"/>
        <v>0.66666666666666663</v>
      </c>
      <c r="AD334" s="29">
        <f t="shared" si="181"/>
        <v>0.16666666666666666</v>
      </c>
      <c r="AE334" s="30">
        <v>0</v>
      </c>
      <c r="AF334" s="23">
        <f t="shared" si="182"/>
        <v>1.25</v>
      </c>
      <c r="AG334" s="24">
        <f t="shared" si="174"/>
        <v>5</v>
      </c>
      <c r="AH334" s="28">
        <f t="shared" si="183"/>
        <v>0</v>
      </c>
      <c r="AI334" s="29">
        <f t="shared" si="184"/>
        <v>0</v>
      </c>
      <c r="AJ334" s="31">
        <v>1</v>
      </c>
      <c r="AK334" s="31">
        <v>1</v>
      </c>
      <c r="AL334" s="31">
        <v>1</v>
      </c>
      <c r="AM334" s="31">
        <v>0</v>
      </c>
      <c r="AN334" s="31">
        <v>1</v>
      </c>
      <c r="AO334" s="31">
        <v>1</v>
      </c>
      <c r="AP334" s="31">
        <v>0</v>
      </c>
      <c r="AQ334" s="31">
        <v>0</v>
      </c>
      <c r="AR334" s="23">
        <f t="shared" si="185"/>
        <v>1</v>
      </c>
      <c r="AS334" s="24">
        <f t="shared" si="186"/>
        <v>5</v>
      </c>
      <c r="AT334" s="28">
        <f t="shared" si="187"/>
        <v>0.625</v>
      </c>
      <c r="AU334" s="28">
        <f t="shared" si="188"/>
        <v>9.375E-2</v>
      </c>
      <c r="AV334" s="32">
        <v>75</v>
      </c>
      <c r="AW334" s="32">
        <v>75</v>
      </c>
      <c r="AX334" s="32">
        <v>80</v>
      </c>
      <c r="AY334" s="32">
        <v>80</v>
      </c>
      <c r="AZ334" s="32">
        <v>80</v>
      </c>
      <c r="BA334" s="32">
        <v>100</v>
      </c>
      <c r="BB334" s="23">
        <f t="shared" ca="1" si="189"/>
        <v>0.8</v>
      </c>
      <c r="BC334" s="33">
        <f t="shared" si="195"/>
        <v>81.666666666666671</v>
      </c>
      <c r="BD334" s="28">
        <f t="shared" si="190"/>
        <v>0.93877551020408168</v>
      </c>
      <c r="BE334" s="28">
        <f t="shared" si="191"/>
        <v>0.18775510204081636</v>
      </c>
      <c r="BF334" s="34">
        <f ca="1">Q334+AA334+AF334+AR334+BB334</f>
        <v>4.05</v>
      </c>
      <c r="BG334" s="34">
        <f>AVERAGE(AV334:AZ334)</f>
        <v>78</v>
      </c>
      <c r="BH334" s="35">
        <f>T334+AD334+AI334+AU334+BE334</f>
        <v>0.50465513598514766</v>
      </c>
      <c r="BI334" s="36" t="str">
        <f ca="1">IF(K334&lt;365,"New CE",(IF(BH334&gt;=100%,"Promote",IF(BH334&gt;=90%,"Sangat Baik",IF(BH334&gt;=80%,"Baik",IF(BH334&gt;=70%,"Lebih Dari Cukup",IF(BH334&gt;=60%,"Cukup","Kurang")))))))</f>
        <v>Kurang</v>
      </c>
      <c r="BJ334" s="36" t="s">
        <v>860</v>
      </c>
      <c r="BK334" s="58" t="s">
        <v>54</v>
      </c>
      <c r="BL334" s="59" t="str">
        <v>Abd. Rasman</v>
      </c>
    </row>
    <row r="335" spans="1:64" x14ac:dyDescent="0.35">
      <c r="A335" s="19">
        <v>331</v>
      </c>
      <c r="B335" s="37" t="s">
        <v>788</v>
      </c>
      <c r="C335" s="38" t="s">
        <v>789</v>
      </c>
      <c r="D335" s="76" t="s">
        <v>54</v>
      </c>
      <c r="E335" s="37" t="s">
        <v>790</v>
      </c>
      <c r="F335" s="13" t="s">
        <v>44</v>
      </c>
      <c r="G335" s="13" t="s">
        <v>75</v>
      </c>
      <c r="H335" s="65">
        <v>45352</v>
      </c>
      <c r="I335" s="21">
        <f t="shared" ca="1" si="193"/>
        <v>45974</v>
      </c>
      <c r="J335" s="13" t="str">
        <f t="shared" ca="1" si="175"/>
        <v xml:space="preserve">1 Tahun 8 Bulan 12 Hari </v>
      </c>
      <c r="K335" s="13">
        <f t="shared" ca="1" si="194"/>
        <v>895680</v>
      </c>
      <c r="L335" s="13">
        <v>52</v>
      </c>
      <c r="M335" s="13">
        <v>1</v>
      </c>
      <c r="N335" s="13">
        <v>685</v>
      </c>
      <c r="O335" s="22">
        <f t="shared" si="176"/>
        <v>685</v>
      </c>
      <c r="P335" s="13">
        <v>199</v>
      </c>
      <c r="Q335" s="23">
        <f t="shared" si="177"/>
        <v>0.2</v>
      </c>
      <c r="R335" s="24">
        <f t="shared" si="178"/>
        <v>1</v>
      </c>
      <c r="S335" s="25">
        <f t="shared" si="192"/>
        <v>0.29051094890510948</v>
      </c>
      <c r="T335" s="25">
        <f t="shared" si="179"/>
        <v>5.8102189781021898E-2</v>
      </c>
      <c r="U335" s="26">
        <v>1982.1568317230265</v>
      </c>
      <c r="V335" s="26">
        <v>2.4106867283950617E-2</v>
      </c>
      <c r="W335" s="26">
        <v>0</v>
      </c>
      <c r="X335" s="27">
        <f t="shared" si="172"/>
        <v>0</v>
      </c>
      <c r="Y335" s="27">
        <f t="shared" si="173"/>
        <v>1</v>
      </c>
      <c r="Z335" s="27">
        <f t="shared" si="170"/>
        <v>0</v>
      </c>
      <c r="AA335" s="23">
        <f t="shared" si="171"/>
        <v>0.4</v>
      </c>
      <c r="AB335" s="24">
        <f t="shared" si="167"/>
        <v>1</v>
      </c>
      <c r="AC335" s="28">
        <f t="shared" si="180"/>
        <v>0.33333333333333331</v>
      </c>
      <c r="AD335" s="29">
        <f t="shared" si="181"/>
        <v>8.3333333333333329E-2</v>
      </c>
      <c r="AE335" s="30">
        <v>0</v>
      </c>
      <c r="AF335" s="23">
        <f t="shared" si="182"/>
        <v>1.25</v>
      </c>
      <c r="AG335" s="24">
        <f t="shared" si="174"/>
        <v>5</v>
      </c>
      <c r="AH335" s="28">
        <f t="shared" si="183"/>
        <v>0</v>
      </c>
      <c r="AI335" s="29">
        <f t="shared" si="184"/>
        <v>0</v>
      </c>
      <c r="AJ335" s="31">
        <v>1</v>
      </c>
      <c r="AK335" s="31">
        <v>1</v>
      </c>
      <c r="AL335" s="31">
        <v>1</v>
      </c>
      <c r="AM335" s="31">
        <v>0</v>
      </c>
      <c r="AN335" s="31">
        <v>1</v>
      </c>
      <c r="AO335" s="31">
        <v>1</v>
      </c>
      <c r="AP335" s="31">
        <v>0</v>
      </c>
      <c r="AQ335" s="31">
        <v>1</v>
      </c>
      <c r="AR335" s="23">
        <f t="shared" si="185"/>
        <v>1</v>
      </c>
      <c r="AS335" s="24">
        <f t="shared" si="186"/>
        <v>6</v>
      </c>
      <c r="AT335" s="28">
        <f t="shared" si="187"/>
        <v>0.75</v>
      </c>
      <c r="AU335" s="28">
        <f t="shared" si="188"/>
        <v>0.11249999999999999</v>
      </c>
      <c r="AV335" s="32">
        <v>75</v>
      </c>
      <c r="AW335" s="32">
        <v>75</v>
      </c>
      <c r="AX335" s="32">
        <v>80</v>
      </c>
      <c r="AY335" s="32">
        <v>80</v>
      </c>
      <c r="AZ335" s="32">
        <v>80</v>
      </c>
      <c r="BA335" s="32">
        <v>100</v>
      </c>
      <c r="BB335" s="23">
        <f t="shared" ca="1" si="189"/>
        <v>0.8</v>
      </c>
      <c r="BC335" s="33">
        <f t="shared" si="195"/>
        <v>81.666666666666671</v>
      </c>
      <c r="BD335" s="28">
        <f t="shared" si="190"/>
        <v>0.93877551020408168</v>
      </c>
      <c r="BE335" s="28">
        <f t="shared" si="191"/>
        <v>0.18775510204081636</v>
      </c>
      <c r="BF335" s="34">
        <f ca="1">Q335+AA335+AF335+AR335+BB335</f>
        <v>3.6500000000000004</v>
      </c>
      <c r="BG335" s="34">
        <f>AVERAGE(AV335:AZ335)</f>
        <v>78</v>
      </c>
      <c r="BH335" s="35">
        <f>T335+AD335+AI335+AU335+BE335</f>
        <v>0.44169062515517155</v>
      </c>
      <c r="BI335" s="36" t="str">
        <f ca="1">IF(K335&lt;365,"New CE",(IF(BH335&gt;=100%,"Promote",IF(BH335&gt;=90%,"Sangat Baik",IF(BH335&gt;=80%,"Baik",IF(BH335&gt;=70%,"Lebih Dari Cukup",IF(BH335&gt;=60%,"Cukup","Kurang")))))))</f>
        <v>Kurang</v>
      </c>
      <c r="BJ335" s="36" t="s">
        <v>860</v>
      </c>
      <c r="BK335" s="58" t="s">
        <v>54</v>
      </c>
      <c r="BL335" s="59" t="e">
        <v>#N/A</v>
      </c>
    </row>
    <row r="336" spans="1:64" x14ac:dyDescent="0.35">
      <c r="A336" s="19">
        <v>332</v>
      </c>
      <c r="B336" s="13" t="s">
        <v>791</v>
      </c>
      <c r="C336" s="54" t="s">
        <v>792</v>
      </c>
      <c r="D336" s="76" t="s">
        <v>54</v>
      </c>
      <c r="E336" s="38" t="s">
        <v>793</v>
      </c>
      <c r="F336" s="13" t="s">
        <v>74</v>
      </c>
      <c r="G336" s="13" t="s">
        <v>75</v>
      </c>
      <c r="H336" s="65">
        <v>45566</v>
      </c>
      <c r="I336" s="21">
        <f t="shared" ca="1" si="193"/>
        <v>45974</v>
      </c>
      <c r="J336" s="13" t="str">
        <f t="shared" ca="1" si="175"/>
        <v xml:space="preserve">1 Tahun 1 Bulan 12 Hari </v>
      </c>
      <c r="K336" s="13">
        <f t="shared" ca="1" si="194"/>
        <v>587520</v>
      </c>
      <c r="L336" s="13">
        <v>46</v>
      </c>
      <c r="M336" s="13">
        <v>1</v>
      </c>
      <c r="N336" s="13">
        <v>311</v>
      </c>
      <c r="O336" s="22">
        <f t="shared" si="176"/>
        <v>311</v>
      </c>
      <c r="P336" s="13">
        <v>22</v>
      </c>
      <c r="Q336" s="23">
        <f t="shared" si="177"/>
        <v>0.2</v>
      </c>
      <c r="R336" s="24">
        <f t="shared" si="178"/>
        <v>1</v>
      </c>
      <c r="S336" s="25">
        <f t="shared" si="192"/>
        <v>7.0739549839228297E-2</v>
      </c>
      <c r="T336" s="25">
        <f t="shared" si="179"/>
        <v>1.414790996784566E-2</v>
      </c>
      <c r="U336" s="26">
        <v>2.8182870370370372E-2</v>
      </c>
      <c r="V336" s="26">
        <v>0</v>
      </c>
      <c r="W336" s="26">
        <v>0</v>
      </c>
      <c r="X336" s="27">
        <f t="shared" si="172"/>
        <v>1</v>
      </c>
      <c r="Y336" s="27">
        <f t="shared" si="173"/>
        <v>0</v>
      </c>
      <c r="Z336" s="27">
        <f t="shared" si="170"/>
        <v>0</v>
      </c>
      <c r="AA336" s="23">
        <f t="shared" si="171"/>
        <v>0.4</v>
      </c>
      <c r="AB336" s="24">
        <f t="shared" si="167"/>
        <v>1</v>
      </c>
      <c r="AC336" s="28">
        <f t="shared" si="180"/>
        <v>0.33333333333333331</v>
      </c>
      <c r="AD336" s="29">
        <f t="shared" si="181"/>
        <v>8.3333333333333329E-2</v>
      </c>
      <c r="AE336" s="30">
        <v>0</v>
      </c>
      <c r="AF336" s="23">
        <f t="shared" si="182"/>
        <v>1.25</v>
      </c>
      <c r="AG336" s="24">
        <f t="shared" si="174"/>
        <v>5</v>
      </c>
      <c r="AH336" s="28">
        <f t="shared" si="183"/>
        <v>0</v>
      </c>
      <c r="AI336" s="29">
        <f t="shared" si="184"/>
        <v>0</v>
      </c>
      <c r="AJ336" s="31">
        <v>1</v>
      </c>
      <c r="AK336" s="31">
        <v>1</v>
      </c>
      <c r="AL336" s="31">
        <v>1</v>
      </c>
      <c r="AM336" s="31">
        <v>0</v>
      </c>
      <c r="AN336" s="31">
        <v>1</v>
      </c>
      <c r="AO336" s="31">
        <v>1</v>
      </c>
      <c r="AP336" s="31">
        <v>1</v>
      </c>
      <c r="AQ336" s="31">
        <v>0</v>
      </c>
      <c r="AR336" s="23">
        <f t="shared" si="185"/>
        <v>1</v>
      </c>
      <c r="AS336" s="24">
        <f t="shared" si="186"/>
        <v>6</v>
      </c>
      <c r="AT336" s="28">
        <f t="shared" si="187"/>
        <v>0.75</v>
      </c>
      <c r="AU336" s="28">
        <f t="shared" si="188"/>
        <v>0.11249999999999999</v>
      </c>
      <c r="AV336" s="32">
        <v>75</v>
      </c>
      <c r="AW336" s="32">
        <v>75</v>
      </c>
      <c r="AX336" s="32">
        <v>75</v>
      </c>
      <c r="AY336" s="32">
        <v>80</v>
      </c>
      <c r="AZ336" s="32">
        <v>85</v>
      </c>
      <c r="BA336" s="32">
        <v>100</v>
      </c>
      <c r="BB336" s="23">
        <f t="shared" ca="1" si="189"/>
        <v>0.8</v>
      </c>
      <c r="BC336" s="33">
        <f t="shared" si="195"/>
        <v>81.666666666666671</v>
      </c>
      <c r="BD336" s="28">
        <f t="shared" si="190"/>
        <v>0.93877551020408168</v>
      </c>
      <c r="BE336" s="28">
        <f t="shared" si="191"/>
        <v>0.18775510204081636</v>
      </c>
      <c r="BF336" s="34">
        <f ca="1">Q336+AA336+AF336+AR336+BB336</f>
        <v>3.6500000000000004</v>
      </c>
      <c r="BG336" s="34">
        <f>AVERAGE(AV336:AZ336)</f>
        <v>78</v>
      </c>
      <c r="BH336" s="35">
        <f>T336+AD336+AI336+AU336+BE336</f>
        <v>0.39773634534199531</v>
      </c>
      <c r="BI336" s="36" t="str">
        <f ca="1">IF(K336&lt;365,"New CE",(IF(BH336&gt;=100%,"Promote",IF(BH336&gt;=90%,"Sangat Baik",IF(BH336&gt;=80%,"Baik",IF(BH336&gt;=70%,"Lebih Dari Cukup",IF(BH336&gt;=60%,"Cukup","Kurang")))))))</f>
        <v>Kurang</v>
      </c>
      <c r="BJ336" s="36" t="s">
        <v>860</v>
      </c>
      <c r="BK336" s="58" t="s">
        <v>54</v>
      </c>
      <c r="BL336" s="59" t="str">
        <v>Korniawan</v>
      </c>
    </row>
    <row r="337" spans="1:64" x14ac:dyDescent="0.35">
      <c r="A337" s="19">
        <v>333</v>
      </c>
      <c r="B337" s="13" t="s">
        <v>794</v>
      </c>
      <c r="C337" s="54" t="s">
        <v>795</v>
      </c>
      <c r="D337" s="76" t="s">
        <v>54</v>
      </c>
      <c r="E337" s="38" t="s">
        <v>43</v>
      </c>
      <c r="F337" s="13" t="s">
        <v>44</v>
      </c>
      <c r="G337" s="13" t="s">
        <v>75</v>
      </c>
      <c r="H337" s="65">
        <v>45566</v>
      </c>
      <c r="I337" s="21">
        <f t="shared" ca="1" si="193"/>
        <v>45974</v>
      </c>
      <c r="J337" s="13" t="str">
        <f t="shared" ca="1" si="175"/>
        <v xml:space="preserve">1 Tahun 1 Bulan 12 Hari </v>
      </c>
      <c r="K337" s="13">
        <f t="shared" ca="1" si="194"/>
        <v>587520</v>
      </c>
      <c r="L337" s="13">
        <v>1384</v>
      </c>
      <c r="M337" s="13">
        <v>22</v>
      </c>
      <c r="N337" s="13">
        <v>6775</v>
      </c>
      <c r="O337" s="22">
        <f t="shared" si="176"/>
        <v>307.95454545454544</v>
      </c>
      <c r="P337" s="13">
        <v>17</v>
      </c>
      <c r="Q337" s="23">
        <f t="shared" si="177"/>
        <v>0.2</v>
      </c>
      <c r="R337" s="24">
        <f t="shared" si="178"/>
        <v>1</v>
      </c>
      <c r="S337" s="25">
        <f t="shared" si="192"/>
        <v>5.5202952029520296E-2</v>
      </c>
      <c r="T337" s="25">
        <f t="shared" si="179"/>
        <v>1.104059040590406E-2</v>
      </c>
      <c r="U337" s="26">
        <v>3.2037037037037037E-2</v>
      </c>
      <c r="V337" s="26">
        <v>0</v>
      </c>
      <c r="W337" s="26">
        <v>0</v>
      </c>
      <c r="X337" s="27">
        <f t="shared" si="172"/>
        <v>1</v>
      </c>
      <c r="Y337" s="27">
        <f t="shared" si="173"/>
        <v>0</v>
      </c>
      <c r="Z337" s="27">
        <f t="shared" si="170"/>
        <v>0</v>
      </c>
      <c r="AA337" s="23">
        <f t="shared" si="171"/>
        <v>0.4</v>
      </c>
      <c r="AB337" s="24">
        <f t="shared" si="167"/>
        <v>1</v>
      </c>
      <c r="AC337" s="28">
        <f t="shared" si="180"/>
        <v>0.33333333333333331</v>
      </c>
      <c r="AD337" s="29">
        <f t="shared" si="181"/>
        <v>8.3333333333333329E-2</v>
      </c>
      <c r="AE337" s="30">
        <v>0</v>
      </c>
      <c r="AF337" s="23">
        <f t="shared" si="182"/>
        <v>1.25</v>
      </c>
      <c r="AG337" s="24">
        <f t="shared" si="174"/>
        <v>5</v>
      </c>
      <c r="AH337" s="28">
        <f t="shared" si="183"/>
        <v>0</v>
      </c>
      <c r="AI337" s="29">
        <f t="shared" si="184"/>
        <v>0</v>
      </c>
      <c r="AJ337" s="31">
        <v>1</v>
      </c>
      <c r="AK337" s="31">
        <v>1</v>
      </c>
      <c r="AL337" s="31">
        <v>1</v>
      </c>
      <c r="AM337" s="31">
        <v>0</v>
      </c>
      <c r="AN337" s="31">
        <v>1</v>
      </c>
      <c r="AO337" s="31">
        <v>1</v>
      </c>
      <c r="AP337" s="31">
        <v>1</v>
      </c>
      <c r="AQ337" s="31">
        <v>0</v>
      </c>
      <c r="AR337" s="23">
        <f t="shared" si="185"/>
        <v>1</v>
      </c>
      <c r="AS337" s="24">
        <f t="shared" si="186"/>
        <v>6</v>
      </c>
      <c r="AT337" s="28">
        <f t="shared" si="187"/>
        <v>0.75</v>
      </c>
      <c r="AU337" s="28">
        <f t="shared" si="188"/>
        <v>0.11249999999999999</v>
      </c>
      <c r="AV337" s="32">
        <v>75</v>
      </c>
      <c r="AW337" s="32">
        <v>75</v>
      </c>
      <c r="AX337" s="32">
        <v>80</v>
      </c>
      <c r="AY337" s="32">
        <v>80</v>
      </c>
      <c r="AZ337" s="32">
        <v>80</v>
      </c>
      <c r="BA337" s="32">
        <v>100</v>
      </c>
      <c r="BB337" s="23">
        <f t="shared" ca="1" si="189"/>
        <v>0.8</v>
      </c>
      <c r="BC337" s="33">
        <f t="shared" si="195"/>
        <v>81.666666666666671</v>
      </c>
      <c r="BD337" s="28">
        <f t="shared" si="190"/>
        <v>0.93877551020408168</v>
      </c>
      <c r="BE337" s="28">
        <f t="shared" si="191"/>
        <v>0.18775510204081636</v>
      </c>
      <c r="BF337" s="34">
        <f ca="1">Q337+AA337+AF337+AR337+BB337</f>
        <v>3.6500000000000004</v>
      </c>
      <c r="BG337" s="34">
        <f>AVERAGE(AV337:AZ337)</f>
        <v>78</v>
      </c>
      <c r="BH337" s="35">
        <f>T337+AD337+AI337+AU337+BE337</f>
        <v>0.39462902578005377</v>
      </c>
      <c r="BI337" s="36" t="str">
        <f ca="1">IF(K337&lt;365,"New CE",(IF(BH337&gt;=100%,"Promote",IF(BH337&gt;=90%,"Sangat Baik",IF(BH337&gt;=80%,"Baik",IF(BH337&gt;=70%,"Lebih Dari Cukup",IF(BH337&gt;=60%,"Cukup","Kurang")))))))</f>
        <v>Kurang</v>
      </c>
      <c r="BJ337" s="36" t="s">
        <v>860</v>
      </c>
      <c r="BK337" s="58" t="s">
        <v>54</v>
      </c>
      <c r="BL337" s="59" t="e">
        <v>#N/A</v>
      </c>
    </row>
    <row r="338" spans="1:64" x14ac:dyDescent="0.35">
      <c r="A338" s="19">
        <v>334</v>
      </c>
      <c r="B338" s="13" t="s">
        <v>796</v>
      </c>
      <c r="C338" s="54" t="s">
        <v>797</v>
      </c>
      <c r="D338" s="76" t="s">
        <v>54</v>
      </c>
      <c r="E338" s="38" t="s">
        <v>95</v>
      </c>
      <c r="F338" s="13" t="s">
        <v>50</v>
      </c>
      <c r="G338" s="13" t="s">
        <v>75</v>
      </c>
      <c r="H338" s="65">
        <v>45566</v>
      </c>
      <c r="I338" s="21">
        <f t="shared" ca="1" si="193"/>
        <v>45974</v>
      </c>
      <c r="J338" s="13" t="str">
        <f t="shared" ca="1" si="175"/>
        <v xml:space="preserve">1 Tahun 1 Bulan 12 Hari </v>
      </c>
      <c r="K338" s="13">
        <f t="shared" ca="1" si="194"/>
        <v>587520</v>
      </c>
      <c r="L338" s="13">
        <v>897</v>
      </c>
      <c r="M338" s="13">
        <v>13</v>
      </c>
      <c r="N338" s="13">
        <v>6212</v>
      </c>
      <c r="O338" s="22">
        <f t="shared" si="176"/>
        <v>477.84615384615387</v>
      </c>
      <c r="P338" s="13">
        <v>24</v>
      </c>
      <c r="Q338" s="23">
        <f t="shared" si="177"/>
        <v>0.2</v>
      </c>
      <c r="R338" s="24">
        <f t="shared" si="178"/>
        <v>1</v>
      </c>
      <c r="S338" s="25">
        <f t="shared" si="192"/>
        <v>5.0225370251126847E-2</v>
      </c>
      <c r="T338" s="25">
        <f t="shared" si="179"/>
        <v>1.004507405022537E-2</v>
      </c>
      <c r="U338" s="26">
        <v>4.9050925925925928E-2</v>
      </c>
      <c r="V338" s="26">
        <v>0</v>
      </c>
      <c r="W338" s="26">
        <v>0</v>
      </c>
      <c r="X338" s="27">
        <f t="shared" si="172"/>
        <v>1</v>
      </c>
      <c r="Y338" s="27">
        <f t="shared" si="173"/>
        <v>0</v>
      </c>
      <c r="Z338" s="27">
        <f t="shared" si="170"/>
        <v>0</v>
      </c>
      <c r="AA338" s="23">
        <f t="shared" si="171"/>
        <v>0.4</v>
      </c>
      <c r="AB338" s="24">
        <f t="shared" si="167"/>
        <v>1</v>
      </c>
      <c r="AC338" s="28">
        <f t="shared" si="180"/>
        <v>0.33333333333333331</v>
      </c>
      <c r="AD338" s="29">
        <f t="shared" si="181"/>
        <v>8.3333333333333329E-2</v>
      </c>
      <c r="AE338" s="30">
        <v>0</v>
      </c>
      <c r="AF338" s="23">
        <f t="shared" si="182"/>
        <v>1.25</v>
      </c>
      <c r="AG338" s="24">
        <f t="shared" si="174"/>
        <v>5</v>
      </c>
      <c r="AH338" s="28">
        <f t="shared" si="183"/>
        <v>0</v>
      </c>
      <c r="AI338" s="29">
        <f t="shared" si="184"/>
        <v>0</v>
      </c>
      <c r="AJ338" s="31">
        <v>1</v>
      </c>
      <c r="AK338" s="31">
        <v>1</v>
      </c>
      <c r="AL338" s="31">
        <v>1</v>
      </c>
      <c r="AM338" s="31">
        <v>0</v>
      </c>
      <c r="AN338" s="31">
        <v>1</v>
      </c>
      <c r="AO338" s="31">
        <v>1</v>
      </c>
      <c r="AP338" s="31">
        <v>1</v>
      </c>
      <c r="AQ338" s="31">
        <v>0</v>
      </c>
      <c r="AR338" s="23">
        <f t="shared" si="185"/>
        <v>1</v>
      </c>
      <c r="AS338" s="24">
        <f t="shared" si="186"/>
        <v>6</v>
      </c>
      <c r="AT338" s="28">
        <f t="shared" si="187"/>
        <v>0.75</v>
      </c>
      <c r="AU338" s="28">
        <f t="shared" si="188"/>
        <v>0.11249999999999999</v>
      </c>
      <c r="AV338" s="32">
        <v>75</v>
      </c>
      <c r="AW338" s="32">
        <v>75</v>
      </c>
      <c r="AX338" s="32">
        <v>90</v>
      </c>
      <c r="AY338" s="32">
        <v>85</v>
      </c>
      <c r="AZ338" s="32">
        <v>80</v>
      </c>
      <c r="BA338" s="32">
        <v>100</v>
      </c>
      <c r="BB338" s="23">
        <f t="shared" ca="1" si="189"/>
        <v>0.8</v>
      </c>
      <c r="BC338" s="33">
        <f t="shared" si="195"/>
        <v>84.166666666666671</v>
      </c>
      <c r="BD338" s="28">
        <f t="shared" si="190"/>
        <v>0.94059405940594054</v>
      </c>
      <c r="BE338" s="28">
        <f t="shared" si="191"/>
        <v>0.18811881188118812</v>
      </c>
      <c r="BF338" s="34">
        <f ca="1">Q338+AA338+AF338+AR338+BB338</f>
        <v>3.6500000000000004</v>
      </c>
      <c r="BG338" s="34">
        <f>AVERAGE(AV338:AZ338)</f>
        <v>81</v>
      </c>
      <c r="BH338" s="35">
        <f>T338+AD338+AI338+AU338+BE338</f>
        <v>0.39399721926474679</v>
      </c>
      <c r="BI338" s="36" t="str">
        <f ca="1">IF(K338&lt;365,"New CE",(IF(BH338&gt;=100%,"Promote",IF(BH338&gt;=90%,"Sangat Baik",IF(BH338&gt;=80%,"Baik",IF(BH338&gt;=70%,"Lebih Dari Cukup",IF(BH338&gt;=60%,"Cukup","Kurang")))))))</f>
        <v>Kurang</v>
      </c>
      <c r="BJ338" s="36" t="s">
        <v>860</v>
      </c>
      <c r="BK338" s="58" t="s">
        <v>54</v>
      </c>
      <c r="BL338" s="59" t="e">
        <v>#N/A</v>
      </c>
    </row>
    <row r="339" spans="1:64" x14ac:dyDescent="0.35">
      <c r="A339" s="19">
        <v>335</v>
      </c>
      <c r="B339" s="13" t="s">
        <v>798</v>
      </c>
      <c r="C339" s="54" t="s">
        <v>799</v>
      </c>
      <c r="D339" s="76" t="s">
        <v>54</v>
      </c>
      <c r="E339" s="38" t="s">
        <v>182</v>
      </c>
      <c r="F339" s="13" t="s">
        <v>74</v>
      </c>
      <c r="G339" s="13" t="s">
        <v>75</v>
      </c>
      <c r="H339" s="65">
        <v>45566</v>
      </c>
      <c r="I339" s="21">
        <f t="shared" ca="1" si="193"/>
        <v>45974</v>
      </c>
      <c r="J339" s="13" t="str">
        <f t="shared" ca="1" si="175"/>
        <v xml:space="preserve">1 Tahun 1 Bulan 12 Hari </v>
      </c>
      <c r="K339" s="13">
        <f t="shared" ca="1" si="194"/>
        <v>587520</v>
      </c>
      <c r="L339" s="13">
        <v>612</v>
      </c>
      <c r="M339" s="13">
        <v>11</v>
      </c>
      <c r="N339" s="13">
        <v>5254</v>
      </c>
      <c r="O339" s="22">
        <f t="shared" si="176"/>
        <v>477.63636363636363</v>
      </c>
      <c r="P339" s="13">
        <v>15</v>
      </c>
      <c r="Q339" s="23">
        <f t="shared" si="177"/>
        <v>0.2</v>
      </c>
      <c r="R339" s="24">
        <f t="shared" si="178"/>
        <v>1</v>
      </c>
      <c r="S339" s="25">
        <f t="shared" si="192"/>
        <v>3.1404644080700421E-2</v>
      </c>
      <c r="T339" s="25">
        <f t="shared" si="179"/>
        <v>6.2809288161400842E-3</v>
      </c>
      <c r="U339" s="26">
        <v>4.0370370370370369E-2</v>
      </c>
      <c r="V339" s="26">
        <v>0</v>
      </c>
      <c r="W339" s="26">
        <v>0</v>
      </c>
      <c r="X339" s="27">
        <f t="shared" si="172"/>
        <v>1</v>
      </c>
      <c r="Y339" s="27">
        <f t="shared" si="173"/>
        <v>0</v>
      </c>
      <c r="Z339" s="27">
        <f t="shared" si="170"/>
        <v>0</v>
      </c>
      <c r="AA339" s="23">
        <f t="shared" si="171"/>
        <v>0.4</v>
      </c>
      <c r="AB339" s="24">
        <f t="shared" si="167"/>
        <v>1</v>
      </c>
      <c r="AC339" s="28">
        <f t="shared" si="180"/>
        <v>0.33333333333333331</v>
      </c>
      <c r="AD339" s="29">
        <f t="shared" si="181"/>
        <v>8.3333333333333329E-2</v>
      </c>
      <c r="AE339" s="30">
        <v>0</v>
      </c>
      <c r="AF339" s="23">
        <f t="shared" si="182"/>
        <v>1.25</v>
      </c>
      <c r="AG339" s="24">
        <f t="shared" si="174"/>
        <v>5</v>
      </c>
      <c r="AH339" s="28">
        <f t="shared" si="183"/>
        <v>0</v>
      </c>
      <c r="AI339" s="29">
        <f t="shared" si="184"/>
        <v>0</v>
      </c>
      <c r="AJ339" s="31">
        <v>1</v>
      </c>
      <c r="AK339" s="31">
        <v>1</v>
      </c>
      <c r="AL339" s="31">
        <v>1</v>
      </c>
      <c r="AM339" s="31">
        <v>0</v>
      </c>
      <c r="AN339" s="31">
        <v>1</v>
      </c>
      <c r="AO339" s="31">
        <v>1</v>
      </c>
      <c r="AP339" s="31">
        <v>1</v>
      </c>
      <c r="AQ339" s="31">
        <v>0</v>
      </c>
      <c r="AR339" s="23">
        <f t="shared" si="185"/>
        <v>1</v>
      </c>
      <c r="AS339" s="24">
        <f t="shared" si="186"/>
        <v>6</v>
      </c>
      <c r="AT339" s="28">
        <f t="shared" si="187"/>
        <v>0.75</v>
      </c>
      <c r="AU339" s="28">
        <f t="shared" si="188"/>
        <v>0.11249999999999999</v>
      </c>
      <c r="AV339" s="32">
        <v>75</v>
      </c>
      <c r="AW339" s="32">
        <v>75</v>
      </c>
      <c r="AX339" s="32">
        <v>75</v>
      </c>
      <c r="AY339" s="32">
        <v>85</v>
      </c>
      <c r="AZ339" s="32">
        <v>80</v>
      </c>
      <c r="BA339" s="32">
        <v>100</v>
      </c>
      <c r="BB339" s="23">
        <f t="shared" ca="1" si="189"/>
        <v>0.8</v>
      </c>
      <c r="BC339" s="33">
        <f t="shared" si="195"/>
        <v>81.666666666666671</v>
      </c>
      <c r="BD339" s="28">
        <f t="shared" si="190"/>
        <v>0.93877551020408168</v>
      </c>
      <c r="BE339" s="28">
        <f t="shared" si="191"/>
        <v>0.18775510204081636</v>
      </c>
      <c r="BF339" s="34">
        <f ca="1">Q339+AA339+AF339+AR339+BB339</f>
        <v>3.6500000000000004</v>
      </c>
      <c r="BG339" s="34">
        <f>AVERAGE(AV339:AZ339)</f>
        <v>78</v>
      </c>
      <c r="BH339" s="35">
        <f>T339+AD339+AI339+AU339+BE339</f>
        <v>0.38986936419028972</v>
      </c>
      <c r="BI339" s="36" t="str">
        <f ca="1">IF(K339&lt;365,"New CE",(IF(BH339&gt;=100%,"Promote",IF(BH339&gt;=90%,"Sangat Baik",IF(BH339&gt;=80%,"Baik",IF(BH339&gt;=70%,"Lebih Dari Cukup",IF(BH339&gt;=60%,"Cukup","Kurang")))))))</f>
        <v>Kurang</v>
      </c>
      <c r="BJ339" s="36" t="s">
        <v>860</v>
      </c>
      <c r="BK339" s="58" t="s">
        <v>54</v>
      </c>
      <c r="BL339" s="59" t="e">
        <v>#N/A</v>
      </c>
    </row>
    <row r="340" spans="1:64" x14ac:dyDescent="0.35">
      <c r="A340" s="19">
        <v>336</v>
      </c>
      <c r="B340" s="13" t="s">
        <v>800</v>
      </c>
      <c r="C340" s="54" t="s">
        <v>801</v>
      </c>
      <c r="D340" s="76" t="s">
        <v>54</v>
      </c>
      <c r="E340" s="38" t="s">
        <v>114</v>
      </c>
      <c r="F340" s="13" t="s">
        <v>74</v>
      </c>
      <c r="G340" s="13" t="s">
        <v>75</v>
      </c>
      <c r="H340" s="65">
        <v>45566</v>
      </c>
      <c r="I340" s="21">
        <f t="shared" ca="1" si="193"/>
        <v>45974</v>
      </c>
      <c r="J340" s="13" t="str">
        <f t="shared" ca="1" si="175"/>
        <v xml:space="preserve">1 Tahun 1 Bulan 12 Hari </v>
      </c>
      <c r="K340" s="13">
        <f t="shared" ca="1" si="194"/>
        <v>587520</v>
      </c>
      <c r="L340" s="13">
        <v>211</v>
      </c>
      <c r="M340" s="13">
        <v>4</v>
      </c>
      <c r="N340" s="13">
        <v>1415</v>
      </c>
      <c r="O340" s="22">
        <f t="shared" si="176"/>
        <v>353.75</v>
      </c>
      <c r="P340" s="13">
        <v>6</v>
      </c>
      <c r="Q340" s="23">
        <f t="shared" si="177"/>
        <v>0.2</v>
      </c>
      <c r="R340" s="24">
        <f t="shared" si="178"/>
        <v>1</v>
      </c>
      <c r="S340" s="25">
        <f t="shared" si="192"/>
        <v>1.6961130742049468E-2</v>
      </c>
      <c r="T340" s="25">
        <f t="shared" si="179"/>
        <v>3.3922261484098937E-3</v>
      </c>
      <c r="U340" s="26">
        <v>3.6030092592592593E-2</v>
      </c>
      <c r="V340" s="26">
        <v>0</v>
      </c>
      <c r="W340" s="26">
        <v>0</v>
      </c>
      <c r="X340" s="27">
        <f t="shared" ref="X340:X349" si="196">IF(U340=TIME(0,0,0), 0, IF(U340&lt;=TIME(1,30,0), 1, 0))</f>
        <v>1</v>
      </c>
      <c r="Y340" s="27">
        <f t="shared" ref="Y340:Y349" si="197">IF(V340=TIME(0,0,0), 0, IF(V340&lt;=TIME(3,0,0), 1, 0))</f>
        <v>0</v>
      </c>
      <c r="Z340" s="27">
        <f t="shared" si="170"/>
        <v>0</v>
      </c>
      <c r="AA340" s="23">
        <f t="shared" si="171"/>
        <v>0.4</v>
      </c>
      <c r="AB340" s="24">
        <f t="shared" si="167"/>
        <v>1</v>
      </c>
      <c r="AC340" s="28">
        <f t="shared" si="180"/>
        <v>0.33333333333333331</v>
      </c>
      <c r="AD340" s="29">
        <f t="shared" si="181"/>
        <v>8.3333333333333329E-2</v>
      </c>
      <c r="AE340" s="30">
        <v>0</v>
      </c>
      <c r="AF340" s="23">
        <f t="shared" si="182"/>
        <v>1.25</v>
      </c>
      <c r="AG340" s="24">
        <f t="shared" si="174"/>
        <v>5</v>
      </c>
      <c r="AH340" s="28">
        <f t="shared" si="183"/>
        <v>0</v>
      </c>
      <c r="AI340" s="29">
        <f t="shared" si="184"/>
        <v>0</v>
      </c>
      <c r="AJ340" s="31">
        <v>1</v>
      </c>
      <c r="AK340" s="31">
        <v>1</v>
      </c>
      <c r="AL340" s="31">
        <v>1</v>
      </c>
      <c r="AM340" s="31">
        <v>0</v>
      </c>
      <c r="AN340" s="31">
        <v>1</v>
      </c>
      <c r="AO340" s="31">
        <v>1</v>
      </c>
      <c r="AP340" s="31">
        <v>1</v>
      </c>
      <c r="AQ340" s="31">
        <v>0</v>
      </c>
      <c r="AR340" s="23">
        <f t="shared" si="185"/>
        <v>1</v>
      </c>
      <c r="AS340" s="24">
        <f t="shared" si="186"/>
        <v>6</v>
      </c>
      <c r="AT340" s="28">
        <f t="shared" si="187"/>
        <v>0.75</v>
      </c>
      <c r="AU340" s="28">
        <f t="shared" si="188"/>
        <v>0.11249999999999999</v>
      </c>
      <c r="AV340" s="32">
        <v>75</v>
      </c>
      <c r="AW340" s="32">
        <v>75</v>
      </c>
      <c r="AX340" s="32">
        <v>75</v>
      </c>
      <c r="AY340" s="32">
        <v>80</v>
      </c>
      <c r="AZ340" s="32">
        <v>85</v>
      </c>
      <c r="BA340" s="32">
        <v>100</v>
      </c>
      <c r="BB340" s="23">
        <f t="shared" ca="1" si="189"/>
        <v>0.8</v>
      </c>
      <c r="BC340" s="33">
        <f t="shared" si="195"/>
        <v>81.666666666666671</v>
      </c>
      <c r="BD340" s="28">
        <f t="shared" si="190"/>
        <v>0.93877551020408168</v>
      </c>
      <c r="BE340" s="28">
        <f t="shared" si="191"/>
        <v>0.18775510204081636</v>
      </c>
      <c r="BF340" s="34">
        <f ca="1">Q340+AA340+AF340+AR340+BB340</f>
        <v>3.6500000000000004</v>
      </c>
      <c r="BG340" s="34">
        <f>AVERAGE(AV340:AZ340)</f>
        <v>78</v>
      </c>
      <c r="BH340" s="35">
        <f>T340+AD340+AI340+AU340+BE340</f>
        <v>0.38698066152255955</v>
      </c>
      <c r="BI340" s="36" t="str">
        <f ca="1">IF(K340&lt;365,"New CE",(IF(BH340&gt;=100%,"Promote",IF(BH340&gt;=90%,"Sangat Baik",IF(BH340&gt;=80%,"Baik",IF(BH340&gt;=70%,"Lebih Dari Cukup",IF(BH340&gt;=60%,"Cukup","Kurang")))))))</f>
        <v>Kurang</v>
      </c>
      <c r="BJ340" s="36" t="s">
        <v>860</v>
      </c>
      <c r="BK340" s="58" t="s">
        <v>54</v>
      </c>
      <c r="BL340" s="59" t="e">
        <v>#N/A</v>
      </c>
    </row>
    <row r="341" spans="1:64" x14ac:dyDescent="0.35">
      <c r="A341" s="19">
        <v>337</v>
      </c>
      <c r="B341" s="13" t="s">
        <v>802</v>
      </c>
      <c r="C341" s="54" t="s">
        <v>803</v>
      </c>
      <c r="D341" s="76" t="s">
        <v>54</v>
      </c>
      <c r="E341" s="38" t="s">
        <v>580</v>
      </c>
      <c r="F341" s="13" t="s">
        <v>50</v>
      </c>
      <c r="G341" s="13" t="s">
        <v>75</v>
      </c>
      <c r="H341" s="65">
        <v>45444</v>
      </c>
      <c r="I341" s="21">
        <f t="shared" ca="1" si="193"/>
        <v>45974</v>
      </c>
      <c r="J341" s="13" t="str">
        <f t="shared" ca="1" si="175"/>
        <v xml:space="preserve">1 Tahun 5 Bulan 12 Hari </v>
      </c>
      <c r="K341" s="13">
        <f t="shared" ca="1" si="194"/>
        <v>763200</v>
      </c>
      <c r="L341" s="13">
        <v>194</v>
      </c>
      <c r="M341" s="13">
        <v>2</v>
      </c>
      <c r="N341" s="13">
        <v>1461</v>
      </c>
      <c r="O341" s="22">
        <f t="shared" si="176"/>
        <v>730.5</v>
      </c>
      <c r="P341" s="13">
        <v>11</v>
      </c>
      <c r="Q341" s="23">
        <f t="shared" si="177"/>
        <v>0.2</v>
      </c>
      <c r="R341" s="24">
        <f t="shared" si="178"/>
        <v>1</v>
      </c>
      <c r="S341" s="25">
        <f t="shared" si="192"/>
        <v>1.5058179329226557E-2</v>
      </c>
      <c r="T341" s="25">
        <f t="shared" si="179"/>
        <v>3.0116358658453116E-3</v>
      </c>
      <c r="U341" s="26">
        <v>3.4282407407407407E-2</v>
      </c>
      <c r="V341" s="26">
        <v>0</v>
      </c>
      <c r="W341" s="26">
        <v>0</v>
      </c>
      <c r="X341" s="27">
        <f t="shared" si="196"/>
        <v>1</v>
      </c>
      <c r="Y341" s="27">
        <f t="shared" si="197"/>
        <v>0</v>
      </c>
      <c r="Z341" s="27">
        <f t="shared" si="170"/>
        <v>0</v>
      </c>
      <c r="AA341" s="23">
        <f t="shared" si="171"/>
        <v>0.4</v>
      </c>
      <c r="AB341" s="24">
        <f t="shared" ref="AB341:AB349" si="198">X341+Y341+Z341</f>
        <v>1</v>
      </c>
      <c r="AC341" s="28">
        <f t="shared" si="180"/>
        <v>0.33333333333333331</v>
      </c>
      <c r="AD341" s="29">
        <f t="shared" si="181"/>
        <v>8.3333333333333329E-2</v>
      </c>
      <c r="AE341" s="30">
        <v>0</v>
      </c>
      <c r="AF341" s="23">
        <f t="shared" si="182"/>
        <v>1.25</v>
      </c>
      <c r="AG341" s="24">
        <f t="shared" si="174"/>
        <v>5</v>
      </c>
      <c r="AH341" s="28">
        <f t="shared" si="183"/>
        <v>0</v>
      </c>
      <c r="AI341" s="29">
        <f t="shared" si="184"/>
        <v>0</v>
      </c>
      <c r="AJ341" s="31">
        <v>1</v>
      </c>
      <c r="AK341" s="31">
        <v>1</v>
      </c>
      <c r="AL341" s="31">
        <v>1</v>
      </c>
      <c r="AM341" s="31">
        <v>0</v>
      </c>
      <c r="AN341" s="31">
        <v>1</v>
      </c>
      <c r="AO341" s="31">
        <v>1</v>
      </c>
      <c r="AP341" s="31">
        <v>1</v>
      </c>
      <c r="AQ341" s="31">
        <v>0</v>
      </c>
      <c r="AR341" s="23">
        <f t="shared" si="185"/>
        <v>1</v>
      </c>
      <c r="AS341" s="24">
        <f t="shared" si="186"/>
        <v>6</v>
      </c>
      <c r="AT341" s="28">
        <f t="shared" si="187"/>
        <v>0.75</v>
      </c>
      <c r="AU341" s="28">
        <f t="shared" si="188"/>
        <v>0.11249999999999999</v>
      </c>
      <c r="AV341" s="32">
        <v>75</v>
      </c>
      <c r="AW341" s="32">
        <v>75</v>
      </c>
      <c r="AX341" s="32">
        <v>90</v>
      </c>
      <c r="AY341" s="32">
        <v>85</v>
      </c>
      <c r="AZ341" s="32">
        <v>80</v>
      </c>
      <c r="BA341" s="32">
        <v>100</v>
      </c>
      <c r="BB341" s="23">
        <f t="shared" ca="1" si="189"/>
        <v>0.8</v>
      </c>
      <c r="BC341" s="33">
        <f t="shared" si="195"/>
        <v>84.166666666666671</v>
      </c>
      <c r="BD341" s="28">
        <f t="shared" si="190"/>
        <v>0.94059405940594054</v>
      </c>
      <c r="BE341" s="28">
        <f t="shared" si="191"/>
        <v>0.18811881188118812</v>
      </c>
      <c r="BF341" s="34">
        <f ca="1">Q341+AA341+AF341+AR341+BB341</f>
        <v>3.6500000000000004</v>
      </c>
      <c r="BG341" s="34">
        <f>AVERAGE(AV341:AZ341)</f>
        <v>81</v>
      </c>
      <c r="BH341" s="35">
        <f>T341+AD341+AI341+AU341+BE341</f>
        <v>0.38696378108036678</v>
      </c>
      <c r="BI341" s="36" t="str">
        <f ca="1">IF(K341&lt;365,"New CE",(IF(BH341&gt;=100%,"Promote",IF(BH341&gt;=90%,"Sangat Baik",IF(BH341&gt;=80%,"Baik",IF(BH341&gt;=70%,"Lebih Dari Cukup",IF(BH341&gt;=60%,"Cukup","Kurang")))))))</f>
        <v>Kurang</v>
      </c>
      <c r="BJ341" s="36" t="s">
        <v>860</v>
      </c>
      <c r="BK341" s="58" t="s">
        <v>54</v>
      </c>
      <c r="BL341" s="59" t="e">
        <v>#N/A</v>
      </c>
    </row>
    <row r="342" spans="1:64" x14ac:dyDescent="0.35">
      <c r="A342" s="19">
        <v>338</v>
      </c>
      <c r="B342" s="13" t="s">
        <v>804</v>
      </c>
      <c r="C342" s="54" t="s">
        <v>805</v>
      </c>
      <c r="D342" s="76" t="s">
        <v>54</v>
      </c>
      <c r="E342" s="38" t="s">
        <v>92</v>
      </c>
      <c r="F342" s="13" t="s">
        <v>74</v>
      </c>
      <c r="G342" s="13" t="s">
        <v>75</v>
      </c>
      <c r="H342" s="65">
        <v>45566</v>
      </c>
      <c r="I342" s="21">
        <f t="shared" ca="1" si="193"/>
        <v>45974</v>
      </c>
      <c r="J342" s="13" t="str">
        <f t="shared" ca="1" si="175"/>
        <v xml:space="preserve">1 Tahun 1 Bulan 12 Hari </v>
      </c>
      <c r="K342" s="13">
        <f t="shared" ca="1" si="194"/>
        <v>587520</v>
      </c>
      <c r="L342" s="13">
        <v>69</v>
      </c>
      <c r="M342" s="13">
        <v>1</v>
      </c>
      <c r="N342" s="13">
        <v>505</v>
      </c>
      <c r="O342" s="22">
        <f t="shared" si="176"/>
        <v>505</v>
      </c>
      <c r="P342" s="13">
        <v>6</v>
      </c>
      <c r="Q342" s="23">
        <f t="shared" si="177"/>
        <v>0.2</v>
      </c>
      <c r="R342" s="24">
        <f t="shared" si="178"/>
        <v>1</v>
      </c>
      <c r="S342" s="25">
        <f t="shared" si="192"/>
        <v>1.1881188118811881E-2</v>
      </c>
      <c r="T342" s="25">
        <f t="shared" si="179"/>
        <v>2.3762376237623766E-3</v>
      </c>
      <c r="U342" s="26">
        <v>0</v>
      </c>
      <c r="V342" s="26">
        <v>0</v>
      </c>
      <c r="W342" s="26">
        <v>0.27296296296296296</v>
      </c>
      <c r="X342" s="27">
        <f t="shared" si="196"/>
        <v>0</v>
      </c>
      <c r="Y342" s="27">
        <f t="shared" si="197"/>
        <v>0</v>
      </c>
      <c r="Z342" s="27">
        <f t="shared" si="170"/>
        <v>1</v>
      </c>
      <c r="AA342" s="23">
        <f t="shared" si="171"/>
        <v>0.4</v>
      </c>
      <c r="AB342" s="24">
        <f t="shared" si="198"/>
        <v>1</v>
      </c>
      <c r="AC342" s="28">
        <f t="shared" si="180"/>
        <v>0.33333333333333331</v>
      </c>
      <c r="AD342" s="29">
        <f t="shared" si="181"/>
        <v>8.3333333333333329E-2</v>
      </c>
      <c r="AE342" s="30">
        <v>0</v>
      </c>
      <c r="AF342" s="23">
        <f t="shared" si="182"/>
        <v>1.25</v>
      </c>
      <c r="AG342" s="24">
        <f t="shared" si="174"/>
        <v>5</v>
      </c>
      <c r="AH342" s="28">
        <f t="shared" si="183"/>
        <v>0</v>
      </c>
      <c r="AI342" s="29">
        <f t="shared" si="184"/>
        <v>0</v>
      </c>
      <c r="AJ342" s="31">
        <v>1</v>
      </c>
      <c r="AK342" s="31">
        <v>1</v>
      </c>
      <c r="AL342" s="31">
        <v>1</v>
      </c>
      <c r="AM342" s="31">
        <v>0</v>
      </c>
      <c r="AN342" s="31">
        <v>1</v>
      </c>
      <c r="AO342" s="31">
        <v>1</v>
      </c>
      <c r="AP342" s="31">
        <v>1</v>
      </c>
      <c r="AQ342" s="31">
        <v>0</v>
      </c>
      <c r="AR342" s="23">
        <f t="shared" si="185"/>
        <v>1</v>
      </c>
      <c r="AS342" s="24">
        <f t="shared" si="186"/>
        <v>6</v>
      </c>
      <c r="AT342" s="28">
        <f t="shared" si="187"/>
        <v>0.75</v>
      </c>
      <c r="AU342" s="28">
        <f t="shared" si="188"/>
        <v>0.11249999999999999</v>
      </c>
      <c r="AV342" s="32">
        <v>75</v>
      </c>
      <c r="AW342" s="32">
        <v>75</v>
      </c>
      <c r="AX342" s="32">
        <v>75</v>
      </c>
      <c r="AY342" s="32">
        <v>75</v>
      </c>
      <c r="AZ342" s="32">
        <v>75</v>
      </c>
      <c r="BA342" s="32">
        <v>100</v>
      </c>
      <c r="BB342" s="23">
        <f t="shared" ca="1" si="189"/>
        <v>0.8</v>
      </c>
      <c r="BC342" s="33">
        <f t="shared" si="195"/>
        <v>79.166666666666671</v>
      </c>
      <c r="BD342" s="28">
        <f t="shared" si="190"/>
        <v>0.93684210526315792</v>
      </c>
      <c r="BE342" s="28">
        <f t="shared" si="191"/>
        <v>0.1873684210526316</v>
      </c>
      <c r="BF342" s="34">
        <f ca="1">Q342+AA342+AF342+AR342+BB342</f>
        <v>3.6500000000000004</v>
      </c>
      <c r="BG342" s="34">
        <f>AVERAGE(AV342:AZ342)</f>
        <v>75</v>
      </c>
      <c r="BH342" s="35">
        <f>T342+AD342+AI342+AU342+BE342</f>
        <v>0.38557799200972731</v>
      </c>
      <c r="BI342" s="36" t="str">
        <f ca="1">IF(K342&lt;365,"New CE",(IF(BH342&gt;=100%,"Promote",IF(BH342&gt;=90%,"Sangat Baik",IF(BH342&gt;=80%,"Baik",IF(BH342&gt;=70%,"Lebih Dari Cukup",IF(BH342&gt;=60%,"Cukup","Kurang")))))))</f>
        <v>Kurang</v>
      </c>
      <c r="BJ342" s="36" t="s">
        <v>860</v>
      </c>
      <c r="BK342" s="58" t="s">
        <v>54</v>
      </c>
      <c r="BL342" s="59" t="e">
        <v>#N/A</v>
      </c>
    </row>
    <row r="343" spans="1:64" x14ac:dyDescent="0.35">
      <c r="A343" s="19">
        <v>339</v>
      </c>
      <c r="B343" s="37" t="s">
        <v>806</v>
      </c>
      <c r="C343" s="38" t="s">
        <v>807</v>
      </c>
      <c r="D343" s="76" t="s">
        <v>54</v>
      </c>
      <c r="E343" s="37" t="s">
        <v>241</v>
      </c>
      <c r="F343" s="13" t="s">
        <v>74</v>
      </c>
      <c r="G343" s="13" t="s">
        <v>75</v>
      </c>
      <c r="H343" s="65">
        <v>45444</v>
      </c>
      <c r="I343" s="21">
        <f t="shared" ca="1" si="193"/>
        <v>45974</v>
      </c>
      <c r="J343" s="13" t="str">
        <f t="shared" ca="1" si="175"/>
        <v xml:space="preserve">1 Tahun 5 Bulan 12 Hari </v>
      </c>
      <c r="K343" s="13">
        <f t="shared" ca="1" si="194"/>
        <v>763200</v>
      </c>
      <c r="L343" s="13">
        <v>142</v>
      </c>
      <c r="M343" s="13">
        <v>3</v>
      </c>
      <c r="N343" s="13">
        <v>1369</v>
      </c>
      <c r="O343" s="22">
        <f t="shared" si="176"/>
        <v>456.33333333333331</v>
      </c>
      <c r="P343" s="13">
        <v>210</v>
      </c>
      <c r="Q343" s="23">
        <f t="shared" si="177"/>
        <v>0.4</v>
      </c>
      <c r="R343" s="24">
        <f t="shared" si="178"/>
        <v>2</v>
      </c>
      <c r="S343" s="25">
        <f t="shared" si="192"/>
        <v>0.46018991964937911</v>
      </c>
      <c r="T343" s="25">
        <f t="shared" si="179"/>
        <v>9.2037983929875833E-2</v>
      </c>
      <c r="U343" s="26">
        <v>734.60227523894844</v>
      </c>
      <c r="V343" s="26">
        <v>7596.0796913580234</v>
      </c>
      <c r="W343" s="26">
        <v>0</v>
      </c>
      <c r="X343" s="27">
        <f t="shared" si="196"/>
        <v>0</v>
      </c>
      <c r="Y343" s="27">
        <f t="shared" si="197"/>
        <v>0</v>
      </c>
      <c r="Z343" s="27">
        <f t="shared" si="170"/>
        <v>0</v>
      </c>
      <c r="AA343" s="23">
        <f t="shared" si="171"/>
        <v>0</v>
      </c>
      <c r="AB343" s="24">
        <f t="shared" si="198"/>
        <v>0</v>
      </c>
      <c r="AC343" s="28">
        <f t="shared" si="180"/>
        <v>0</v>
      </c>
      <c r="AD343" s="29">
        <f t="shared" si="181"/>
        <v>0</v>
      </c>
      <c r="AE343" s="30">
        <v>0</v>
      </c>
      <c r="AF343" s="23">
        <f t="shared" si="182"/>
        <v>1.25</v>
      </c>
      <c r="AG343" s="24">
        <f t="shared" si="174"/>
        <v>5</v>
      </c>
      <c r="AH343" s="28">
        <f t="shared" si="183"/>
        <v>0</v>
      </c>
      <c r="AI343" s="29">
        <f t="shared" si="184"/>
        <v>0</v>
      </c>
      <c r="AJ343" s="31">
        <v>1</v>
      </c>
      <c r="AK343" s="31">
        <v>1</v>
      </c>
      <c r="AL343" s="31">
        <v>1</v>
      </c>
      <c r="AM343" s="31">
        <v>0</v>
      </c>
      <c r="AN343" s="31">
        <v>0</v>
      </c>
      <c r="AO343" s="31">
        <v>0</v>
      </c>
      <c r="AP343" s="31">
        <v>0</v>
      </c>
      <c r="AQ343" s="31">
        <v>0</v>
      </c>
      <c r="AR343" s="23">
        <f t="shared" si="185"/>
        <v>0.6</v>
      </c>
      <c r="AS343" s="24">
        <f t="shared" si="186"/>
        <v>3</v>
      </c>
      <c r="AT343" s="28">
        <f t="shared" si="187"/>
        <v>0.375</v>
      </c>
      <c r="AU343" s="28">
        <f t="shared" si="188"/>
        <v>5.6249999999999994E-2</v>
      </c>
      <c r="AV343" s="32">
        <v>75</v>
      </c>
      <c r="AW343" s="32">
        <v>75</v>
      </c>
      <c r="AX343" s="32">
        <v>75</v>
      </c>
      <c r="AY343" s="32">
        <v>80</v>
      </c>
      <c r="AZ343" s="32">
        <v>80</v>
      </c>
      <c r="BA343" s="32">
        <v>100</v>
      </c>
      <c r="BB343" s="23">
        <f t="shared" ca="1" si="189"/>
        <v>0.8</v>
      </c>
      <c r="BC343" s="33">
        <f t="shared" si="195"/>
        <v>80.833333333333329</v>
      </c>
      <c r="BD343" s="28">
        <f t="shared" si="190"/>
        <v>0.93814432989690721</v>
      </c>
      <c r="BE343" s="28">
        <f t="shared" si="191"/>
        <v>0.18762886597938144</v>
      </c>
      <c r="BF343" s="34">
        <f ca="1">Q343+AA343+AF343+AR343+BB343</f>
        <v>3.05</v>
      </c>
      <c r="BG343" s="34">
        <f>AVERAGE(AV343:AZ343)</f>
        <v>77</v>
      </c>
      <c r="BH343" s="35">
        <f>T343+AD343+AI343+AU343+BE343</f>
        <v>0.3359168499092573</v>
      </c>
      <c r="BI343" s="36" t="str">
        <f ca="1">IF(K343&lt;365,"New CE",(IF(BH343&gt;=100%,"Promote",IF(BH343&gt;=90%,"Sangat Baik",IF(BH343&gt;=80%,"Baik",IF(BH343&gt;=70%,"Lebih Dari Cukup",IF(BH343&gt;=60%,"Cukup","Kurang")))))))</f>
        <v>Kurang</v>
      </c>
      <c r="BJ343" s="36" t="s">
        <v>860</v>
      </c>
      <c r="BK343" s="58" t="s">
        <v>54</v>
      </c>
      <c r="BL343" s="59" t="str">
        <v>Taufiqurahman Yusuf</v>
      </c>
    </row>
    <row r="344" spans="1:64" x14ac:dyDescent="0.35">
      <c r="A344" s="19">
        <v>340</v>
      </c>
      <c r="B344" s="13" t="s">
        <v>808</v>
      </c>
      <c r="C344" s="54" t="s">
        <v>809</v>
      </c>
      <c r="D344" s="76" t="s">
        <v>54</v>
      </c>
      <c r="E344" s="38" t="s">
        <v>284</v>
      </c>
      <c r="F344" s="13" t="s">
        <v>44</v>
      </c>
      <c r="G344" s="13" t="s">
        <v>75</v>
      </c>
      <c r="H344" s="65">
        <v>45566</v>
      </c>
      <c r="I344" s="21">
        <f t="shared" ca="1" si="193"/>
        <v>45974</v>
      </c>
      <c r="J344" s="13" t="str">
        <f t="shared" ca="1" si="175"/>
        <v xml:space="preserve">1 Tahun 1 Bulan 12 Hari </v>
      </c>
      <c r="K344" s="13">
        <f t="shared" ca="1" si="194"/>
        <v>587520</v>
      </c>
      <c r="L344" s="13">
        <v>98</v>
      </c>
      <c r="M344" s="13">
        <v>1</v>
      </c>
      <c r="N344" s="13">
        <v>454</v>
      </c>
      <c r="O344" s="22">
        <f t="shared" si="176"/>
        <v>454</v>
      </c>
      <c r="P344" s="13">
        <v>7</v>
      </c>
      <c r="Q344" s="23">
        <f t="shared" si="177"/>
        <v>0.2</v>
      </c>
      <c r="R344" s="24">
        <f t="shared" si="178"/>
        <v>1</v>
      </c>
      <c r="S344" s="25">
        <f t="shared" si="192"/>
        <v>1.5418502202643172E-2</v>
      </c>
      <c r="T344" s="25">
        <f t="shared" si="179"/>
        <v>3.0837004405286344E-3</v>
      </c>
      <c r="U344" s="26">
        <v>5.9340277777777777E-2</v>
      </c>
      <c r="V344" s="26">
        <v>0</v>
      </c>
      <c r="W344" s="26">
        <v>0</v>
      </c>
      <c r="X344" s="27">
        <f t="shared" si="196"/>
        <v>1</v>
      </c>
      <c r="Y344" s="27">
        <f t="shared" si="197"/>
        <v>0</v>
      </c>
      <c r="Z344" s="27">
        <f t="shared" si="170"/>
        <v>0</v>
      </c>
      <c r="AA344" s="23">
        <f t="shared" si="171"/>
        <v>0.4</v>
      </c>
      <c r="AB344" s="24">
        <f t="shared" si="198"/>
        <v>1</v>
      </c>
      <c r="AC344" s="28">
        <f t="shared" si="180"/>
        <v>0.33333333333333331</v>
      </c>
      <c r="AD344" s="29">
        <f t="shared" si="181"/>
        <v>8.3333333333333329E-2</v>
      </c>
      <c r="AE344" s="30">
        <v>0</v>
      </c>
      <c r="AF344" s="23">
        <f t="shared" si="182"/>
        <v>1.25</v>
      </c>
      <c r="AG344" s="24">
        <f t="shared" si="174"/>
        <v>5</v>
      </c>
      <c r="AH344" s="28">
        <f t="shared" si="183"/>
        <v>0</v>
      </c>
      <c r="AI344" s="29">
        <f t="shared" si="184"/>
        <v>0</v>
      </c>
      <c r="AJ344" s="31">
        <v>1</v>
      </c>
      <c r="AK344" s="31">
        <v>1</v>
      </c>
      <c r="AL344" s="31">
        <v>1</v>
      </c>
      <c r="AM344" s="31">
        <v>0</v>
      </c>
      <c r="AN344" s="31">
        <v>0</v>
      </c>
      <c r="AO344" s="31">
        <v>0</v>
      </c>
      <c r="AP344" s="31">
        <v>0</v>
      </c>
      <c r="AQ344" s="31">
        <v>0</v>
      </c>
      <c r="AR344" s="23">
        <f t="shared" si="185"/>
        <v>0.6</v>
      </c>
      <c r="AS344" s="24">
        <f t="shared" si="186"/>
        <v>3</v>
      </c>
      <c r="AT344" s="28">
        <f t="shared" si="187"/>
        <v>0.375</v>
      </c>
      <c r="AU344" s="28">
        <f t="shared" si="188"/>
        <v>5.6249999999999994E-2</v>
      </c>
      <c r="AV344" s="32">
        <v>75</v>
      </c>
      <c r="AW344" s="32">
        <v>75</v>
      </c>
      <c r="AX344" s="32">
        <v>80</v>
      </c>
      <c r="AY344" s="32">
        <v>80</v>
      </c>
      <c r="AZ344" s="32">
        <v>80</v>
      </c>
      <c r="BA344" s="32">
        <v>100</v>
      </c>
      <c r="BB344" s="23">
        <f t="shared" ca="1" si="189"/>
        <v>0.8</v>
      </c>
      <c r="BC344" s="33">
        <f t="shared" si="195"/>
        <v>81.666666666666671</v>
      </c>
      <c r="BD344" s="28">
        <f t="shared" si="190"/>
        <v>0.93877551020408168</v>
      </c>
      <c r="BE344" s="28">
        <f t="shared" si="191"/>
        <v>0.18775510204081636</v>
      </c>
      <c r="BF344" s="34">
        <f ca="1">Q344+AA344+AF344+AR344+BB344</f>
        <v>3.25</v>
      </c>
      <c r="BG344" s="34">
        <f>AVERAGE(AV344:AZ344)</f>
        <v>78</v>
      </c>
      <c r="BH344" s="35">
        <f>T344+AD344+AI344+AU344+BE344</f>
        <v>0.33042213581467833</v>
      </c>
      <c r="BI344" s="36" t="str">
        <f ca="1">IF(K344&lt;365,"New CE",(IF(BH344&gt;=100%,"Promote",IF(BH344&gt;=90%,"Sangat Baik",IF(BH344&gt;=80%,"Baik",IF(BH344&gt;=70%,"Lebih Dari Cukup",IF(BH344&gt;=60%,"Cukup","Kurang")))))))</f>
        <v>Kurang</v>
      </c>
      <c r="BJ344" s="36" t="s">
        <v>860</v>
      </c>
      <c r="BK344" s="58" t="s">
        <v>54</v>
      </c>
      <c r="BL344" s="59" t="e">
        <v>#N/A</v>
      </c>
    </row>
    <row r="345" spans="1:64" x14ac:dyDescent="0.35">
      <c r="A345" s="19">
        <v>341</v>
      </c>
      <c r="B345" s="13" t="s">
        <v>810</v>
      </c>
      <c r="C345" s="54" t="s">
        <v>811</v>
      </c>
      <c r="D345" s="76" t="s">
        <v>54</v>
      </c>
      <c r="E345" s="38" t="s">
        <v>95</v>
      </c>
      <c r="F345" s="13" t="s">
        <v>50</v>
      </c>
      <c r="G345" s="13" t="s">
        <v>75</v>
      </c>
      <c r="H345" s="65">
        <v>45444</v>
      </c>
      <c r="I345" s="21">
        <f t="shared" ca="1" si="193"/>
        <v>45974</v>
      </c>
      <c r="J345" s="13" t="str">
        <f t="shared" ca="1" si="175"/>
        <v xml:space="preserve">1 Tahun 5 Bulan 12 Hari </v>
      </c>
      <c r="K345" s="13">
        <f t="shared" ca="1" si="194"/>
        <v>763200</v>
      </c>
      <c r="L345" s="13">
        <v>897</v>
      </c>
      <c r="M345" s="13">
        <v>13</v>
      </c>
      <c r="N345" s="13">
        <v>6212</v>
      </c>
      <c r="O345" s="22">
        <f t="shared" si="176"/>
        <v>477.84615384615387</v>
      </c>
      <c r="P345" s="13">
        <v>21</v>
      </c>
      <c r="Q345" s="23">
        <f t="shared" si="177"/>
        <v>0.2</v>
      </c>
      <c r="R345" s="24">
        <f t="shared" si="178"/>
        <v>1</v>
      </c>
      <c r="S345" s="25">
        <f t="shared" si="192"/>
        <v>4.3947198969735993E-2</v>
      </c>
      <c r="T345" s="25">
        <f t="shared" si="179"/>
        <v>8.7894397939471992E-3</v>
      </c>
      <c r="U345" s="26">
        <v>8.430555555555555E-2</v>
      </c>
      <c r="V345" s="26">
        <v>0</v>
      </c>
      <c r="W345" s="26">
        <v>0</v>
      </c>
      <c r="X345" s="27">
        <f t="shared" si="196"/>
        <v>0</v>
      </c>
      <c r="Y345" s="27">
        <f t="shared" si="197"/>
        <v>0</v>
      </c>
      <c r="Z345" s="27">
        <f t="shared" si="170"/>
        <v>0</v>
      </c>
      <c r="AA345" s="23">
        <f t="shared" si="171"/>
        <v>0</v>
      </c>
      <c r="AB345" s="24">
        <f t="shared" si="198"/>
        <v>0</v>
      </c>
      <c r="AC345" s="28">
        <f t="shared" si="180"/>
        <v>0</v>
      </c>
      <c r="AD345" s="29">
        <f t="shared" si="181"/>
        <v>0</v>
      </c>
      <c r="AE345" s="30">
        <v>0</v>
      </c>
      <c r="AF345" s="23">
        <f t="shared" si="182"/>
        <v>1.25</v>
      </c>
      <c r="AG345" s="24">
        <f t="shared" si="174"/>
        <v>5</v>
      </c>
      <c r="AH345" s="28">
        <f t="shared" si="183"/>
        <v>0</v>
      </c>
      <c r="AI345" s="29">
        <f t="shared" si="184"/>
        <v>0</v>
      </c>
      <c r="AJ345" s="31">
        <v>1</v>
      </c>
      <c r="AK345" s="31">
        <v>1</v>
      </c>
      <c r="AL345" s="31">
        <v>1</v>
      </c>
      <c r="AM345" s="31">
        <v>0</v>
      </c>
      <c r="AN345" s="31">
        <v>1</v>
      </c>
      <c r="AO345" s="31">
        <v>1</v>
      </c>
      <c r="AP345" s="31">
        <v>1</v>
      </c>
      <c r="AQ345" s="31">
        <v>0</v>
      </c>
      <c r="AR345" s="23">
        <f t="shared" si="185"/>
        <v>1</v>
      </c>
      <c r="AS345" s="24">
        <f t="shared" si="186"/>
        <v>6</v>
      </c>
      <c r="AT345" s="28">
        <f t="shared" si="187"/>
        <v>0.75</v>
      </c>
      <c r="AU345" s="28">
        <f t="shared" si="188"/>
        <v>0.11249999999999999</v>
      </c>
      <c r="AV345" s="32">
        <v>75</v>
      </c>
      <c r="AW345" s="32">
        <v>75</v>
      </c>
      <c r="AX345" s="32">
        <v>90</v>
      </c>
      <c r="AY345" s="32">
        <v>85</v>
      </c>
      <c r="AZ345" s="32">
        <v>80</v>
      </c>
      <c r="BA345" s="32">
        <v>100</v>
      </c>
      <c r="BB345" s="23">
        <f t="shared" ca="1" si="189"/>
        <v>0.8</v>
      </c>
      <c r="BC345" s="33">
        <f t="shared" si="195"/>
        <v>84.166666666666671</v>
      </c>
      <c r="BD345" s="28">
        <f t="shared" si="190"/>
        <v>0.94059405940594054</v>
      </c>
      <c r="BE345" s="28">
        <f t="shared" si="191"/>
        <v>0.18811881188118812</v>
      </c>
      <c r="BF345" s="34">
        <f ca="1">Q345+AA345+AF345+AR345+BB345</f>
        <v>3.25</v>
      </c>
      <c r="BG345" s="34">
        <f>AVERAGE(AV345:AZ345)</f>
        <v>81</v>
      </c>
      <c r="BH345" s="35">
        <f>T345+AD345+AI345+AU345+BE345</f>
        <v>0.3094082516751353</v>
      </c>
      <c r="BI345" s="36" t="str">
        <f ca="1">IF(K345&lt;365,"New CE",(IF(BH345&gt;=100%,"Promote",IF(BH345&gt;=90%,"Sangat Baik",IF(BH345&gt;=80%,"Baik",IF(BH345&gt;=70%,"Lebih Dari Cukup",IF(BH345&gt;=60%,"Cukup","Kurang")))))))</f>
        <v>Kurang</v>
      </c>
      <c r="BJ345" s="36" t="s">
        <v>860</v>
      </c>
      <c r="BK345" s="58" t="s">
        <v>54</v>
      </c>
      <c r="BL345" s="59" t="e">
        <v>#N/A</v>
      </c>
    </row>
    <row r="346" spans="1:64" x14ac:dyDescent="0.35">
      <c r="A346" s="19">
        <v>342</v>
      </c>
      <c r="B346" s="13" t="s">
        <v>812</v>
      </c>
      <c r="C346" s="54" t="s">
        <v>813</v>
      </c>
      <c r="D346" s="76" t="s">
        <v>54</v>
      </c>
      <c r="E346" s="38" t="s">
        <v>136</v>
      </c>
      <c r="F346" s="13" t="s">
        <v>44</v>
      </c>
      <c r="G346" s="13" t="s">
        <v>75</v>
      </c>
      <c r="H346" s="65">
        <v>45566</v>
      </c>
      <c r="I346" s="21">
        <f t="shared" ca="1" si="193"/>
        <v>45974</v>
      </c>
      <c r="J346" s="13" t="str">
        <f t="shared" ca="1" si="175"/>
        <v xml:space="preserve">1 Tahun 1 Bulan 12 Hari </v>
      </c>
      <c r="K346" s="13">
        <f t="shared" ca="1" si="194"/>
        <v>587520</v>
      </c>
      <c r="L346" s="13">
        <v>305</v>
      </c>
      <c r="M346" s="13">
        <v>6</v>
      </c>
      <c r="N346" s="13">
        <v>2074</v>
      </c>
      <c r="O346" s="22">
        <f t="shared" si="176"/>
        <v>345.66666666666669</v>
      </c>
      <c r="P346" s="13">
        <v>8</v>
      </c>
      <c r="Q346" s="23">
        <f t="shared" si="177"/>
        <v>0.2</v>
      </c>
      <c r="R346" s="24">
        <f t="shared" si="178"/>
        <v>1</v>
      </c>
      <c r="S346" s="25">
        <f t="shared" si="192"/>
        <v>2.3143683702989391E-2</v>
      </c>
      <c r="T346" s="25">
        <f t="shared" si="179"/>
        <v>4.6287367405978786E-3</v>
      </c>
      <c r="U346" s="26">
        <v>0</v>
      </c>
      <c r="V346" s="26">
        <v>0</v>
      </c>
      <c r="W346" s="26">
        <v>0</v>
      </c>
      <c r="X346" s="27">
        <f t="shared" si="196"/>
        <v>0</v>
      </c>
      <c r="Y346" s="27">
        <f t="shared" si="197"/>
        <v>0</v>
      </c>
      <c r="Z346" s="27">
        <f t="shared" si="170"/>
        <v>0</v>
      </c>
      <c r="AA346" s="23">
        <f t="shared" si="171"/>
        <v>0</v>
      </c>
      <c r="AB346" s="24">
        <f t="shared" si="198"/>
        <v>0</v>
      </c>
      <c r="AC346" s="28">
        <f t="shared" si="180"/>
        <v>0</v>
      </c>
      <c r="AD346" s="29">
        <f t="shared" si="181"/>
        <v>0</v>
      </c>
      <c r="AE346" s="30">
        <v>0</v>
      </c>
      <c r="AF346" s="23">
        <f t="shared" si="182"/>
        <v>1.25</v>
      </c>
      <c r="AG346" s="24">
        <f t="shared" si="174"/>
        <v>5</v>
      </c>
      <c r="AH346" s="28">
        <f t="shared" si="183"/>
        <v>0</v>
      </c>
      <c r="AI346" s="29">
        <f t="shared" si="184"/>
        <v>0</v>
      </c>
      <c r="AJ346" s="31">
        <v>1</v>
      </c>
      <c r="AK346" s="31">
        <v>1</v>
      </c>
      <c r="AL346" s="31">
        <v>1</v>
      </c>
      <c r="AM346" s="31">
        <v>0</v>
      </c>
      <c r="AN346" s="31">
        <v>1</v>
      </c>
      <c r="AO346" s="31">
        <v>1</v>
      </c>
      <c r="AP346" s="31">
        <v>1</v>
      </c>
      <c r="AQ346" s="31">
        <v>0</v>
      </c>
      <c r="AR346" s="23">
        <f t="shared" si="185"/>
        <v>1</v>
      </c>
      <c r="AS346" s="24">
        <f t="shared" si="186"/>
        <v>6</v>
      </c>
      <c r="AT346" s="28">
        <f t="shared" si="187"/>
        <v>0.75</v>
      </c>
      <c r="AU346" s="28">
        <f t="shared" si="188"/>
        <v>0.11249999999999999</v>
      </c>
      <c r="AV346" s="32">
        <v>75</v>
      </c>
      <c r="AW346" s="32">
        <v>75</v>
      </c>
      <c r="AX346" s="32">
        <v>80</v>
      </c>
      <c r="AY346" s="32">
        <v>80</v>
      </c>
      <c r="AZ346" s="32">
        <v>80</v>
      </c>
      <c r="BA346" s="32">
        <v>100</v>
      </c>
      <c r="BB346" s="23">
        <f t="shared" ca="1" si="189"/>
        <v>0.8</v>
      </c>
      <c r="BC346" s="33">
        <f t="shared" si="195"/>
        <v>81.666666666666671</v>
      </c>
      <c r="BD346" s="28">
        <f t="shared" si="190"/>
        <v>0.93877551020408168</v>
      </c>
      <c r="BE346" s="28">
        <f t="shared" si="191"/>
        <v>0.18775510204081636</v>
      </c>
      <c r="BF346" s="34">
        <f ca="1">Q346+AA346+AF346+AR346+BB346</f>
        <v>3.25</v>
      </c>
      <c r="BG346" s="34">
        <f>AVERAGE(AV346:AZ346)</f>
        <v>78</v>
      </c>
      <c r="BH346" s="35">
        <f>T346+AD346+AI346+AU346+BE346</f>
        <v>0.30488383878141423</v>
      </c>
      <c r="BI346" s="36" t="str">
        <f ca="1">IF(K346&lt;365,"New CE",(IF(BH346&gt;=100%,"Promote",IF(BH346&gt;=90%,"Sangat Baik",IF(BH346&gt;=80%,"Baik",IF(BH346&gt;=70%,"Lebih Dari Cukup",IF(BH346&gt;=60%,"Cukup","Kurang")))))))</f>
        <v>Kurang</v>
      </c>
      <c r="BJ346" s="36" t="s">
        <v>860</v>
      </c>
      <c r="BK346" s="58" t="s">
        <v>54</v>
      </c>
      <c r="BL346" s="59" t="e">
        <v>#N/A</v>
      </c>
    </row>
    <row r="347" spans="1:64" x14ac:dyDescent="0.35">
      <c r="A347" s="19">
        <v>343</v>
      </c>
      <c r="B347" s="13" t="s">
        <v>814</v>
      </c>
      <c r="C347" s="54" t="s">
        <v>815</v>
      </c>
      <c r="D347" s="76" t="s">
        <v>54</v>
      </c>
      <c r="E347" s="38" t="s">
        <v>790</v>
      </c>
      <c r="F347" s="13" t="s">
        <v>44</v>
      </c>
      <c r="G347" s="13" t="s">
        <v>75</v>
      </c>
      <c r="H347" s="65">
        <v>45566</v>
      </c>
      <c r="I347" s="21">
        <f t="shared" ca="1" si="193"/>
        <v>45974</v>
      </c>
      <c r="J347" s="13" t="str">
        <f t="shared" ca="1" si="175"/>
        <v xml:space="preserve">1 Tahun 1 Bulan 12 Hari </v>
      </c>
      <c r="K347" s="13">
        <f t="shared" ca="1" si="194"/>
        <v>587520</v>
      </c>
      <c r="L347" s="13">
        <v>52</v>
      </c>
      <c r="M347" s="13">
        <v>2</v>
      </c>
      <c r="N347" s="13">
        <v>685</v>
      </c>
      <c r="O347" s="22">
        <f t="shared" si="176"/>
        <v>342.5</v>
      </c>
      <c r="P347" s="13">
        <v>7</v>
      </c>
      <c r="Q347" s="23">
        <f t="shared" si="177"/>
        <v>0.2</v>
      </c>
      <c r="R347" s="24">
        <f t="shared" si="178"/>
        <v>1</v>
      </c>
      <c r="S347" s="25">
        <f t="shared" si="192"/>
        <v>2.0437956204379562E-2</v>
      </c>
      <c r="T347" s="25">
        <f t="shared" si="179"/>
        <v>4.0875912408759128E-3</v>
      </c>
      <c r="U347" s="26">
        <v>0</v>
      </c>
      <c r="V347" s="26">
        <v>0</v>
      </c>
      <c r="W347" s="26">
        <v>0</v>
      </c>
      <c r="X347" s="27">
        <f t="shared" si="196"/>
        <v>0</v>
      </c>
      <c r="Y347" s="27">
        <f t="shared" si="197"/>
        <v>0</v>
      </c>
      <c r="Z347" s="27">
        <f t="shared" si="170"/>
        <v>0</v>
      </c>
      <c r="AA347" s="23">
        <f t="shared" si="171"/>
        <v>0</v>
      </c>
      <c r="AB347" s="24">
        <f t="shared" si="198"/>
        <v>0</v>
      </c>
      <c r="AC347" s="28">
        <f t="shared" si="180"/>
        <v>0</v>
      </c>
      <c r="AD347" s="29">
        <f t="shared" si="181"/>
        <v>0</v>
      </c>
      <c r="AE347" s="30">
        <v>0</v>
      </c>
      <c r="AF347" s="23">
        <f t="shared" si="182"/>
        <v>1.25</v>
      </c>
      <c r="AG347" s="24">
        <f t="shared" si="174"/>
        <v>5</v>
      </c>
      <c r="AH347" s="28">
        <f t="shared" si="183"/>
        <v>0</v>
      </c>
      <c r="AI347" s="29">
        <f t="shared" si="184"/>
        <v>0</v>
      </c>
      <c r="AJ347" s="31">
        <v>1</v>
      </c>
      <c r="AK347" s="31">
        <v>1</v>
      </c>
      <c r="AL347" s="31">
        <v>1</v>
      </c>
      <c r="AM347" s="31">
        <v>0</v>
      </c>
      <c r="AN347" s="31">
        <v>1</v>
      </c>
      <c r="AO347" s="31">
        <v>1</v>
      </c>
      <c r="AP347" s="31">
        <v>1</v>
      </c>
      <c r="AQ347" s="31">
        <v>0</v>
      </c>
      <c r="AR347" s="23">
        <f t="shared" si="185"/>
        <v>1</v>
      </c>
      <c r="AS347" s="24">
        <f t="shared" si="186"/>
        <v>6</v>
      </c>
      <c r="AT347" s="28">
        <f t="shared" si="187"/>
        <v>0.75</v>
      </c>
      <c r="AU347" s="28">
        <f t="shared" si="188"/>
        <v>0.11249999999999999</v>
      </c>
      <c r="AV347" s="32">
        <v>75</v>
      </c>
      <c r="AW347" s="32">
        <v>75</v>
      </c>
      <c r="AX347" s="32">
        <v>80</v>
      </c>
      <c r="AY347" s="32">
        <v>80</v>
      </c>
      <c r="AZ347" s="32">
        <v>80</v>
      </c>
      <c r="BA347" s="32">
        <v>100</v>
      </c>
      <c r="BB347" s="23">
        <f t="shared" ca="1" si="189"/>
        <v>0.8</v>
      </c>
      <c r="BC347" s="33">
        <f t="shared" si="195"/>
        <v>81.666666666666671</v>
      </c>
      <c r="BD347" s="28">
        <f t="shared" si="190"/>
        <v>0.93877551020408168</v>
      </c>
      <c r="BE347" s="28">
        <f t="shared" si="191"/>
        <v>0.18775510204081636</v>
      </c>
      <c r="BF347" s="34">
        <f ca="1">Q347+AA347+AF347+AR347+BB347</f>
        <v>3.25</v>
      </c>
      <c r="BG347" s="34">
        <f>AVERAGE(AV347:AZ347)</f>
        <v>78</v>
      </c>
      <c r="BH347" s="35">
        <f>T347+AD347+AI347+AU347+BE347</f>
        <v>0.30434269328169228</v>
      </c>
      <c r="BI347" s="36" t="str">
        <f ca="1">IF(K347&lt;365,"New CE",(IF(BH347&gt;=100%,"Promote",IF(BH347&gt;=90%,"Sangat Baik",IF(BH347&gt;=80%,"Baik",IF(BH347&gt;=70%,"Lebih Dari Cukup",IF(BH347&gt;=60%,"Cukup","Kurang")))))))</f>
        <v>Kurang</v>
      </c>
      <c r="BJ347" s="36" t="s">
        <v>860</v>
      </c>
      <c r="BK347" s="58" t="s">
        <v>54</v>
      </c>
      <c r="BL347" s="59" t="e">
        <v>#N/A</v>
      </c>
    </row>
    <row r="348" spans="1:64" x14ac:dyDescent="0.35">
      <c r="A348" s="19">
        <v>344</v>
      </c>
      <c r="B348" s="13" t="s">
        <v>816</v>
      </c>
      <c r="C348" s="54" t="s">
        <v>817</v>
      </c>
      <c r="D348" s="76" t="s">
        <v>54</v>
      </c>
      <c r="E348" s="38" t="s">
        <v>818</v>
      </c>
      <c r="F348" s="13" t="s">
        <v>50</v>
      </c>
      <c r="G348" s="13" t="s">
        <v>75</v>
      </c>
      <c r="H348" s="65">
        <v>45566</v>
      </c>
      <c r="I348" s="21">
        <f t="shared" ca="1" si="193"/>
        <v>45974</v>
      </c>
      <c r="J348" s="13" t="str">
        <f t="shared" ca="1" si="175"/>
        <v xml:space="preserve">1 Tahun 1 Bulan 12 Hari </v>
      </c>
      <c r="K348" s="13">
        <f t="shared" ca="1" si="194"/>
        <v>587520</v>
      </c>
      <c r="L348" s="13">
        <v>0</v>
      </c>
      <c r="M348" s="13">
        <v>1</v>
      </c>
      <c r="N348" s="13">
        <v>0</v>
      </c>
      <c r="O348" s="22">
        <f t="shared" si="176"/>
        <v>0</v>
      </c>
      <c r="P348" s="13">
        <v>0</v>
      </c>
      <c r="Q348" s="23">
        <f t="shared" si="177"/>
        <v>0.2</v>
      </c>
      <c r="R348" s="24">
        <f t="shared" si="178"/>
        <v>1</v>
      </c>
      <c r="S348" s="25">
        <v>0</v>
      </c>
      <c r="T348" s="25">
        <f t="shared" si="179"/>
        <v>0</v>
      </c>
      <c r="U348" s="26">
        <v>0</v>
      </c>
      <c r="V348" s="26">
        <v>0</v>
      </c>
      <c r="W348" s="26">
        <v>0</v>
      </c>
      <c r="X348" s="27">
        <f t="shared" si="196"/>
        <v>0</v>
      </c>
      <c r="Y348" s="27">
        <f t="shared" si="197"/>
        <v>0</v>
      </c>
      <c r="Z348" s="27">
        <f t="shared" si="170"/>
        <v>0</v>
      </c>
      <c r="AA348" s="23">
        <f t="shared" si="171"/>
        <v>0</v>
      </c>
      <c r="AB348" s="24">
        <f t="shared" si="198"/>
        <v>0</v>
      </c>
      <c r="AC348" s="28">
        <f t="shared" si="180"/>
        <v>0</v>
      </c>
      <c r="AD348" s="29">
        <f t="shared" si="181"/>
        <v>0</v>
      </c>
      <c r="AE348" s="30">
        <v>0</v>
      </c>
      <c r="AF348" s="23">
        <f t="shared" si="182"/>
        <v>1.25</v>
      </c>
      <c r="AG348" s="24">
        <f t="shared" si="174"/>
        <v>5</v>
      </c>
      <c r="AH348" s="28">
        <f t="shared" si="183"/>
        <v>0</v>
      </c>
      <c r="AI348" s="29">
        <f t="shared" si="184"/>
        <v>0</v>
      </c>
      <c r="AJ348" s="31">
        <v>1</v>
      </c>
      <c r="AK348" s="31">
        <v>1</v>
      </c>
      <c r="AL348" s="31">
        <v>1</v>
      </c>
      <c r="AM348" s="31">
        <v>0</v>
      </c>
      <c r="AN348" s="31">
        <v>1</v>
      </c>
      <c r="AO348" s="31">
        <v>1</v>
      </c>
      <c r="AP348" s="31">
        <v>1</v>
      </c>
      <c r="AQ348" s="31">
        <v>0</v>
      </c>
      <c r="AR348" s="23">
        <f t="shared" si="185"/>
        <v>1</v>
      </c>
      <c r="AS348" s="24">
        <f t="shared" si="186"/>
        <v>6</v>
      </c>
      <c r="AT348" s="28">
        <f t="shared" si="187"/>
        <v>0.75</v>
      </c>
      <c r="AU348" s="28">
        <f t="shared" si="188"/>
        <v>0.11249999999999999</v>
      </c>
      <c r="AV348" s="32">
        <v>75</v>
      </c>
      <c r="AW348" s="32">
        <v>75</v>
      </c>
      <c r="AX348" s="32">
        <v>90</v>
      </c>
      <c r="AY348" s="32">
        <v>85</v>
      </c>
      <c r="AZ348" s="32">
        <v>80</v>
      </c>
      <c r="BA348" s="32">
        <v>100</v>
      </c>
      <c r="BB348" s="23">
        <f t="shared" ca="1" si="189"/>
        <v>0.8</v>
      </c>
      <c r="BC348" s="33">
        <f t="shared" si="195"/>
        <v>84.166666666666671</v>
      </c>
      <c r="BD348" s="28">
        <f t="shared" si="190"/>
        <v>0.94059405940594054</v>
      </c>
      <c r="BE348" s="28">
        <f t="shared" si="191"/>
        <v>0.18811881188118812</v>
      </c>
      <c r="BF348" s="34">
        <f ca="1">Q348+AA348+AF348+AR348+BB348</f>
        <v>3.25</v>
      </c>
      <c r="BG348" s="34">
        <f>AVERAGE(AV348:AZ348)</f>
        <v>81</v>
      </c>
      <c r="BH348" s="35">
        <f>T348+AD348+AI348+AU348+BE348</f>
        <v>0.30061881188118811</v>
      </c>
      <c r="BI348" s="36" t="str">
        <f ca="1">IF(K348&lt;365,"New CE",(IF(BH348&gt;=100%,"Promote",IF(BH348&gt;=90%,"Sangat Baik",IF(BH348&gt;=80%,"Baik",IF(BH348&gt;=70%,"Lebih Dari Cukup",IF(BH348&gt;=60%,"Cukup","Kurang")))))))</f>
        <v>Kurang</v>
      </c>
      <c r="BJ348" s="36" t="s">
        <v>860</v>
      </c>
      <c r="BK348" s="58" t="s">
        <v>54</v>
      </c>
      <c r="BL348" s="59" t="e">
        <v>#N/A</v>
      </c>
    </row>
    <row r="349" spans="1:64" x14ac:dyDescent="0.35">
      <c r="A349" s="19">
        <v>345</v>
      </c>
      <c r="B349" s="13" t="s">
        <v>819</v>
      </c>
      <c r="C349" s="54" t="s">
        <v>820</v>
      </c>
      <c r="D349" s="76" t="s">
        <v>54</v>
      </c>
      <c r="E349" s="38" t="s">
        <v>821</v>
      </c>
      <c r="F349" s="13" t="s">
        <v>50</v>
      </c>
      <c r="G349" s="13" t="s">
        <v>75</v>
      </c>
      <c r="H349" s="65">
        <v>45566</v>
      </c>
      <c r="I349" s="21">
        <f t="shared" ca="1" si="193"/>
        <v>45974</v>
      </c>
      <c r="J349" s="13" t="str">
        <f t="shared" ca="1" si="175"/>
        <v xml:space="preserve">1 Tahun 1 Bulan 12 Hari </v>
      </c>
      <c r="K349" s="13">
        <f t="shared" ca="1" si="194"/>
        <v>587520</v>
      </c>
      <c r="L349" s="13">
        <v>0</v>
      </c>
      <c r="M349" s="13">
        <v>1</v>
      </c>
      <c r="N349" s="13">
        <v>0</v>
      </c>
      <c r="O349" s="22">
        <f t="shared" si="176"/>
        <v>0</v>
      </c>
      <c r="P349" s="13">
        <v>0</v>
      </c>
      <c r="Q349" s="23">
        <f t="shared" si="177"/>
        <v>0.2</v>
      </c>
      <c r="R349" s="24">
        <f t="shared" si="178"/>
        <v>1</v>
      </c>
      <c r="S349" s="25">
        <v>0</v>
      </c>
      <c r="T349" s="25">
        <f t="shared" si="179"/>
        <v>0</v>
      </c>
      <c r="U349" s="26">
        <v>0</v>
      </c>
      <c r="V349" s="26">
        <v>0</v>
      </c>
      <c r="W349" s="26">
        <v>0</v>
      </c>
      <c r="X349" s="27">
        <f t="shared" si="196"/>
        <v>0</v>
      </c>
      <c r="Y349" s="27">
        <f t="shared" si="197"/>
        <v>0</v>
      </c>
      <c r="Z349" s="27">
        <f t="shared" si="170"/>
        <v>0</v>
      </c>
      <c r="AA349" s="23">
        <f t="shared" si="171"/>
        <v>0</v>
      </c>
      <c r="AB349" s="24">
        <f t="shared" si="198"/>
        <v>0</v>
      </c>
      <c r="AC349" s="28">
        <f t="shared" si="180"/>
        <v>0</v>
      </c>
      <c r="AD349" s="29">
        <f t="shared" si="181"/>
        <v>0</v>
      </c>
      <c r="AE349" s="30">
        <v>0</v>
      </c>
      <c r="AF349" s="23">
        <f t="shared" si="182"/>
        <v>1.25</v>
      </c>
      <c r="AG349" s="24">
        <f t="shared" si="174"/>
        <v>5</v>
      </c>
      <c r="AH349" s="28">
        <f t="shared" si="183"/>
        <v>0</v>
      </c>
      <c r="AI349" s="29">
        <f t="shared" si="184"/>
        <v>0</v>
      </c>
      <c r="AJ349" s="31">
        <v>1</v>
      </c>
      <c r="AK349" s="31">
        <v>1</v>
      </c>
      <c r="AL349" s="31">
        <v>1</v>
      </c>
      <c r="AM349" s="31">
        <v>0</v>
      </c>
      <c r="AN349" s="31">
        <v>1</v>
      </c>
      <c r="AO349" s="31">
        <v>1</v>
      </c>
      <c r="AP349" s="31">
        <v>1</v>
      </c>
      <c r="AQ349" s="31">
        <v>0</v>
      </c>
      <c r="AR349" s="23">
        <f t="shared" si="185"/>
        <v>1</v>
      </c>
      <c r="AS349" s="24">
        <f t="shared" si="186"/>
        <v>6</v>
      </c>
      <c r="AT349" s="28">
        <f t="shared" si="187"/>
        <v>0.75</v>
      </c>
      <c r="AU349" s="28">
        <f t="shared" si="188"/>
        <v>0.11249999999999999</v>
      </c>
      <c r="AV349" s="32">
        <v>75</v>
      </c>
      <c r="AW349" s="32">
        <v>75</v>
      </c>
      <c r="AX349" s="32">
        <v>90</v>
      </c>
      <c r="AY349" s="32">
        <v>85</v>
      </c>
      <c r="AZ349" s="32">
        <v>80</v>
      </c>
      <c r="BA349" s="32">
        <v>100</v>
      </c>
      <c r="BB349" s="23">
        <f t="shared" ca="1" si="189"/>
        <v>0.8</v>
      </c>
      <c r="BC349" s="33">
        <f t="shared" si="195"/>
        <v>84.166666666666671</v>
      </c>
      <c r="BD349" s="28">
        <f t="shared" si="190"/>
        <v>0.94059405940594054</v>
      </c>
      <c r="BE349" s="28">
        <f t="shared" si="191"/>
        <v>0.18811881188118812</v>
      </c>
      <c r="BF349" s="34">
        <f ca="1">Q349+AA349+AF349+AR349+BB349</f>
        <v>3.25</v>
      </c>
      <c r="BG349" s="34">
        <f>AVERAGE(AV349:AZ349)</f>
        <v>81</v>
      </c>
      <c r="BH349" s="35">
        <f>T349+AD349+AI349+AU349+BE349</f>
        <v>0.30061881188118811</v>
      </c>
      <c r="BI349" s="36" t="str">
        <f ca="1">IF(K349&lt;365,"New CE",(IF(BH349&gt;=100%,"Promote",IF(BH349&gt;=90%,"Sangat Baik",IF(BH349&gt;=80%,"Baik",IF(BH349&gt;=70%,"Lebih Dari Cukup",IF(BH349&gt;=60%,"Cukup","Kurang")))))))</f>
        <v>Kurang</v>
      </c>
      <c r="BJ349" s="36" t="s">
        <v>860</v>
      </c>
      <c r="BK349" s="58" t="s">
        <v>54</v>
      </c>
      <c r="BL349" s="59" t="e">
        <v>#N/A</v>
      </c>
    </row>
    <row r="350" spans="1:64" x14ac:dyDescent="0.35">
      <c r="A350" s="19">
        <v>346</v>
      </c>
      <c r="B350" s="13" t="s">
        <v>864</v>
      </c>
      <c r="C350" s="59" t="s">
        <v>897</v>
      </c>
      <c r="D350" s="76" t="s">
        <v>54</v>
      </c>
      <c r="E350" s="38" t="s">
        <v>49</v>
      </c>
      <c r="F350" s="13" t="s">
        <v>50</v>
      </c>
      <c r="G350" s="13" t="s">
        <v>75</v>
      </c>
      <c r="H350" s="67">
        <v>45601</v>
      </c>
      <c r="I350" s="21">
        <f t="shared" ca="1" si="193"/>
        <v>45974</v>
      </c>
      <c r="J350" s="13" t="str">
        <f t="shared" ref="J350:J365" ca="1" si="199">DATEDIF(H350,NOW(),"Y") &amp; " Tahun " &amp; DATEDIF(H350,NOW(),"YM") &amp; " Bulan " &amp; DATEDIF(H350,NOW(),"MD") &amp; " Hari "</f>
        <v xml:space="preserve">1 Tahun 0 Bulan 8 Hari </v>
      </c>
      <c r="K350" s="13">
        <f t="shared" ref="K350:K365" ca="1" si="200">1440*(I350-H350)</f>
        <v>537120</v>
      </c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  <c r="AC350" s="59"/>
      <c r="AD350" s="59"/>
      <c r="AE350" s="59"/>
      <c r="AF350" s="59"/>
      <c r="AG350" s="59"/>
      <c r="AH350" s="59"/>
      <c r="AI350" s="59"/>
      <c r="AJ350" s="59"/>
      <c r="AK350" s="59"/>
      <c r="AL350" s="59"/>
      <c r="AM350" s="59"/>
      <c r="AN350" s="59"/>
      <c r="AO350" s="59"/>
      <c r="AP350" s="59"/>
      <c r="AQ350" s="59"/>
      <c r="AR350" s="59"/>
      <c r="AS350" s="59"/>
      <c r="AT350" s="59"/>
      <c r="AU350" s="59"/>
      <c r="AV350" s="59"/>
      <c r="AW350" s="59"/>
      <c r="AX350" s="59"/>
      <c r="AY350" s="59"/>
      <c r="AZ350" s="59"/>
      <c r="BA350" s="59"/>
      <c r="BB350" s="59"/>
      <c r="BC350" s="59"/>
      <c r="BD350" s="59"/>
      <c r="BE350" s="59"/>
      <c r="BF350" s="59"/>
      <c r="BG350" s="59"/>
      <c r="BH350" s="59"/>
      <c r="BI350" s="59"/>
      <c r="BJ350" s="59"/>
      <c r="BK350" s="59"/>
      <c r="BL350" s="59"/>
    </row>
    <row r="351" spans="1:64" x14ac:dyDescent="0.35">
      <c r="A351" s="19">
        <v>347</v>
      </c>
      <c r="B351" s="13" t="s">
        <v>865</v>
      </c>
      <c r="C351" s="59" t="s">
        <v>889</v>
      </c>
      <c r="D351" s="76" t="s">
        <v>54</v>
      </c>
      <c r="E351" s="38" t="s">
        <v>182</v>
      </c>
      <c r="F351" s="13" t="s">
        <v>74</v>
      </c>
      <c r="G351" s="13" t="s">
        <v>75</v>
      </c>
      <c r="H351" s="67">
        <v>45603</v>
      </c>
      <c r="I351" s="21">
        <f t="shared" ca="1" si="193"/>
        <v>45974</v>
      </c>
      <c r="J351" s="13" t="str">
        <f t="shared" ca="1" si="199"/>
        <v xml:space="preserve">1 Tahun 0 Bulan 6 Hari </v>
      </c>
      <c r="K351" s="13">
        <f t="shared" ca="1" si="200"/>
        <v>534240</v>
      </c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  <c r="AC351" s="59"/>
      <c r="AD351" s="59"/>
      <c r="AE351" s="59"/>
      <c r="AF351" s="59"/>
      <c r="AG351" s="59"/>
      <c r="AH351" s="59"/>
      <c r="AI351" s="59"/>
      <c r="AJ351" s="59"/>
      <c r="AK351" s="59"/>
      <c r="AL351" s="59"/>
      <c r="AM351" s="59"/>
      <c r="AN351" s="59"/>
      <c r="AO351" s="59"/>
      <c r="AP351" s="59"/>
      <c r="AQ351" s="59"/>
      <c r="AR351" s="59"/>
      <c r="AS351" s="59"/>
      <c r="AT351" s="59"/>
      <c r="AU351" s="59"/>
      <c r="AV351" s="59"/>
      <c r="AW351" s="59"/>
      <c r="AX351" s="59"/>
      <c r="AY351" s="59"/>
      <c r="AZ351" s="59"/>
      <c r="BA351" s="59"/>
      <c r="BB351" s="59"/>
      <c r="BC351" s="59"/>
      <c r="BD351" s="59"/>
      <c r="BE351" s="59"/>
      <c r="BF351" s="59"/>
      <c r="BG351" s="59"/>
      <c r="BH351" s="59"/>
      <c r="BI351" s="59"/>
      <c r="BJ351" s="59"/>
      <c r="BK351" s="59"/>
      <c r="BL351" s="59"/>
    </row>
    <row r="352" spans="1:64" x14ac:dyDescent="0.35">
      <c r="A352" s="19">
        <v>348</v>
      </c>
      <c r="B352" s="59" t="s">
        <v>866</v>
      </c>
      <c r="C352" s="59" t="s">
        <v>893</v>
      </c>
      <c r="D352" s="76" t="s">
        <v>54</v>
      </c>
      <c r="E352" s="38" t="s">
        <v>300</v>
      </c>
      <c r="F352" s="13" t="s">
        <v>74</v>
      </c>
      <c r="G352" s="13" t="s">
        <v>75</v>
      </c>
      <c r="H352" s="67">
        <v>45601</v>
      </c>
      <c r="I352" s="21">
        <f t="shared" ca="1" si="193"/>
        <v>45974</v>
      </c>
      <c r="J352" s="13" t="str">
        <f t="shared" ca="1" si="199"/>
        <v xml:space="preserve">1 Tahun 0 Bulan 8 Hari </v>
      </c>
      <c r="K352" s="13">
        <f t="shared" ca="1" si="200"/>
        <v>537120</v>
      </c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  <c r="AC352" s="59"/>
      <c r="AD352" s="59"/>
      <c r="AE352" s="59"/>
      <c r="AF352" s="59"/>
      <c r="AG352" s="59"/>
      <c r="AH352" s="59"/>
      <c r="AI352" s="59"/>
      <c r="AJ352" s="59"/>
      <c r="AK352" s="59"/>
      <c r="AL352" s="59"/>
      <c r="AM352" s="59"/>
      <c r="AN352" s="59"/>
      <c r="AO352" s="59"/>
      <c r="AP352" s="59"/>
      <c r="AQ352" s="59"/>
      <c r="AR352" s="59"/>
      <c r="AS352" s="59"/>
      <c r="AT352" s="59"/>
      <c r="AU352" s="59"/>
      <c r="AV352" s="59"/>
      <c r="AW352" s="59"/>
      <c r="AX352" s="59"/>
      <c r="AY352" s="59"/>
      <c r="AZ352" s="59"/>
      <c r="BA352" s="59"/>
      <c r="BB352" s="59"/>
      <c r="BC352" s="59"/>
      <c r="BD352" s="59"/>
      <c r="BE352" s="59"/>
      <c r="BF352" s="59"/>
      <c r="BG352" s="59"/>
      <c r="BH352" s="59"/>
      <c r="BI352" s="59"/>
      <c r="BJ352" s="59"/>
      <c r="BK352" s="59"/>
      <c r="BL352" s="59"/>
    </row>
    <row r="353" spans="1:64" x14ac:dyDescent="0.35">
      <c r="A353" s="19">
        <v>349</v>
      </c>
      <c r="B353" s="73" t="s">
        <v>867</v>
      </c>
      <c r="C353" s="59" t="s">
        <v>892</v>
      </c>
      <c r="D353" s="76" t="s">
        <v>54</v>
      </c>
      <c r="E353" s="38" t="s">
        <v>277</v>
      </c>
      <c r="F353" s="13" t="s">
        <v>74</v>
      </c>
      <c r="G353" s="13" t="s">
        <v>75</v>
      </c>
      <c r="H353" s="67">
        <v>45603</v>
      </c>
      <c r="I353" s="21">
        <f t="shared" ca="1" si="193"/>
        <v>45974</v>
      </c>
      <c r="J353" s="13" t="str">
        <f t="shared" ca="1" si="199"/>
        <v xml:space="preserve">1 Tahun 0 Bulan 6 Hari </v>
      </c>
      <c r="K353" s="13">
        <f t="shared" ca="1" si="200"/>
        <v>534240</v>
      </c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  <c r="AC353" s="59"/>
      <c r="AD353" s="59"/>
      <c r="AE353" s="59"/>
      <c r="AF353" s="59"/>
      <c r="AG353" s="59"/>
      <c r="AH353" s="59"/>
      <c r="AI353" s="59"/>
      <c r="AJ353" s="59"/>
      <c r="AK353" s="59"/>
      <c r="AL353" s="59"/>
      <c r="AM353" s="59"/>
      <c r="AN353" s="59"/>
      <c r="AO353" s="59"/>
      <c r="AP353" s="59"/>
      <c r="AQ353" s="59"/>
      <c r="AR353" s="59"/>
      <c r="AS353" s="59"/>
      <c r="AT353" s="59"/>
      <c r="AU353" s="59"/>
      <c r="AV353" s="59"/>
      <c r="AW353" s="59"/>
      <c r="AX353" s="59"/>
      <c r="AY353" s="59"/>
      <c r="AZ353" s="59"/>
      <c r="BA353" s="59"/>
      <c r="BB353" s="59"/>
      <c r="BC353" s="59"/>
      <c r="BD353" s="59"/>
      <c r="BE353" s="59"/>
      <c r="BF353" s="59"/>
      <c r="BG353" s="59"/>
      <c r="BH353" s="59"/>
      <c r="BI353" s="59"/>
      <c r="BJ353" s="59"/>
      <c r="BK353" s="59"/>
      <c r="BL353" s="59"/>
    </row>
    <row r="354" spans="1:64" x14ac:dyDescent="0.35">
      <c r="A354" s="19">
        <v>350</v>
      </c>
      <c r="B354" s="74" t="s">
        <v>869</v>
      </c>
      <c r="C354" s="60" t="s">
        <v>868</v>
      </c>
      <c r="D354" s="76" t="s">
        <v>54</v>
      </c>
      <c r="E354" s="60" t="s">
        <v>182</v>
      </c>
      <c r="F354" s="13" t="s">
        <v>74</v>
      </c>
      <c r="G354" s="13" t="s">
        <v>75</v>
      </c>
      <c r="H354" s="67">
        <v>45678</v>
      </c>
      <c r="I354" s="21">
        <f t="shared" ca="1" si="193"/>
        <v>45974</v>
      </c>
      <c r="J354" s="13" t="str">
        <f t="shared" ca="1" si="199"/>
        <v xml:space="preserve">0 Tahun 9 Bulan 23 Hari </v>
      </c>
      <c r="K354" s="13">
        <f t="shared" ca="1" si="200"/>
        <v>426240</v>
      </c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  <c r="AC354" s="59"/>
      <c r="AD354" s="59"/>
      <c r="AE354" s="59"/>
      <c r="AF354" s="59"/>
      <c r="AG354" s="59"/>
      <c r="AH354" s="59"/>
      <c r="AI354" s="59"/>
      <c r="AJ354" s="59"/>
      <c r="AK354" s="59"/>
      <c r="AL354" s="59"/>
      <c r="AM354" s="59"/>
      <c r="AN354" s="59"/>
      <c r="AO354" s="59"/>
      <c r="AP354" s="59"/>
      <c r="AQ354" s="59"/>
      <c r="AR354" s="59"/>
      <c r="AS354" s="59"/>
      <c r="AT354" s="59"/>
      <c r="AU354" s="59"/>
      <c r="AV354" s="59"/>
      <c r="AW354" s="59"/>
      <c r="AX354" s="59"/>
      <c r="AY354" s="59"/>
      <c r="AZ354" s="59"/>
      <c r="BA354" s="59"/>
      <c r="BB354" s="59"/>
      <c r="BC354" s="59"/>
      <c r="BD354" s="59"/>
      <c r="BE354" s="59"/>
      <c r="BF354" s="59"/>
      <c r="BG354" s="59"/>
      <c r="BH354" s="59"/>
      <c r="BI354" s="59"/>
      <c r="BJ354" s="59"/>
      <c r="BK354" s="59"/>
      <c r="BL354" s="59"/>
    </row>
    <row r="355" spans="1:64" ht="15" customHeight="1" x14ac:dyDescent="0.35">
      <c r="A355" s="19">
        <v>351</v>
      </c>
      <c r="B355" s="74" t="s">
        <v>871</v>
      </c>
      <c r="C355" s="60" t="s">
        <v>870</v>
      </c>
      <c r="D355" s="76" t="s">
        <v>54</v>
      </c>
      <c r="E355" s="60" t="s">
        <v>257</v>
      </c>
      <c r="F355" s="13" t="s">
        <v>44</v>
      </c>
      <c r="G355" s="13" t="s">
        <v>75</v>
      </c>
      <c r="H355" s="67">
        <v>45671</v>
      </c>
      <c r="I355" s="21">
        <f t="shared" ca="1" si="193"/>
        <v>45974</v>
      </c>
      <c r="J355" s="13" t="str">
        <f t="shared" ca="1" si="199"/>
        <v xml:space="preserve">0 Tahun 9 Bulan 30 Hari </v>
      </c>
      <c r="K355" s="13">
        <f t="shared" ca="1" si="200"/>
        <v>436320</v>
      </c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  <c r="AC355" s="59"/>
      <c r="AD355" s="59"/>
      <c r="AE355" s="59"/>
      <c r="AF355" s="59"/>
      <c r="AG355" s="59"/>
      <c r="AH355" s="59"/>
      <c r="AI355" s="59"/>
      <c r="AJ355" s="59"/>
      <c r="AK355" s="59"/>
      <c r="AL355" s="59"/>
      <c r="AM355" s="59"/>
      <c r="AN355" s="59"/>
      <c r="AO355" s="59"/>
      <c r="AP355" s="59"/>
      <c r="AQ355" s="59"/>
      <c r="AR355" s="59"/>
      <c r="AS355" s="59"/>
      <c r="AT355" s="59"/>
      <c r="AU355" s="59"/>
      <c r="AV355" s="59"/>
      <c r="AW355" s="59"/>
      <c r="AX355" s="59"/>
      <c r="AY355" s="59"/>
      <c r="AZ355" s="59"/>
      <c r="BA355" s="59"/>
      <c r="BB355" s="59"/>
      <c r="BC355" s="59"/>
      <c r="BD355" s="59"/>
      <c r="BE355" s="59"/>
      <c r="BF355" s="59"/>
      <c r="BG355" s="59"/>
      <c r="BH355" s="59"/>
      <c r="BI355" s="59"/>
      <c r="BJ355" s="59"/>
      <c r="BK355" s="59"/>
      <c r="BL355" s="59"/>
    </row>
    <row r="356" spans="1:64" ht="15" customHeight="1" x14ac:dyDescent="0.35">
      <c r="A356" s="19">
        <v>352</v>
      </c>
      <c r="B356" s="74" t="s">
        <v>873</v>
      </c>
      <c r="C356" s="60" t="s">
        <v>872</v>
      </c>
      <c r="D356" s="76" t="s">
        <v>54</v>
      </c>
      <c r="E356" s="60" t="s">
        <v>654</v>
      </c>
      <c r="F356" s="13" t="s">
        <v>44</v>
      </c>
      <c r="G356" s="13" t="s">
        <v>75</v>
      </c>
      <c r="H356" s="67">
        <v>45671</v>
      </c>
      <c r="I356" s="21">
        <f t="shared" ca="1" si="193"/>
        <v>45974</v>
      </c>
      <c r="J356" s="13" t="str">
        <f t="shared" ca="1" si="199"/>
        <v xml:space="preserve">0 Tahun 9 Bulan 30 Hari </v>
      </c>
      <c r="K356" s="13">
        <f t="shared" ca="1" si="200"/>
        <v>436320</v>
      </c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  <c r="AC356" s="59"/>
      <c r="AD356" s="59"/>
      <c r="AE356" s="59"/>
      <c r="AF356" s="59"/>
      <c r="AG356" s="59"/>
      <c r="AH356" s="59"/>
      <c r="AI356" s="59"/>
      <c r="AJ356" s="59"/>
      <c r="AK356" s="59"/>
      <c r="AL356" s="59"/>
      <c r="AM356" s="59"/>
      <c r="AN356" s="59"/>
      <c r="AO356" s="59"/>
      <c r="AP356" s="59"/>
      <c r="AQ356" s="59"/>
      <c r="AR356" s="59"/>
      <c r="AS356" s="59"/>
      <c r="AT356" s="59"/>
      <c r="AU356" s="59"/>
      <c r="AV356" s="59"/>
      <c r="AW356" s="59"/>
      <c r="AX356" s="59"/>
      <c r="AY356" s="59"/>
      <c r="AZ356" s="59"/>
      <c r="BA356" s="59"/>
      <c r="BB356" s="59"/>
      <c r="BC356" s="59"/>
      <c r="BD356" s="59"/>
      <c r="BE356" s="59"/>
      <c r="BF356" s="59"/>
      <c r="BG356" s="59"/>
      <c r="BH356" s="59"/>
      <c r="BI356" s="59"/>
      <c r="BJ356" s="59"/>
      <c r="BK356" s="59"/>
      <c r="BL356" s="59"/>
    </row>
    <row r="357" spans="1:64" ht="15" customHeight="1" x14ac:dyDescent="0.35">
      <c r="A357" s="19">
        <v>353</v>
      </c>
      <c r="B357" s="74" t="s">
        <v>875</v>
      </c>
      <c r="C357" s="60" t="s">
        <v>874</v>
      </c>
      <c r="D357" s="76" t="s">
        <v>54</v>
      </c>
      <c r="E357" s="60" t="s">
        <v>252</v>
      </c>
      <c r="F357" s="13" t="s">
        <v>44</v>
      </c>
      <c r="G357" s="13" t="s">
        <v>75</v>
      </c>
      <c r="H357" s="67">
        <v>45671</v>
      </c>
      <c r="I357" s="21">
        <f t="shared" ca="1" si="193"/>
        <v>45974</v>
      </c>
      <c r="J357" s="13" t="str">
        <f t="shared" ca="1" si="199"/>
        <v xml:space="preserve">0 Tahun 9 Bulan 30 Hari </v>
      </c>
      <c r="K357" s="13">
        <f t="shared" ca="1" si="200"/>
        <v>436320</v>
      </c>
      <c r="L357" s="60"/>
      <c r="M357" s="60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  <c r="AC357" s="59"/>
      <c r="AD357" s="59"/>
      <c r="AE357" s="59"/>
      <c r="AF357" s="59"/>
      <c r="AG357" s="59"/>
      <c r="AH357" s="59"/>
      <c r="AI357" s="59"/>
      <c r="AJ357" s="59"/>
      <c r="AK357" s="59"/>
      <c r="AL357" s="59"/>
      <c r="AM357" s="59"/>
      <c r="AN357" s="59"/>
      <c r="AO357" s="59"/>
      <c r="AP357" s="59"/>
      <c r="AQ357" s="59"/>
      <c r="AR357" s="59"/>
      <c r="AS357" s="59"/>
      <c r="AT357" s="59"/>
      <c r="AU357" s="59"/>
      <c r="AV357" s="59"/>
      <c r="AW357" s="59"/>
      <c r="AX357" s="59"/>
      <c r="AY357" s="59"/>
      <c r="AZ357" s="59"/>
      <c r="BA357" s="59"/>
      <c r="BB357" s="59"/>
      <c r="BC357" s="59"/>
      <c r="BD357" s="59"/>
      <c r="BE357" s="59"/>
      <c r="BF357" s="59"/>
      <c r="BG357" s="59"/>
      <c r="BH357" s="59"/>
      <c r="BI357" s="59"/>
      <c r="BJ357" s="59"/>
      <c r="BK357" s="59"/>
      <c r="BL357" s="59"/>
    </row>
    <row r="358" spans="1:64" ht="15" customHeight="1" x14ac:dyDescent="0.35">
      <c r="A358" s="19">
        <v>354</v>
      </c>
      <c r="B358" s="74" t="s">
        <v>877</v>
      </c>
      <c r="C358" s="60" t="s">
        <v>876</v>
      </c>
      <c r="D358" s="76" t="s">
        <v>54</v>
      </c>
      <c r="E358" s="60" t="s">
        <v>141</v>
      </c>
      <c r="F358" s="13" t="s">
        <v>44</v>
      </c>
      <c r="G358" s="13" t="s">
        <v>75</v>
      </c>
      <c r="H358" s="67">
        <v>45671</v>
      </c>
      <c r="I358" s="21">
        <f t="shared" ca="1" si="193"/>
        <v>45974</v>
      </c>
      <c r="J358" s="13" t="str">
        <f t="shared" ca="1" si="199"/>
        <v xml:space="preserve">0 Tahun 9 Bulan 30 Hari </v>
      </c>
      <c r="K358" s="13">
        <f t="shared" ca="1" si="200"/>
        <v>436320</v>
      </c>
      <c r="L358" s="60"/>
      <c r="M358" s="60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  <c r="AC358" s="59"/>
      <c r="AD358" s="59"/>
      <c r="AE358" s="59"/>
      <c r="AF358" s="59"/>
      <c r="AG358" s="59"/>
      <c r="AH358" s="59"/>
      <c r="AI358" s="59"/>
      <c r="AJ358" s="59"/>
      <c r="AK358" s="59"/>
      <c r="AL358" s="59"/>
      <c r="AM358" s="59"/>
      <c r="AN358" s="59"/>
      <c r="AO358" s="59"/>
      <c r="AP358" s="59"/>
      <c r="AQ358" s="59"/>
      <c r="AR358" s="59"/>
      <c r="AS358" s="59"/>
      <c r="AT358" s="59"/>
      <c r="AU358" s="59"/>
      <c r="AV358" s="59"/>
      <c r="AW358" s="59"/>
      <c r="AX358" s="59"/>
      <c r="AY358" s="59"/>
      <c r="AZ358" s="59"/>
      <c r="BA358" s="59"/>
      <c r="BB358" s="59"/>
      <c r="BC358" s="59"/>
      <c r="BD358" s="59"/>
      <c r="BE358" s="59"/>
      <c r="BF358" s="59"/>
      <c r="BG358" s="59"/>
      <c r="BH358" s="59"/>
      <c r="BI358" s="59"/>
      <c r="BJ358" s="59"/>
      <c r="BK358" s="59"/>
      <c r="BL358" s="59"/>
    </row>
    <row r="359" spans="1:64" ht="15" customHeight="1" x14ac:dyDescent="0.35">
      <c r="A359" s="19">
        <v>355</v>
      </c>
      <c r="B359" s="74" t="s">
        <v>879</v>
      </c>
      <c r="C359" s="60" t="s">
        <v>878</v>
      </c>
      <c r="D359" s="76" t="s">
        <v>54</v>
      </c>
      <c r="E359" s="60" t="s">
        <v>136</v>
      </c>
      <c r="F359" s="13" t="s">
        <v>44</v>
      </c>
      <c r="G359" s="13" t="s">
        <v>75</v>
      </c>
      <c r="H359" s="67">
        <v>45677</v>
      </c>
      <c r="I359" s="21">
        <f t="shared" ca="1" si="193"/>
        <v>45974</v>
      </c>
      <c r="J359" s="13" t="str">
        <f t="shared" ca="1" si="199"/>
        <v xml:space="preserve">0 Tahun 9 Bulan 24 Hari </v>
      </c>
      <c r="K359" s="13">
        <f t="shared" ca="1" si="200"/>
        <v>427680</v>
      </c>
      <c r="L359" s="60"/>
      <c r="M359" s="60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  <c r="AC359" s="59"/>
      <c r="AD359" s="59"/>
      <c r="AE359" s="59"/>
      <c r="AF359" s="59"/>
      <c r="AG359" s="59"/>
      <c r="AH359" s="59"/>
      <c r="AI359" s="59"/>
      <c r="AJ359" s="59"/>
      <c r="AK359" s="59"/>
      <c r="AL359" s="59"/>
      <c r="AM359" s="59"/>
      <c r="AN359" s="59"/>
      <c r="AO359" s="59"/>
      <c r="AP359" s="59"/>
      <c r="AQ359" s="59"/>
      <c r="AR359" s="59"/>
      <c r="AS359" s="59"/>
      <c r="AT359" s="59"/>
      <c r="AU359" s="59"/>
      <c r="AV359" s="59"/>
      <c r="AW359" s="59"/>
      <c r="AX359" s="59"/>
      <c r="AY359" s="59"/>
      <c r="AZ359" s="59"/>
      <c r="BA359" s="59"/>
      <c r="BB359" s="59"/>
      <c r="BC359" s="59"/>
      <c r="BD359" s="59"/>
      <c r="BE359" s="59"/>
      <c r="BF359" s="59"/>
      <c r="BG359" s="59"/>
      <c r="BH359" s="59"/>
      <c r="BI359" s="59"/>
      <c r="BJ359" s="59"/>
      <c r="BK359" s="59"/>
      <c r="BL359" s="59"/>
    </row>
    <row r="360" spans="1:64" ht="15" customHeight="1" x14ac:dyDescent="0.35">
      <c r="A360" s="19">
        <v>356</v>
      </c>
      <c r="B360" s="74" t="s">
        <v>881</v>
      </c>
      <c r="C360" s="60" t="s">
        <v>880</v>
      </c>
      <c r="D360" s="76" t="s">
        <v>54</v>
      </c>
      <c r="E360" s="60" t="s">
        <v>247</v>
      </c>
      <c r="F360" s="13" t="s">
        <v>74</v>
      </c>
      <c r="G360" s="13" t="s">
        <v>75</v>
      </c>
      <c r="H360" s="67">
        <v>45678</v>
      </c>
      <c r="I360" s="21">
        <f t="shared" ca="1" si="193"/>
        <v>45974</v>
      </c>
      <c r="J360" s="13" t="str">
        <f t="shared" ca="1" si="199"/>
        <v xml:space="preserve">0 Tahun 9 Bulan 23 Hari </v>
      </c>
      <c r="K360" s="13">
        <f t="shared" ca="1" si="200"/>
        <v>426240</v>
      </c>
      <c r="L360" s="60"/>
      <c r="M360" s="60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  <c r="AC360" s="59"/>
      <c r="AD360" s="59"/>
      <c r="AE360" s="59"/>
      <c r="AF360" s="59"/>
      <c r="AG360" s="59"/>
      <c r="AH360" s="59"/>
      <c r="AI360" s="59"/>
      <c r="AJ360" s="59"/>
      <c r="AK360" s="59"/>
      <c r="AL360" s="59"/>
      <c r="AM360" s="59"/>
      <c r="AN360" s="59"/>
      <c r="AO360" s="59"/>
      <c r="AP360" s="59"/>
      <c r="AQ360" s="59"/>
      <c r="AR360" s="59"/>
      <c r="AS360" s="59"/>
      <c r="AT360" s="59"/>
      <c r="AU360" s="59"/>
      <c r="AV360" s="59"/>
      <c r="AW360" s="59"/>
      <c r="AX360" s="59"/>
      <c r="AY360" s="59"/>
      <c r="AZ360" s="59"/>
      <c r="BA360" s="59"/>
      <c r="BB360" s="59"/>
      <c r="BC360" s="59"/>
      <c r="BD360" s="59"/>
      <c r="BE360" s="59"/>
      <c r="BF360" s="59"/>
      <c r="BG360" s="59"/>
      <c r="BH360" s="59"/>
      <c r="BI360" s="59"/>
      <c r="BJ360" s="59"/>
      <c r="BK360" s="59"/>
      <c r="BL360" s="59"/>
    </row>
    <row r="361" spans="1:64" ht="15" customHeight="1" x14ac:dyDescent="0.35">
      <c r="A361" s="19">
        <v>357</v>
      </c>
      <c r="B361" s="74" t="s">
        <v>883</v>
      </c>
      <c r="C361" s="60" t="s">
        <v>882</v>
      </c>
      <c r="D361" s="76" t="s">
        <v>54</v>
      </c>
      <c r="E361" s="60" t="s">
        <v>884</v>
      </c>
      <c r="F361" s="13" t="s">
        <v>74</v>
      </c>
      <c r="G361" s="13" t="s">
        <v>75</v>
      </c>
      <c r="H361" s="67">
        <v>45678</v>
      </c>
      <c r="I361" s="21">
        <f t="shared" ca="1" si="193"/>
        <v>45974</v>
      </c>
      <c r="J361" s="13" t="str">
        <f t="shared" ca="1" si="199"/>
        <v xml:space="preserve">0 Tahun 9 Bulan 23 Hari </v>
      </c>
      <c r="K361" s="13">
        <f t="shared" ca="1" si="200"/>
        <v>426240</v>
      </c>
      <c r="L361" s="60"/>
      <c r="M361" s="60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  <c r="AC361" s="59"/>
      <c r="AD361" s="59"/>
      <c r="AE361" s="59"/>
      <c r="AF361" s="59"/>
      <c r="AG361" s="59"/>
      <c r="AH361" s="59"/>
      <c r="AI361" s="59"/>
      <c r="AJ361" s="59"/>
      <c r="AK361" s="59"/>
      <c r="AL361" s="59"/>
      <c r="AM361" s="59"/>
      <c r="AN361" s="59"/>
      <c r="AO361" s="59"/>
      <c r="AP361" s="59"/>
      <c r="AQ361" s="59"/>
      <c r="AR361" s="59"/>
      <c r="AS361" s="59"/>
      <c r="AT361" s="59"/>
      <c r="AU361" s="59"/>
      <c r="AV361" s="59"/>
      <c r="AW361" s="59"/>
      <c r="AX361" s="59"/>
      <c r="AY361" s="59"/>
      <c r="AZ361" s="59"/>
      <c r="BA361" s="59"/>
      <c r="BB361" s="59"/>
      <c r="BC361" s="59"/>
      <c r="BD361" s="59"/>
      <c r="BE361" s="59"/>
      <c r="BF361" s="59"/>
      <c r="BG361" s="59"/>
      <c r="BH361" s="59"/>
      <c r="BI361" s="59"/>
      <c r="BJ361" s="59"/>
      <c r="BK361" s="59"/>
      <c r="BL361" s="59"/>
    </row>
    <row r="362" spans="1:64" x14ac:dyDescent="0.35">
      <c r="A362" s="19">
        <v>358</v>
      </c>
      <c r="B362" s="74" t="s">
        <v>885</v>
      </c>
      <c r="C362" s="60" t="s">
        <v>886</v>
      </c>
      <c r="D362" s="76" t="s">
        <v>54</v>
      </c>
      <c r="E362" s="60" t="s">
        <v>95</v>
      </c>
      <c r="F362" s="13" t="s">
        <v>50</v>
      </c>
      <c r="G362" s="13" t="s">
        <v>75</v>
      </c>
      <c r="H362" s="67">
        <v>45601</v>
      </c>
      <c r="I362" s="21">
        <f t="shared" ca="1" si="193"/>
        <v>45974</v>
      </c>
      <c r="J362" s="13" t="str">
        <f t="shared" ca="1" si="199"/>
        <v xml:space="preserve">1 Tahun 0 Bulan 8 Hari </v>
      </c>
      <c r="K362" s="13">
        <f t="shared" ca="1" si="200"/>
        <v>537120</v>
      </c>
      <c r="L362" s="60"/>
      <c r="M362" s="60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  <c r="AC362" s="59"/>
      <c r="AD362" s="59"/>
      <c r="AE362" s="59"/>
      <c r="AF362" s="59"/>
      <c r="AG362" s="59"/>
      <c r="AH362" s="59"/>
      <c r="AI362" s="59"/>
      <c r="AJ362" s="59"/>
      <c r="AK362" s="59"/>
      <c r="AL362" s="59"/>
      <c r="AM362" s="59"/>
      <c r="AN362" s="59"/>
      <c r="AO362" s="59"/>
      <c r="AP362" s="59"/>
      <c r="AQ362" s="59"/>
      <c r="AR362" s="59"/>
      <c r="AS362" s="59"/>
      <c r="AT362" s="59"/>
      <c r="AU362" s="59"/>
      <c r="AV362" s="59"/>
      <c r="AW362" s="59"/>
      <c r="AX362" s="59"/>
      <c r="AY362" s="59"/>
      <c r="AZ362" s="59"/>
      <c r="BA362" s="59"/>
      <c r="BB362" s="59"/>
      <c r="BC362" s="59"/>
      <c r="BD362" s="59"/>
      <c r="BE362" s="59"/>
      <c r="BF362" s="59"/>
      <c r="BG362" s="59"/>
      <c r="BH362" s="59"/>
      <c r="BI362" s="59"/>
      <c r="BJ362" s="59"/>
      <c r="BK362" s="59"/>
      <c r="BL362" s="59"/>
    </row>
    <row r="363" spans="1:64" x14ac:dyDescent="0.35">
      <c r="A363" s="19">
        <v>359</v>
      </c>
      <c r="B363" s="74" t="s">
        <v>887</v>
      </c>
      <c r="C363" s="60" t="s">
        <v>888</v>
      </c>
      <c r="D363" s="76" t="s">
        <v>54</v>
      </c>
      <c r="E363" s="60" t="s">
        <v>98</v>
      </c>
      <c r="F363" s="13" t="s">
        <v>50</v>
      </c>
      <c r="G363" s="13" t="s">
        <v>75</v>
      </c>
      <c r="H363" s="67">
        <v>45601</v>
      </c>
      <c r="I363" s="21">
        <f t="shared" ca="1" si="193"/>
        <v>45974</v>
      </c>
      <c r="J363" s="13" t="str">
        <f t="shared" ca="1" si="199"/>
        <v xml:space="preserve">1 Tahun 0 Bulan 8 Hari </v>
      </c>
      <c r="K363" s="13">
        <f t="shared" ca="1" si="200"/>
        <v>537120</v>
      </c>
      <c r="L363" s="60"/>
      <c r="M363" s="60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  <c r="AC363" s="59"/>
      <c r="AD363" s="59"/>
      <c r="AE363" s="59"/>
      <c r="AF363" s="59"/>
      <c r="AG363" s="59"/>
      <c r="AH363" s="59"/>
      <c r="AI363" s="59"/>
      <c r="AJ363" s="59"/>
      <c r="AK363" s="59"/>
      <c r="AL363" s="59"/>
      <c r="AM363" s="59"/>
      <c r="AN363" s="59"/>
      <c r="AO363" s="59"/>
      <c r="AP363" s="59"/>
      <c r="AQ363" s="59"/>
      <c r="AR363" s="59"/>
      <c r="AS363" s="59"/>
      <c r="AT363" s="59"/>
      <c r="AU363" s="59"/>
      <c r="AV363" s="59"/>
      <c r="AW363" s="59"/>
      <c r="AX363" s="59"/>
      <c r="AY363" s="59"/>
      <c r="AZ363" s="59"/>
      <c r="BA363" s="59"/>
      <c r="BB363" s="59"/>
      <c r="BC363" s="59"/>
      <c r="BD363" s="59"/>
      <c r="BE363" s="59"/>
      <c r="BF363" s="59"/>
      <c r="BG363" s="59"/>
      <c r="BH363" s="59"/>
      <c r="BI363" s="59"/>
      <c r="BJ363" s="59"/>
      <c r="BK363" s="59"/>
      <c r="BL363" s="59"/>
    </row>
    <row r="364" spans="1:64" x14ac:dyDescent="0.35">
      <c r="A364" s="19">
        <v>360</v>
      </c>
      <c r="B364" s="74" t="s">
        <v>890</v>
      </c>
      <c r="C364" s="60" t="s">
        <v>891</v>
      </c>
      <c r="D364" s="76" t="s">
        <v>54</v>
      </c>
      <c r="E364" s="60" t="s">
        <v>257</v>
      </c>
      <c r="F364" s="13" t="s">
        <v>44</v>
      </c>
      <c r="G364" s="13" t="s">
        <v>75</v>
      </c>
      <c r="H364" s="67">
        <v>45603</v>
      </c>
      <c r="I364" s="21">
        <f t="shared" ca="1" si="193"/>
        <v>45974</v>
      </c>
      <c r="J364" s="13" t="str">
        <f t="shared" ca="1" si="199"/>
        <v xml:space="preserve">1 Tahun 0 Bulan 6 Hari </v>
      </c>
      <c r="K364" s="13">
        <f t="shared" ca="1" si="200"/>
        <v>534240</v>
      </c>
      <c r="L364" s="60"/>
      <c r="M364" s="60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  <c r="AC364" s="59"/>
      <c r="AD364" s="59"/>
      <c r="AE364" s="59"/>
      <c r="AF364" s="59"/>
      <c r="AG364" s="59"/>
      <c r="AH364" s="59"/>
      <c r="AI364" s="59"/>
      <c r="AJ364" s="59"/>
      <c r="AK364" s="59"/>
      <c r="AL364" s="59"/>
      <c r="AM364" s="59"/>
      <c r="AN364" s="59"/>
      <c r="AO364" s="59"/>
      <c r="AP364" s="59"/>
      <c r="AQ364" s="59"/>
      <c r="AR364" s="59"/>
      <c r="AS364" s="59"/>
      <c r="AT364" s="59"/>
      <c r="AU364" s="59"/>
      <c r="AV364" s="59"/>
      <c r="AW364" s="59"/>
      <c r="AX364" s="59"/>
      <c r="AY364" s="59"/>
      <c r="AZ364" s="59"/>
      <c r="BA364" s="59"/>
      <c r="BB364" s="59"/>
      <c r="BC364" s="59"/>
      <c r="BD364" s="59"/>
      <c r="BE364" s="59"/>
      <c r="BF364" s="59"/>
      <c r="BG364" s="59"/>
      <c r="BH364" s="59"/>
      <c r="BI364" s="59"/>
      <c r="BJ364" s="59"/>
      <c r="BK364" s="59"/>
      <c r="BL364" s="59"/>
    </row>
    <row r="365" spans="1:64" x14ac:dyDescent="0.35">
      <c r="A365" s="19">
        <v>361</v>
      </c>
      <c r="B365" s="74" t="s">
        <v>894</v>
      </c>
      <c r="C365" s="60" t="s">
        <v>895</v>
      </c>
      <c r="D365" s="76" t="s">
        <v>54</v>
      </c>
      <c r="E365" s="60" t="s">
        <v>896</v>
      </c>
      <c r="F365" s="13" t="s">
        <v>44</v>
      </c>
      <c r="G365" s="13" t="s">
        <v>75</v>
      </c>
      <c r="H365" s="67">
        <v>45601</v>
      </c>
      <c r="I365" s="21">
        <f t="shared" ca="1" si="193"/>
        <v>45974</v>
      </c>
      <c r="J365" s="13" t="str">
        <f t="shared" ca="1" si="199"/>
        <v xml:space="preserve">1 Tahun 0 Bulan 8 Hari </v>
      </c>
      <c r="K365" s="13">
        <f t="shared" ca="1" si="200"/>
        <v>537120</v>
      </c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  <c r="AC365" s="59"/>
      <c r="AD365" s="59"/>
      <c r="AE365" s="59"/>
      <c r="AF365" s="59"/>
      <c r="AG365" s="59"/>
      <c r="AH365" s="59"/>
      <c r="AI365" s="59"/>
      <c r="AJ365" s="59"/>
      <c r="AK365" s="59"/>
      <c r="AL365" s="59"/>
      <c r="AM365" s="59"/>
      <c r="AN365" s="59"/>
      <c r="AO365" s="59"/>
      <c r="AP365" s="59"/>
      <c r="AQ365" s="59"/>
      <c r="AR365" s="59"/>
      <c r="AS365" s="59"/>
      <c r="AT365" s="59"/>
      <c r="AU365" s="59"/>
      <c r="AV365" s="59"/>
      <c r="AW365" s="59"/>
      <c r="AX365" s="59"/>
      <c r="AY365" s="59"/>
      <c r="AZ365" s="59"/>
      <c r="BA365" s="59"/>
      <c r="BB365" s="59"/>
      <c r="BC365" s="59"/>
      <c r="BD365" s="59"/>
      <c r="BE365" s="59"/>
      <c r="BF365" s="59"/>
      <c r="BG365" s="59"/>
      <c r="BH365" s="59"/>
      <c r="BI365" s="59"/>
      <c r="BJ365" s="59"/>
      <c r="BK365" s="59"/>
      <c r="BL365" s="59"/>
    </row>
  </sheetData>
  <autoFilter ref="A4:BM365" xr:uid="{4FD9F7EF-4F0A-4B15-9F78-E57DF93D2316}"/>
  <mergeCells count="6">
    <mergeCell ref="BF2:BK2"/>
    <mergeCell ref="BF3:BK3"/>
    <mergeCell ref="N2:T2"/>
    <mergeCell ref="U2:AD2"/>
    <mergeCell ref="AE2:AI2"/>
    <mergeCell ref="AV2:BE2"/>
  </mergeCells>
  <conditionalFormatting sqref="B337:B341 B344:B348 B350:B351">
    <cfRule type="duplicateValues" dxfId="5" priority="3"/>
  </conditionalFormatting>
  <conditionalFormatting sqref="B337:B341">
    <cfRule type="duplicateValues" dxfId="4" priority="2"/>
    <cfRule type="duplicateValues" dxfId="3" priority="4"/>
  </conditionalFormatting>
  <conditionalFormatting sqref="B349">
    <cfRule type="duplicateValues" dxfId="2" priority="1"/>
  </conditionalFormatting>
  <conditionalFormatting sqref="C344:C348 C335:C341">
    <cfRule type="duplicateValues" dxfId="1" priority="5"/>
  </conditionalFormatting>
  <conditionalFormatting sqref="C344:C348"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</vt:lpstr>
      <vt:lpstr>Sheet2</vt:lpstr>
      <vt:lpstr>Sheet1</vt:lpstr>
      <vt:lpstr>Assesment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Priambodo, Teguh</dc:creator>
  <cp:lastModifiedBy>Priambodo, Teguh</cp:lastModifiedBy>
  <dcterms:created xsi:type="dcterms:W3CDTF">2024-12-06T07:12:08Z</dcterms:created>
  <dcterms:modified xsi:type="dcterms:W3CDTF">2025-11-13T11:25:58Z</dcterms:modified>
</cp:coreProperties>
</file>